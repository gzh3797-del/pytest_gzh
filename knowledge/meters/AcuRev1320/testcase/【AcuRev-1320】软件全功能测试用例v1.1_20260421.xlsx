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C:\Users\ZanHu\Downloads\"/>
    </mc:Choice>
  </mc:AlternateContent>
  <xr:revisionPtr revIDLastSave="0" documentId="13_ncr:1_{FA0DB169-EEFC-46F1-8BA1-6738BD0DD940}" xr6:coauthVersionLast="47" xr6:coauthVersionMax="47" xr10:uidLastSave="{00000000-0000-0000-0000-000000000000}"/>
  <bookViews>
    <workbookView xWindow="-120" yWindow="-120" windowWidth="29040" windowHeight="15720" firstSheet="1" activeTab="1" xr2:uid="{B22D4611-82D9-4D84-A015-B7E369BA7D5E}"/>
  </bookViews>
  <sheets>
    <sheet name="说明" sheetId="26" r:id="rId1"/>
    <sheet name="测试用例" sheetId="21" r:id="rId2"/>
    <sheet name="测试用例12.8之前" sheetId="22" state="hidden" r:id="rId3"/>
    <sheet name="用例统计" sheetId="13" r:id="rId4"/>
    <sheet name="用例定级及比例" sheetId="12" r:id="rId5"/>
    <sheet name="smoke用例" sheetId="14" r:id="rId6"/>
    <sheet name="后期可能新增web用例" sheetId="25" state="hidden" r:id="rId7"/>
    <sheet name="FCT测试" sheetId="24" r:id="rId8"/>
  </sheets>
  <externalReferences>
    <externalReference r:id="rId9"/>
  </externalReferences>
  <definedNames>
    <definedName name="_xlnm._FilterDatabase" localSheetId="1" hidden="1">测试用例!$A$1:$O$1</definedName>
    <definedName name="_xlnm._FilterDatabase" localSheetId="2" hidden="1">测试用例12.8之前!$A$1:$O$1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21" l="1"/>
  <c r="J37" i="13"/>
  <c r="I37" i="13"/>
  <c r="H37" i="13"/>
  <c r="G37" i="13"/>
  <c r="F37" i="13"/>
  <c r="E37" i="13"/>
  <c r="D37" i="13"/>
  <c r="J46" i="13"/>
  <c r="I46" i="13"/>
  <c r="H46" i="13"/>
  <c r="G46" i="13"/>
  <c r="F46" i="13"/>
  <c r="E46" i="13"/>
  <c r="D46" i="13"/>
  <c r="C46" i="13"/>
  <c r="C37" i="13"/>
  <c r="J45" i="13"/>
  <c r="I45" i="13"/>
  <c r="H45" i="13"/>
  <c r="G45" i="13"/>
  <c r="F45" i="13"/>
  <c r="E45" i="13"/>
  <c r="D45" i="13"/>
  <c r="C45" i="13"/>
  <c r="J44" i="13"/>
  <c r="I44" i="13"/>
  <c r="H44" i="13"/>
  <c r="G44" i="13"/>
  <c r="F44" i="13"/>
  <c r="E44" i="13"/>
  <c r="D44" i="13"/>
  <c r="C44" i="13"/>
  <c r="J43" i="13"/>
  <c r="I43" i="13"/>
  <c r="H43" i="13"/>
  <c r="G43" i="13"/>
  <c r="F43" i="13"/>
  <c r="E43" i="13"/>
  <c r="D43" i="13"/>
  <c r="C43" i="13"/>
  <c r="J42" i="13"/>
  <c r="I42" i="13"/>
  <c r="H42" i="13"/>
  <c r="G42" i="13"/>
  <c r="F42" i="13"/>
  <c r="E42" i="13"/>
  <c r="D42" i="13"/>
  <c r="C42" i="13"/>
  <c r="J41" i="13"/>
  <c r="I41" i="13"/>
  <c r="H41" i="13"/>
  <c r="G41" i="13"/>
  <c r="F41" i="13"/>
  <c r="E41" i="13"/>
  <c r="D41" i="13"/>
  <c r="C41" i="13"/>
  <c r="J40" i="13"/>
  <c r="I40" i="13"/>
  <c r="H40" i="13"/>
  <c r="G40" i="13"/>
  <c r="F40" i="13"/>
  <c r="E40" i="13"/>
  <c r="D40" i="13"/>
  <c r="C40" i="13"/>
  <c r="J39" i="13"/>
  <c r="I39" i="13"/>
  <c r="H39" i="13"/>
  <c r="G39" i="13"/>
  <c r="F39" i="13"/>
  <c r="E39" i="13"/>
  <c r="D39" i="13"/>
  <c r="C39" i="13"/>
  <c r="J38" i="13"/>
  <c r="I38" i="13"/>
  <c r="H38" i="13"/>
  <c r="G38" i="13"/>
  <c r="F38" i="13"/>
  <c r="E38" i="13"/>
  <c r="D38" i="13"/>
  <c r="C38" i="13"/>
  <c r="J36" i="13"/>
  <c r="I36" i="13"/>
  <c r="H36" i="13"/>
  <c r="G36" i="13"/>
  <c r="F36" i="13"/>
  <c r="E36" i="13"/>
  <c r="D36" i="13"/>
  <c r="C36" i="13"/>
  <c r="J35" i="13"/>
  <c r="I35" i="13"/>
  <c r="H35" i="13"/>
  <c r="G35" i="13"/>
  <c r="F35" i="13"/>
  <c r="E35" i="13"/>
  <c r="D35" i="13"/>
  <c r="C35" i="13"/>
  <c r="J34" i="13"/>
  <c r="I34" i="13"/>
  <c r="H34" i="13"/>
  <c r="G34" i="13"/>
  <c r="F34" i="13"/>
  <c r="E34" i="13"/>
  <c r="D34" i="13"/>
  <c r="C34" i="13"/>
  <c r="J33" i="13"/>
  <c r="I33" i="13"/>
  <c r="H33" i="13"/>
  <c r="G33" i="13"/>
  <c r="F33" i="13"/>
  <c r="E33" i="13"/>
  <c r="D33" i="13"/>
  <c r="C33" i="13"/>
  <c r="J32" i="13"/>
  <c r="I32" i="13"/>
  <c r="H32" i="13"/>
  <c r="G32" i="13"/>
  <c r="F32" i="13"/>
  <c r="E32" i="13"/>
  <c r="D32" i="13"/>
  <c r="C32" i="13"/>
  <c r="J31" i="13"/>
  <c r="I31" i="13"/>
  <c r="H31" i="13"/>
  <c r="G31" i="13"/>
  <c r="F31" i="13"/>
  <c r="E31" i="13"/>
  <c r="D31" i="13"/>
  <c r="C31" i="13"/>
  <c r="J30" i="13"/>
  <c r="I30" i="13"/>
  <c r="H30" i="13"/>
  <c r="G30" i="13"/>
  <c r="F30" i="13"/>
  <c r="E30" i="13"/>
  <c r="D30" i="13"/>
  <c r="C30" i="13"/>
  <c r="J29" i="13"/>
  <c r="I29" i="13"/>
  <c r="H29" i="13"/>
  <c r="G29" i="13"/>
  <c r="F29" i="13"/>
  <c r="E29" i="13"/>
  <c r="D29" i="13"/>
  <c r="C29" i="13"/>
  <c r="J28" i="13"/>
  <c r="I28" i="13"/>
  <c r="H28" i="13"/>
  <c r="G28" i="13"/>
  <c r="F28" i="13"/>
  <c r="E28" i="13"/>
  <c r="D28" i="13"/>
  <c r="C28" i="13"/>
  <c r="J27" i="13"/>
  <c r="I27" i="13"/>
  <c r="H27" i="13"/>
  <c r="G27" i="13"/>
  <c r="F27" i="13"/>
  <c r="E27" i="13"/>
  <c r="D27" i="13"/>
  <c r="C27" i="13"/>
  <c r="J26" i="13"/>
  <c r="I26" i="13"/>
  <c r="H26" i="13"/>
  <c r="G26" i="13"/>
  <c r="F26" i="13"/>
  <c r="E26" i="13"/>
  <c r="D26" i="13"/>
  <c r="C26" i="13"/>
  <c r="J25" i="13"/>
  <c r="I25" i="13"/>
  <c r="H25" i="13"/>
  <c r="G25" i="13"/>
  <c r="F25" i="13"/>
  <c r="E25" i="13"/>
  <c r="D25" i="13"/>
  <c r="C25" i="13"/>
  <c r="J24" i="13"/>
  <c r="I24" i="13"/>
  <c r="H24" i="13"/>
  <c r="G24" i="13"/>
  <c r="F24" i="13"/>
  <c r="E24" i="13"/>
  <c r="D24" i="13"/>
  <c r="C24" i="13"/>
  <c r="J23" i="13"/>
  <c r="I23" i="13"/>
  <c r="H23" i="13"/>
  <c r="G23" i="13"/>
  <c r="F23" i="13"/>
  <c r="E23" i="13"/>
  <c r="D23" i="13"/>
  <c r="C23" i="13"/>
  <c r="J22" i="13"/>
  <c r="I22" i="13"/>
  <c r="H22" i="13"/>
  <c r="G22" i="13"/>
  <c r="F22" i="13"/>
  <c r="E22" i="13"/>
  <c r="D22" i="13"/>
  <c r="C22" i="13"/>
  <c r="J21" i="13"/>
  <c r="I21" i="13"/>
  <c r="H21" i="13"/>
  <c r="G21" i="13"/>
  <c r="F21" i="13"/>
  <c r="E21" i="13"/>
  <c r="D21" i="13"/>
  <c r="C21" i="13"/>
  <c r="J20" i="13"/>
  <c r="I20" i="13"/>
  <c r="H20" i="13"/>
  <c r="G20" i="13"/>
  <c r="F20" i="13"/>
  <c r="E20" i="13"/>
  <c r="D20" i="13"/>
  <c r="C20" i="13"/>
  <c r="J19" i="13"/>
  <c r="I19" i="13"/>
  <c r="H19" i="13"/>
  <c r="G19" i="13"/>
  <c r="F19" i="13"/>
  <c r="E19" i="13"/>
  <c r="D19" i="13"/>
  <c r="C19" i="13"/>
  <c r="J18" i="13"/>
  <c r="I18" i="13"/>
  <c r="H18" i="13"/>
  <c r="G18" i="13"/>
  <c r="F18" i="13"/>
  <c r="E18" i="13"/>
  <c r="D18" i="13"/>
  <c r="C18" i="13"/>
  <c r="J17" i="13"/>
  <c r="I17" i="13"/>
  <c r="H17" i="13"/>
  <c r="G17" i="13"/>
  <c r="F17" i="13"/>
  <c r="E17" i="13"/>
  <c r="D17" i="13"/>
  <c r="C17" i="13"/>
  <c r="J16" i="13"/>
  <c r="I16" i="13"/>
  <c r="H16" i="13"/>
  <c r="G16" i="13"/>
  <c r="F16" i="13"/>
  <c r="E16" i="13"/>
  <c r="D16" i="13"/>
  <c r="C16" i="13"/>
  <c r="J15" i="13"/>
  <c r="I15" i="13"/>
  <c r="H15" i="13"/>
  <c r="G15" i="13"/>
  <c r="F15" i="13"/>
  <c r="E15" i="13"/>
  <c r="D15" i="13"/>
  <c r="C15" i="13"/>
  <c r="J14" i="13"/>
  <c r="I14" i="13"/>
  <c r="H14" i="13"/>
  <c r="G14" i="13"/>
  <c r="F14" i="13"/>
  <c r="E14" i="13"/>
  <c r="D14" i="13"/>
  <c r="C14" i="13"/>
  <c r="J13" i="13"/>
  <c r="I13" i="13"/>
  <c r="H13" i="13"/>
  <c r="G13" i="13"/>
  <c r="F13" i="13"/>
  <c r="E13" i="13"/>
  <c r="D13" i="13"/>
  <c r="C13" i="13"/>
  <c r="J12" i="13"/>
  <c r="I12" i="13"/>
  <c r="H12" i="13"/>
  <c r="G12" i="13"/>
  <c r="F12" i="13"/>
  <c r="E12" i="13"/>
  <c r="D12" i="13"/>
  <c r="C12" i="13"/>
  <c r="J11" i="13"/>
  <c r="I11" i="13"/>
  <c r="H11" i="13"/>
  <c r="G11" i="13"/>
  <c r="F11" i="13"/>
  <c r="E11" i="13"/>
  <c r="D11" i="13"/>
  <c r="C11" i="13"/>
  <c r="J10" i="13"/>
  <c r="I10" i="13"/>
  <c r="H10" i="13"/>
  <c r="G10" i="13"/>
  <c r="F10" i="13"/>
  <c r="E10" i="13"/>
  <c r="D10" i="13"/>
  <c r="C10" i="13"/>
  <c r="J9" i="13"/>
  <c r="I9" i="13"/>
  <c r="H9" i="13"/>
  <c r="G9" i="13"/>
  <c r="F9" i="13"/>
  <c r="E9" i="13"/>
  <c r="D9" i="13"/>
  <c r="C9" i="13"/>
  <c r="J8" i="13"/>
  <c r="I8" i="13"/>
  <c r="H8" i="13"/>
  <c r="G8" i="13"/>
  <c r="F8" i="13"/>
  <c r="E8" i="13"/>
  <c r="D8" i="13"/>
  <c r="C8" i="13"/>
  <c r="J7" i="13"/>
  <c r="I7" i="13"/>
  <c r="H7" i="13"/>
  <c r="G7" i="13"/>
  <c r="F7" i="13"/>
  <c r="E7" i="13"/>
  <c r="D7" i="13"/>
  <c r="C7" i="13"/>
  <c r="J6" i="13"/>
  <c r="I6" i="13"/>
  <c r="H6" i="13"/>
  <c r="G6" i="13"/>
  <c r="F6" i="13"/>
  <c r="E6" i="13"/>
  <c r="D6" i="13"/>
  <c r="C6" i="13"/>
  <c r="J5" i="13"/>
  <c r="I5" i="13"/>
  <c r="H5" i="13"/>
  <c r="G5" i="13"/>
  <c r="F5" i="13"/>
  <c r="E5" i="13"/>
  <c r="D5" i="13"/>
  <c r="C5" i="13"/>
  <c r="J4" i="13"/>
  <c r="I4" i="13"/>
  <c r="H4" i="13"/>
  <c r="G4" i="13"/>
  <c r="F4" i="13"/>
  <c r="E4" i="13"/>
  <c r="D4" i="13"/>
  <c r="C4" i="13"/>
  <c r="J3" i="13"/>
  <c r="I3" i="13"/>
  <c r="H3" i="13"/>
  <c r="G3" i="13"/>
  <c r="F3" i="13"/>
  <c r="E3" i="13"/>
  <c r="D3" i="13"/>
  <c r="C3" i="13"/>
  <c r="J2" i="13"/>
  <c r="I2" i="13"/>
  <c r="H2" i="13"/>
  <c r="G2" i="13"/>
  <c r="F2" i="13"/>
  <c r="E2" i="13"/>
  <c r="D2" i="13"/>
  <c r="C2" i="13"/>
  <c r="E47" i="13" l="1"/>
  <c r="F47" i="13"/>
  <c r="G47" i="13"/>
  <c r="H47" i="13"/>
  <c r="I47" i="13"/>
  <c r="J47" i="13"/>
  <c r="D47" i="13"/>
  <c r="C47" i="13"/>
  <c r="K46" i="13"/>
  <c r="L46" i="13"/>
  <c r="P46" i="13"/>
  <c r="M46" i="13"/>
  <c r="N46" i="13"/>
  <c r="O46" i="13"/>
  <c r="O47" i="13" l="1"/>
  <c r="M47" i="13"/>
  <c r="L47" i="13"/>
  <c r="N47" i="13"/>
  <c r="K47" i="13"/>
  <c r="P47" i="13"/>
  <c r="O44" i="13" l="1"/>
  <c r="O45" i="13"/>
  <c r="K39" i="13"/>
  <c r="M44" i="13"/>
  <c r="K38" i="13"/>
  <c r="M43" i="13"/>
  <c r="L42" i="13"/>
  <c r="M42" i="13"/>
  <c r="M41" i="13"/>
  <c r="M38" i="13"/>
  <c r="O43" i="13"/>
  <c r="O42" i="13"/>
  <c r="L45" i="13"/>
  <c r="O41" i="13"/>
  <c r="M40" i="13"/>
  <c r="L44" i="13"/>
  <c r="O40" i="13"/>
  <c r="P45" i="13"/>
  <c r="P44" i="13"/>
  <c r="O38" i="13"/>
  <c r="P43" i="13"/>
  <c r="P42" i="13"/>
  <c r="N45" i="13"/>
  <c r="P41" i="13"/>
  <c r="L39" i="13"/>
  <c r="N44" i="13"/>
  <c r="P40" i="13"/>
  <c r="M39" i="13"/>
  <c r="L38" i="13"/>
  <c r="N43" i="13"/>
  <c r="P39" i="13"/>
  <c r="N42" i="13"/>
  <c r="P38" i="13"/>
  <c r="K45" i="13"/>
  <c r="N41" i="13"/>
  <c r="L43" i="13"/>
  <c r="O39" i="13"/>
  <c r="K44" i="13"/>
  <c r="N40" i="13"/>
  <c r="L41" i="13"/>
  <c r="K43" i="13"/>
  <c r="N39" i="13"/>
  <c r="K42" i="13"/>
  <c r="N38" i="13"/>
  <c r="K41" i="13"/>
  <c r="K40" i="13"/>
  <c r="M45" i="13"/>
  <c r="L40" i="13"/>
  <c r="O37" i="13"/>
  <c r="L37" i="13"/>
  <c r="O36" i="13"/>
  <c r="L36" i="13"/>
  <c r="O35" i="13"/>
  <c r="L35" i="13"/>
  <c r="O34" i="13"/>
  <c r="L34" i="13"/>
  <c r="O33" i="13"/>
  <c r="L33" i="13"/>
  <c r="O32" i="13"/>
  <c r="L32" i="13"/>
  <c r="M37" i="13"/>
  <c r="M36" i="13"/>
  <c r="M35" i="13"/>
  <c r="M34" i="13"/>
  <c r="M33" i="13"/>
  <c r="M32" i="13"/>
  <c r="P37" i="13"/>
  <c r="N37" i="13"/>
  <c r="P36" i="13"/>
  <c r="K37" i="13"/>
  <c r="N36" i="13"/>
  <c r="P35" i="13"/>
  <c r="K36" i="13"/>
  <c r="N35" i="13"/>
  <c r="P34" i="13"/>
  <c r="K35" i="13"/>
  <c r="N34" i="13"/>
  <c r="P33" i="13"/>
  <c r="K34" i="13"/>
  <c r="N33" i="13"/>
  <c r="P32" i="13"/>
  <c r="K33" i="13"/>
  <c r="N32" i="13"/>
  <c r="K32" i="13"/>
  <c r="P15" i="13"/>
  <c r="P26" i="13"/>
  <c r="P16" i="13"/>
  <c r="P27" i="13"/>
  <c r="P19" i="13"/>
  <c r="P18" i="13"/>
  <c r="P10" i="13"/>
  <c r="P17" i="13"/>
  <c r="P14" i="13"/>
  <c r="P13" i="13"/>
  <c r="P12" i="13"/>
  <c r="P11" i="13"/>
  <c r="P9" i="13"/>
  <c r="P8" i="13"/>
  <c r="P7" i="13"/>
  <c r="P6" i="13"/>
  <c r="P5" i="13"/>
  <c r="P4" i="13"/>
  <c r="P31" i="13"/>
  <c r="P3" i="13"/>
  <c r="P30" i="13"/>
  <c r="P29" i="13"/>
  <c r="P28" i="13"/>
  <c r="P25" i="13"/>
  <c r="P24" i="13"/>
  <c r="P23" i="13"/>
  <c r="P22" i="13"/>
  <c r="P21" i="13"/>
  <c r="P20" i="13"/>
  <c r="P2" i="13"/>
  <c r="N22" i="13"/>
  <c r="M2" i="13"/>
  <c r="K9" i="13"/>
  <c r="O18" i="13"/>
  <c r="K26" i="13"/>
  <c r="O21" i="13"/>
  <c r="L15" i="13"/>
  <c r="L10" i="13"/>
  <c r="L22" i="13"/>
  <c r="K27" i="13"/>
  <c r="N31" i="13"/>
  <c r="L29" i="13"/>
  <c r="K30" i="13"/>
  <c r="N11" i="13"/>
  <c r="N20" i="13"/>
  <c r="O5" i="13"/>
  <c r="M12" i="13"/>
  <c r="N6" i="13"/>
  <c r="L19" i="13"/>
  <c r="L2" i="13"/>
  <c r="K11" i="13"/>
  <c r="O24" i="13"/>
  <c r="L9" i="13"/>
  <c r="M18" i="13"/>
  <c r="N27" i="13"/>
  <c r="O15" i="13"/>
  <c r="O3" i="13"/>
  <c r="N3" i="13"/>
  <c r="M3" i="13"/>
  <c r="N21" i="13"/>
  <c r="N16" i="13"/>
  <c r="L11" i="13"/>
  <c r="N24" i="13"/>
  <c r="M24" i="13"/>
  <c r="L24" i="13"/>
  <c r="K15" i="13"/>
  <c r="M10" i="13"/>
  <c r="N28" i="13"/>
  <c r="K24" i="13"/>
  <c r="M28" i="13"/>
  <c r="K10" i="13"/>
  <c r="M5" i="13"/>
  <c r="M23" i="13"/>
  <c r="L5" i="13"/>
  <c r="O10" i="13"/>
  <c r="O27" i="13"/>
  <c r="N18" i="13"/>
  <c r="N5" i="13"/>
  <c r="L18" i="13"/>
  <c r="M13" i="13"/>
  <c r="O17" i="13"/>
  <c r="N17" i="13"/>
  <c r="L13" i="13"/>
  <c r="N8" i="13"/>
  <c r="M4" i="13"/>
  <c r="M8" i="13"/>
  <c r="K17" i="13"/>
  <c r="L8" i="13"/>
  <c r="K8" i="13"/>
  <c r="M30" i="13"/>
  <c r="L21" i="13"/>
  <c r="L3" i="13"/>
  <c r="M21" i="13"/>
  <c r="L16" i="13"/>
  <c r="O20" i="13"/>
  <c r="L7" i="13"/>
  <c r="O2" i="13"/>
  <c r="M11" i="13"/>
  <c r="N15" i="13"/>
  <c r="M15" i="13"/>
  <c r="M20" i="13"/>
  <c r="O19" i="13"/>
  <c r="M31" i="13"/>
  <c r="M27" i="13"/>
  <c r="L31" i="13"/>
  <c r="K23" i="13"/>
  <c r="O23" i="13"/>
  <c r="O11" i="13"/>
  <c r="M16" i="13"/>
  <c r="O22" i="13"/>
  <c r="O14" i="13"/>
  <c r="N14" i="13"/>
  <c r="K7" i="13"/>
  <c r="L27" i="13"/>
  <c r="M14" i="13"/>
  <c r="N10" i="13"/>
  <c r="O7" i="13"/>
  <c r="K19" i="13"/>
  <c r="O30" i="13"/>
  <c r="N30" i="13"/>
  <c r="N26" i="13"/>
  <c r="L14" i="13"/>
  <c r="K28" i="13"/>
  <c r="K14" i="13"/>
  <c r="K3" i="13"/>
  <c r="L6" i="13"/>
  <c r="K20" i="13"/>
  <c r="O4" i="13"/>
  <c r="L20" i="13"/>
  <c r="K4" i="13"/>
  <c r="K31" i="13"/>
  <c r="M26" i="13"/>
  <c r="K18" i="13"/>
  <c r="K6" i="13"/>
  <c r="N2" i="13"/>
  <c r="O16" i="13"/>
  <c r="O12" i="13"/>
  <c r="O25" i="13"/>
  <c r="N25" i="13"/>
  <c r="M17" i="13"/>
  <c r="O9" i="13"/>
  <c r="L12" i="13"/>
  <c r="N9" i="13"/>
  <c r="K5" i="13"/>
  <c r="N4" i="13"/>
  <c r="O8" i="13"/>
  <c r="M25" i="13"/>
  <c r="L17" i="13"/>
  <c r="O26" i="13"/>
  <c r="L25" i="13"/>
  <c r="M19" i="13"/>
  <c r="K29" i="13"/>
  <c r="K25" i="13"/>
  <c r="K21" i="13"/>
  <c r="K2" i="13"/>
  <c r="O28" i="13"/>
  <c r="K12" i="13"/>
  <c r="L28" i="13"/>
  <c r="N12" i="13"/>
  <c r="O6" i="13"/>
  <c r="L4" i="13"/>
  <c r="K22" i="13"/>
  <c r="M6" i="13"/>
  <c r="L23" i="13"/>
  <c r="M9" i="13"/>
  <c r="N7" i="13"/>
  <c r="N19" i="13"/>
  <c r="N23" i="13"/>
  <c r="K16" i="13"/>
  <c r="O31" i="13"/>
  <c r="O13" i="13"/>
  <c r="M22" i="13"/>
  <c r="N13" i="13"/>
  <c r="K13" i="13"/>
  <c r="M29" i="13"/>
  <c r="M7" i="13"/>
  <c r="L30" i="13"/>
  <c r="O29" i="13"/>
  <c r="N29" i="13"/>
  <c r="L26" i="13"/>
</calcChain>
</file>

<file path=xl/sharedStrings.xml><?xml version="1.0" encoding="utf-8"?>
<sst xmlns="http://schemas.openxmlformats.org/spreadsheetml/2006/main" count="25807" uniqueCount="12686">
  <si>
    <t>版本号</t>
  </si>
  <si>
    <t>说明</t>
  </si>
  <si>
    <t>v1.0</t>
  </si>
  <si>
    <t>初版用例版本v1.0+用例发布日期(2025xxxx)区别</t>
  </si>
  <si>
    <t>v1.01</t>
  </si>
  <si>
    <t>后期新增、更新统一使用v1.01+更新日期(2025xxxx)区别</t>
  </si>
  <si>
    <t>模块</t>
    <phoneticPr fontId="10" type="noConversion"/>
  </si>
  <si>
    <t>子模块</t>
    <phoneticPr fontId="10" type="noConversion"/>
  </si>
  <si>
    <t>用例编号</t>
  </si>
  <si>
    <t>用例标题</t>
  </si>
  <si>
    <t>预置条件</t>
  </si>
  <si>
    <t>测试步骤</t>
  </si>
  <si>
    <t>预期结果</t>
  </si>
  <si>
    <t>级别</t>
  </si>
  <si>
    <t>自动化</t>
    <phoneticPr fontId="10" type="noConversion"/>
  </si>
  <si>
    <t>需自动化
（是/否）</t>
    <phoneticPr fontId="10" type="noConversion"/>
  </si>
  <si>
    <t>测试版本</t>
    <phoneticPr fontId="10" type="noConversion"/>
  </si>
  <si>
    <t>测试结果</t>
    <phoneticPr fontId="10" type="noConversion"/>
  </si>
  <si>
    <t>测试人员</t>
    <phoneticPr fontId="10" type="noConversion"/>
  </si>
  <si>
    <t>备注</t>
    <phoneticPr fontId="10" type="noConversion"/>
  </si>
  <si>
    <t>问题单来源</t>
    <phoneticPr fontId="10" type="noConversion"/>
  </si>
  <si>
    <t>交流频率</t>
  </si>
  <si>
    <t>交流电在42.5 HZ 、65HZ、69 Hz，测量精度要求0.2%</t>
  </si>
  <si>
    <t>1、Acuview2上位机
2、网线/RTU串口线
3、AcuRev1320电表</t>
  </si>
  <si>
    <t>LV2</t>
  </si>
  <si>
    <t>是</t>
    <phoneticPr fontId="10" type="noConversion"/>
  </si>
  <si>
    <t>Function_AcuRev1320_001_01_case2</t>
    <phoneticPr fontId="10" type="noConversion"/>
  </si>
  <si>
    <t>交流电在50HZ 、60 Hz，测量精度要求0.2%</t>
  </si>
  <si>
    <t>1、连接AcuRev1320电表到Acuview2上，链接状态为connected
2、交流电源输入频率为50HZ。
3、Acuview2上和HMI上检查交流电频率是否在精度范围内，范围:49.9 ~ 50.1
4、交流电源输入频率为60HZ。
5、Acuview2上和HMI上检查交流电频率是否在精度范围内，范围:59.88 ~ 60.12</t>
  </si>
  <si>
    <t>3、Acuview2上和HMI上检查交流电频率在精度范围内，范围:49.9 ~ 50.1
5、Acuview2上和HMI上检查交流电频率在精度范围内，范围:59.88 ~ 60.12</t>
  </si>
  <si>
    <t>LV0</t>
  </si>
  <si>
    <t>是</t>
  </si>
  <si>
    <t>Function_AcuRev1320_001_01_case3</t>
    <phoneticPr fontId="10" type="noConversion"/>
  </si>
  <si>
    <t>电表上设置60HZ, 交流电在40HZ 、70 Hz，无测量精度要求</t>
  </si>
  <si>
    <t>1、连接AcuRev1320电表到Acuview2上，链接状态为connected
1.1、电表上设置60HZ
2、交流电源输入频率为40HZ。
3、Acuview2上和HMI上检查交流电频率可以测试到频率数据，无精度要求
4、交流电源输入频率为70HZ。
5、Acuview2上和HMI上检查交流电频率可以测试到频率数据，无精度要求</t>
  </si>
  <si>
    <t>3、Acuview2上和HMI上检查交流电频率可以测试到频率数据，无精度要求
5、Acuview2上和HMI上检查交流电频率可以测试到频率数据，无精度要求</t>
  </si>
  <si>
    <t>LV3</t>
  </si>
  <si>
    <t>Function_AcuRev1320_001_01_case4</t>
    <phoneticPr fontId="10" type="noConversion"/>
  </si>
  <si>
    <t>关闭输出后，电表不会有频率显示</t>
  </si>
  <si>
    <t>1、输出50HZ频率
2、关闭源输出
3、HMI查看系统频率
4、查看上位机及web页面，频率显示是多少</t>
  </si>
  <si>
    <t>3、关闭源输出，频率显示0
4、关闭源输出，频率显示0</t>
  </si>
  <si>
    <t>LV1</t>
  </si>
  <si>
    <t>交流电压</t>
  </si>
  <si>
    <t>线-地电压(相电压)验证</t>
  </si>
  <si>
    <t>Function_AcuRev1320_002_01_case1</t>
  </si>
  <si>
    <t>交流电Van、Vbn、Vcn输入额定电压分别均为69V,120V,测量Van、Vbn、Vcn、Vlnavg满足精度要求0.1%</t>
  </si>
  <si>
    <t>1、Acuview2上位机
2、网线/RTU串口线
3、AcuRev1320电表
4、接线方式3e3p4w y</t>
  </si>
  <si>
    <t>1、连接AcuRev1320电表到Acuview2上，链接状态为connected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
6、以上步骤中，检查web页面与Acuview2、HMI上交流电相电压是否一致，是否均在精度范围内</t>
  </si>
  <si>
    <t>3、Acuview2上和HMI上检查交流电相电压均在精度范围内，范围(V):68.931 ~ 69.069，Vlnavg范围(V)：68.931 ~ 69.069
5、Acuview2上和HMI上检查交流电相电压均在精度范围内，范围(V):119.88 ~ 120.12，Vlnavg范围(V)：119.88 ~ 120.12
6、以上步骤中，检查web页面与Acuview2、HMI上交流电相电压一致，均在精度范围内</t>
  </si>
  <si>
    <t>Y</t>
    <phoneticPr fontId="10" type="noConversion"/>
  </si>
  <si>
    <t>Function_AcuRev1320_002_01_case2</t>
    <phoneticPr fontId="10" type="noConversion"/>
  </si>
  <si>
    <t>交流电Van、Vbn、Vcn输入额定电压分别均为230V,347V,测量Van、Vbn、Vcn、Vlnavg满足精度要求0.1%</t>
  </si>
  <si>
    <t>1、连接AcuRev1320电表到Acuview2上，链接状态为connected
2、交流电源输入相电压Van、Vbn、Vcn的额定电压为230V。
3、Acuview2上和HMI上检查交流电相电压是否均在精度范围内，范围(V):229.77 ~ 230.23， Vlnavg范围(V)：229.77 ~ 230.23
4、交流电源输入相电压Van、Vbn、Vcn的额定电压为347V。
5、Acuview2上和HMI上检查交流电相电压是否均在精度范围内，范围(V):346.653 ~ 347.347， Vlnavg范围(V)：346.653 ~ 347.347
6、以上步骤中，检查web页面与Acuview2、HMI上交流电相电压是否一致，是否均在精度范围内</t>
  </si>
  <si>
    <t>3、Acuview2上和HMI上检查交流电相电压均在精度范围内，范围(V):229.77 ~ 230.23， Vlnavg范围(V)：229.77 ~ 230.23
5、Acuview2上和HMI上检查交流电相电压均在精度范围内，范围(V):346.653 ~ 347.347， Vlnavg范围(V)：346.653 ~ 347.347
6、以上步骤中，检查web页面与Acuview2、HMI上交流电相电压一致，均在精度范围内</t>
    <phoneticPr fontId="10" type="noConversion"/>
  </si>
  <si>
    <t>Function_AcuRev1320_002_01_case3</t>
  </si>
  <si>
    <t>交流电Van、Vbn、Vcn输入启动电压分别均为10.2V、20V,电表有测量值,测量Van、Vbn、Vcn、Vlnavg没有精度要求</t>
  </si>
  <si>
    <t>1、连接AcuRev1320电表到Acuview2上，链接状态为connected
2、交流电源输入相电压Van、Vbn、Vcn的额定电压为10.2V。
3、Acuview2上和HMI上检查交流电相电压是否有测量显示，精度没有要求
4、交流电源输入相电压Van、Vbn、Vcn的额定电压为20V。
5、Acuview2上和HMI上检查交流电相电压是否有测量显示，精度没有要求</t>
  </si>
  <si>
    <t>3、Acuview2上和HMI上检查交流电相电压有测量显示，没有精度要求
5、Acuview2上和HMI上检查交流电相电压有测量显示，没有精度要求</t>
  </si>
  <si>
    <t>Function_AcuRev1320_002_01_case4</t>
  </si>
  <si>
    <t>交流电Van、Vbn、Vcn输入电压分别均为0V，1V，9V,电表Van、Vbn、Vcn、Vlnavg无测量值</t>
  </si>
  <si>
    <t>1、连接AcuRev1320电表到Acuview2上，链接状态为connected
2、交流电源输入相电压Van、Vbn、Vcn的额定电压为0V。
3、Acuview2上和HMI上检查交流电相电压是否为0V
4、交流电源输入相电压Van、Vbn、Vcn的额定电压为1V。
5、Acuview2上和HMI上检查交流电相电压是否为0V，不考虑精度
6、交流电源输入相电压Van、Vbn、Vcn的额定电压为9V。
7、Acuview2上和HMI上检查交流电相电压是否为0V，不考虑精度
8、查看web页面数据是否与上位机及电表数据一致</t>
  </si>
  <si>
    <t>3、5、7、Acuview2上和HMI上检查交流电相电压为0V
6、查看web页面数据是否与上位机及电表数据一致</t>
  </si>
  <si>
    <t>LV4</t>
  </si>
  <si>
    <t>Function_AcuRev1320_002_01_case5</t>
  </si>
  <si>
    <t>交流电Van、Vbn、Vcn输入额定电压为(69V,120V,230V),测量Van、Vbn、Vcn、Vlnavg满足精度要求0.1%</t>
  </si>
  <si>
    <t>1、连接AcuRev1320电表到Acuview2上，链接状态为connected
2、交流电源输入相电压Van、Vbn、Vcn的额定电压分别为(69V,120V,230V)。
3、Acuview2上和HMI上检查交流电相电压是否均在精度范围内，Van范围(V):68.931 ~ 69.069，Vbn范围(V):119.88 ~ 120.12，Vcn范围(V):229.77 ~ 230.23，Vlnavg范围(V):139.527 ~ 139.8063333
4、检查web页面上是否与Acuview2、HMI上交流电相电压一致，是否在范围内</t>
  </si>
  <si>
    <t>3、Acuview2上和HMI上检查交流电相电压均在精度范围内，Van范围(V):68.931 ~ 69.069，Vbn范围(V):119.88 ~ 120.12，Vcn范围(V):229.77 ~ 230.23，Vlnavg范围(V):139.527 ~ 139.8063333
4、检查web页面上与Acuview2、HMI上交流电相电压一致，在范围内</t>
  </si>
  <si>
    <t>Function_AcuRev1320_002_01_case6_1</t>
  </si>
  <si>
    <t>交流电Van、Vbn、Vcn输入额定电压为(100V,100V,100V),φA、φB、φC分别为(0°、240°、120°)，断开交流源输入，Van、Vbn、Vcn、Vlnavg测量值全为0V</t>
  </si>
  <si>
    <t>1、连接AcuRev1320电表到Acuview2上，链接状态为connected
2、交流电Van、Vbn、Vcn输入额定电压为(100V,100V,100V),φA、φB、φC分别为(0°、240°、120°)
3、Acuview2上和HMI上检查交流电相电压是否均在精度范围内
4、断开交流源输入
5、立即Acuview2上和HMI上检查交流电相电压Van、Vbn、Vcn、Vlnavg测量值全为0V
6, 反复执行步骤2~5， 5次。功能正常</t>
  </si>
  <si>
    <t>3、Acuview2上和HMI上检查交流电相电压均在精度0.1%范围内
5、立即Acuview2上和HMI上检查交流电相电压Vab，Vac、Vbc、Vllavg测量值全为0V
6, 反复执行步骤2~5， 5次。功能正常</t>
    <phoneticPr fontId="10" type="noConversion"/>
  </si>
  <si>
    <t>Function_AcuRev1320_002_01_case6_2</t>
  </si>
  <si>
    <t>交流电Van、Vbn、Vcn输入额定电压为(220V,220V,220V)顺序，且φA、φB、φC分别为(0°、120°、240°)，Van、Vbn、Vcn、Vlnavg测量值满足精度要求0.1%</t>
    <phoneticPr fontId="10" type="noConversion"/>
  </si>
  <si>
    <t>1、连接AcuRev1320电表到Acuview2上，链接状态为connected
2、交流电源输入相电压Van、Vbn、Vcn的额定电压为220V。
3、电表相序设置为ABC，φA、φB、φC分别为(0°、120°、240°)
4、Acuview2上和HMI上检查交流电相电压Van、Vbn、Vcn、Vlnavg测量值是否满足精度要求0.1%</t>
  </si>
  <si>
    <t>4、Acuview2上和HMI上检查交流电相电压均在精度范围内，范围(V):219.7800 ~ 220.2200 ， Vlnavg范围(V)：219.7800 ~ 220.2200</t>
    <phoneticPr fontId="10" type="noConversion"/>
  </si>
  <si>
    <t>Function_AcuRev1320_002_01_case6_3</t>
  </si>
  <si>
    <t>交流电Van、Vbn、Vcn输入额定电压为(220V,220V,220V),逆序，且φA、φB、φC分别为(0°、120°、240°)，Van、Vbn、Vcn、Vlnavg测量值满足精度要求0.1%</t>
    <phoneticPr fontId="10" type="noConversion"/>
  </si>
  <si>
    <t>1、连接AcuRev1320电表到Acuview2上，链接状态为connected
2、交流电源输入相电压Van、Vbn、Vcn的额定电压为220V。
3、电表相序设置为ACB，φA、φB、φC分别为(0°、120°、240°)
4、Acuview2上和HMI上检查交流电相电压Van、Vbn、Vcn、Vlnavg测量值是否满足精度要求0.1%</t>
  </si>
  <si>
    <t>Function_AcuRev1320_002_01_case6_4</t>
  </si>
  <si>
    <t>交流电Van、Vbn、Vcn输入额定电压为(120V,120V,120V)顺序，且φA、φB、φC分别为(0°、130°、250°)，Van、Vbn、Vcn、Vlnavg测量值满足精度要求0.1%</t>
  </si>
  <si>
    <t>1、连接AcuRev1320电表到Acuview2上，链接状态为connected
2、交流电源输入相电压Van、Vbn、Vcn的额定电压为120V。
3、电表相序设置为ABC，φA、φB、φC分别为(0°、130°、250°)
4、Acuview2上和HMI上检查交流电相电压Van、Vbn、Vcn、Vlnavg测量值是否满足精度要求0.1%
5、检查web页面上是否与Acuview2、HMI上交流电相电压一致，是否在范围内</t>
  </si>
  <si>
    <t>4、Acuview2上和HMI上检查交流电相电压均在精度范围内，范围(V):119.8800 ~ 120.1200 ， Vlnavg范围(V)：119.8800 ~ 120.1200 
5、检查web页面上与Acuview2、HMI上交流电相电压一致，在范围内</t>
  </si>
  <si>
    <t>Function_AcuRev1320_002_01_case7_1</t>
  </si>
  <si>
    <t>只加电压,看电压正常精度正常， 电流测量值为0</t>
    <phoneticPr fontId="10" type="noConversion"/>
  </si>
  <si>
    <t>1、连接AcuRev1320电表到Acuview2上，链接状态为connected
2、交流电源输入相电压Van、Vbn、Vcn的额定电压为120V。
3、电表相序设置为ABC，φA、φB、φC分别为(0°、240°、120°)
4、电表未接电流。
5、Acuview2上和HMI上检查交流电相电压Van、Vbn、Vcn、Vlnavg测量值是否满足精度要求0.1%
6、ABC三相, 输入通道input1-3、电流是否均为0A</t>
  </si>
  <si>
    <t>5、Acuview2上和HMI上检查交流电相电压Van、Vbn、Vcn、Vlnavg测量值满足精度要求0.1%
6、ABC三相, 输入通道input1-3电流均为0A</t>
  </si>
  <si>
    <t>LV3</t>
    <phoneticPr fontId="10" type="noConversion"/>
  </si>
  <si>
    <t>Function_AcuRev1320_002_01_case7_2</t>
  </si>
  <si>
    <t>5、Acuview2上和HMI上检查交流电相电压Van、Vbn、Vcn、Vlnavg测量值为0V
6、ABC三相, 输入通道input1-3、用户user1电流均为3A，同时功率、夹角、能量不计算
10、ABC三相, 输入通道input1-3、用户user1电流均为3A，同时计算功率、夹角、能量</t>
  </si>
  <si>
    <t>Function_AcuRev1320_002_01_case7_3</t>
  </si>
  <si>
    <t>电表接入电压线束，但交流源没有开机的情况下，电表可以测试到电压值为0V</t>
    <phoneticPr fontId="10" type="noConversion"/>
  </si>
  <si>
    <t>1、电表接入电压线束，但交流源没有开机的情况下，
2、检查电表可以测试到电压值是否为0V</t>
    <phoneticPr fontId="10" type="noConversion"/>
  </si>
  <si>
    <t>2、检查电表可以测试到电压值为0V</t>
    <phoneticPr fontId="10" type="noConversion"/>
  </si>
  <si>
    <t>Function_AcuRev1320_002_01_case8</t>
  </si>
  <si>
    <t>1、连接AcuRev1320电表到Acuview2上，链接状态为connected
2、交流电源输入相电压Van、Vbn、Vcn的额定电压为480V。
3、Acuview2上和HMI上检查交流电相电压是否均在精度范围内，
Van、Vbn、Vcn范围(V):479.52 ~ 480.48， Vlnavg范围(V)：479.52 ~ 480.48
4、检查web页面与Acuview2、HMI上交流电相电压是否一致，是否均在精度范围内</t>
  </si>
  <si>
    <t>3、Acuview2上和HMI上检查交流电相电压均在精度范围内，范围(V):Van、Vbn、Vcn范围(V):479.52 ~ 480.48， Vlnavg范围(V)：479.52 ~ 480.48
4、 以上步骤中，检查web页面与Acuview2、HMI上交流电相电压一致，均在精度范围内</t>
  </si>
  <si>
    <t>线-线电压(线电压)验证</t>
  </si>
  <si>
    <t>Function_AcuRev1320_002_02_case1</t>
  </si>
  <si>
    <t>交流电Van、Vbn、Vcn均输入电压69V和120V, 测量Vab，Vac、Vbc、Vllavg精度均满足要求0.1%</t>
    <phoneticPr fontId="10" type="noConversion"/>
  </si>
  <si>
    <t>1、连接AcuRev1320电表到Acuview2上，链接状态为connected
2、交流电源输入相电压Van、Vbn、Vcn的额定电压为69V。
3、Acuview2上和HMI上检查交流电相电压是否均在精度范围内，范围(V):119.388492 ~ 119.627508， Vllavg范围(V)：119.388492 ~ 119.627508
4、交流电源输入相电压Van、Vbn、Vcn的额定电压为120V。
5、Acuview2上和HMI上检查交流电相电压是否均在精度范围内，范围(V):207.63216 ~ 208.04784， Vllavg范围(V)：207.63216 ~ 208.04784
6、以上步骤中，检查web页面是否与Acuview2上、hmi数据保持一致，是否均在范围内</t>
  </si>
  <si>
    <t>3、Acuview2上和HMI上检查交流电相电压均在精度范围内，范围(V):119.388492 ~ 119.627508， Vllavg范围(V)：119.388492 ~ 119.627508
5、Acuview2上和HMI上检查交流电相电压均在精度范围内，范围(V):207.63216 ~ 208.04784， Vllavg范围(V)：207.63216 ~ 208.04784
6、以上步骤中，检查web页面与Acuview2上、hmi数据保持一致，均在范围内</t>
  </si>
  <si>
    <t>Function_AcuRev1320_002_02_case2</t>
  </si>
  <si>
    <t>交流电Van、Vbn、Vcn均输入电压230V和347V,测量Vab，Vac、Vbc、Vllavg精度均满足要求0.1%</t>
  </si>
  <si>
    <t>1、连接AcuRev1320电表到Acuview2上，链接状态为connected
2、交流电源输入相电压Van、Vbn、Vcn的额定电压为230V。
3、Acuview2上和HMI上检查交流电相电压是否均在精度范围内，范围(V):397.96164 ~ 398.75836， Vllavg范围(V)：397.96164 ~ 398.75836
4、交流电源输入相电压Van、Vbn、Vcn的额定电压为。
5、Acuview2上和HMI上检查交流电相电压是否均在精度范围内347，范围(V):600.402996 ~ 601.605004， Vllavg范围(V)：600.402996 ~ 601.605004
6、以上步骤中，检查web页面是否与Acuview2上、hmi数据保持一致，是否均在范围内</t>
  </si>
  <si>
    <t>3、Acuview2上和HMI上检查交流电相电压均在精度范围内，范围(V):397.96164 ~ 398.75836， Vllavg范围(V)：397.96164 ~ 398.75836
5、Acuview2上和HMI上检查交流电相电压均在精度范围内347，范围(V):600.402996 ~ 601.605004， Vllavg范围(V)：600.402996 ~ 601.605004
6、以上步骤中，检查web页面与Acuview2上、hmi数据保持一致，均在范围内</t>
  </si>
  <si>
    <t>Function_AcuRev1320_002_02_case3</t>
    <phoneticPr fontId="10" type="noConversion"/>
  </si>
  <si>
    <t>交流电Van、Vbn、Vcn均输入启动电压10.2V、20V,电表有测量值，测量Vab，Vac、Vbc、Vllavg精度没有要求</t>
    <phoneticPr fontId="10" type="noConversion"/>
  </si>
  <si>
    <t>1、连接AcuRev1320电表到Acuview2上，链接状态为connected
2、交流电源输入相电压Van、Vbn、Vcn的额定电压为10.2V。
3、Acuview2上和HMI上检查交流电线电压是否有测量显示， 精度没有要求
4、交流电源输入相电压Van、Vbn、Vcn的额定电压为20V。
5、Acuview2上和HMI上检查交流电线电压是否有测量显示, 精度没有要求</t>
  </si>
  <si>
    <t>3、Acuview2上和HMI上检查交流电线电压有测量显示，精度没有要求
5、Acuview2上和HMI上检查交流电线电压有测量显示，精度没有要求</t>
  </si>
  <si>
    <t>Function_AcuRev1320_002_02_case4</t>
    <phoneticPr fontId="10" type="noConversion"/>
  </si>
  <si>
    <t>交流电Van、Vbn、Vcn均输入电压0V，1V，9V,电表Vab，Vac、Vbc、Vllavg无测量值</t>
    <phoneticPr fontId="10" type="noConversion"/>
  </si>
  <si>
    <t>Function_AcuRev1320_002_02_case5</t>
    <phoneticPr fontId="10" type="noConversion"/>
  </si>
  <si>
    <t>交流电Van、Vbn、Vcn输入额定电压为(69V,120V,230V), θA、θB、θC分别为(0°、60°、120°)测量Vab，Vac、Vbc、Vllavg满足精度要求0.1%</t>
    <phoneticPr fontId="10" type="noConversion"/>
  </si>
  <si>
    <t>Function_AcuRev1320_002_02_case6_1</t>
    <phoneticPr fontId="10" type="noConversion"/>
  </si>
  <si>
    <t>交流电Van、Vbn、Vcn输入额定电压为(120V,120V,120V),逆序，且φA、φB、φC分别为(0°、260°、140°)，Vab、Vac、Vbc、Vllavg测量值满足精度要求0.1%</t>
    <phoneticPr fontId="10" type="noConversion"/>
  </si>
  <si>
    <t>1、连接AcuRev1320电表到Acuview2上，链接状态为connected
2、交流电源输入相电压Van、Vbn、Vcn的额定电压为120V。
3、电表相序设置为ACB，φA、φB、φC分别为(0°、260°、140°)
4、Acuview2上和HMI上检查交流电相电压Vab、Vac、Vbc、Vllavg测量值是否满足精度要求0.1%</t>
  </si>
  <si>
    <t>4、Acuview2上和HMI上检查交流电相电压均在精度范围内，详细如下:
Vab：183.8507  183.6668 ~ 184.0345 
Vcb：207.8461  207.6383 ~ 208.0539 	
Vca：225.5262  225.3007 ~ 225.7518 	
Vlnavg：205.7410  205.5353 ~ 205.9467</t>
    <phoneticPr fontId="10" type="noConversion"/>
  </si>
  <si>
    <t>LV2</t>
    <phoneticPr fontId="10" type="noConversion"/>
  </si>
  <si>
    <t>Function_AcuRev1320_002_02_case6_2</t>
  </si>
  <si>
    <t>交流电Van、Vbn、Vcn输入额定电压为(220V,220V,220V),顺序，且φA、φB、φC分别为(0°、260°、140°)，Vab、Vac、Vbc、Vllavg测量值满足精度要求0.1%</t>
    <phoneticPr fontId="10" type="noConversion"/>
  </si>
  <si>
    <t>1、连接AcuRev1320电表到Acuview2上，链接状态为connected
2、交流电源输入相电压Van、Vbn、Vcn的额定电压为120V。
3、电表相序设置为ABC，φA、φB、φC分别为(0°、260°、140°)
4、Acuview2上和HMI上检查交流电相电压Vab、Vac、Vbc、Vllavg测量值是否满足精度要求0.1%</t>
  </si>
  <si>
    <t>Function_AcuRev1320_002_02_case7</t>
    <phoneticPr fontId="10" type="noConversion"/>
  </si>
  <si>
    <t>交流电Van、Vbn、Vcn输入额定电压分别均为479.2V （电气规格支持的最大线电压830）,测量Vab、Vac、Vbc、Vllavg测量值满足精度要求0.1%</t>
    <phoneticPr fontId="10" type="noConversion"/>
  </si>
  <si>
    <t>1、连接AcuRev1320电表到Acuview2上，链接状态为connected
2、交流电源输入相电压Van、Vbn、Vcn的额定电压为479.2V
3、电表相序设置为ABC，φA、φB、φC分别为(0°、240°、120°)
4、Acuview2上和HMI上检查交流电相电压Vab、Vac、Vbc、Vllavg测量值是否满足精度要求0.1%</t>
  </si>
  <si>
    <t>4、Acuview2上和HMI上检查交流电相电压均在精度范围内，详细如下:
Vab：829.8255  828.9957 ~ 830.6554
Vcb：829.8255  828.9957 ~ 830.6554
Vca：829.8255  828.9957 ~ 830.6554
Vlnavg：829.8255  828.9957 ~ 830.6554</t>
  </si>
  <si>
    <t>交流电流</t>
  </si>
  <si>
    <t>相电流测量验证</t>
  </si>
  <si>
    <t>Function_AcuRev1320_003_01_case1</t>
  </si>
  <si>
    <t>CT选型5A/333mV，3E4WY，输入三路电流分别为(5A、5A，5A)，在上位机上分别配置为对应A相、B相、C相，测量Ia,Ib,Ic,Iavg满足精度0.1%</t>
    <phoneticPr fontId="10" type="noConversion"/>
  </si>
  <si>
    <t>1、连接AcuRev1320电表到Acuview2上，链接状态为connected
2、输入三路电流分别为(5A、5A，5A)，在上位机上分别配置为对应A相、B相、C相
3、Acuview2上和HMI上检查交流电相电流是否均在精度0.1%范围内
4、检查web页面上，电流数据是否与Acuview2、HMI一致，是否均在范围内</t>
  </si>
  <si>
    <t>3、Acuview2上和HMI上检查交流电相电流均在精度范围内
4、检查web页面上，电流数据与Acuview2、HMI一致，均在范围内
Ia：	4.995	~	5.005
Ib:	4.995	~	5.005
Ic:	4.995	~	5.005
Iavg:	4.995	~	5.005</t>
  </si>
  <si>
    <t>Function_AcuRev1320_003_01_case2</t>
  </si>
  <si>
    <t>1、连接AcuRev1320电表到Acuview2上，链接状态为connected
2、输入三路电流分别为（0.05，0.05，0.05）,在上位机上分别配置为对应A相、B相、C相。
3、Acuview2上和HMI上检查交流电相电流是否均在精度0.1%范围内</t>
  </si>
  <si>
    <t>Function_AcuRev1320_003_01_case3</t>
    <phoneticPr fontId="10" type="noConversion"/>
  </si>
  <si>
    <t>1、连接AcuRev1320电表到Acuview2上，链接状态为connected
2、输入一路电流分别为（6A），在上位机均配置为对应A相
3、Acuview2上和HMI上检查交流电相电流是否均在精度0.1%范围内</t>
  </si>
  <si>
    <t>Function_AcuRev1320_003_01_case4</t>
    <phoneticPr fontId="10" type="noConversion"/>
  </si>
  <si>
    <t>CT选型5A/333mV，输入两路电流分别为(4A、5A),在上位机均配置为对应B相和C相，测量Ia,Ib,Ic,Iavg满足精度0.1%</t>
    <phoneticPr fontId="10" type="noConversion"/>
  </si>
  <si>
    <t>1、连接AcuRev1320电表到Acuview2上，链接状态为connected
2、输入两路电流分别为(4A、5A),在上位机均配置为对应B相和C相。
3、Acuview2上和HMI上检查交流电相电流是否均在精度0.1%范围内</t>
  </si>
  <si>
    <t>3、Acuview2上和HMI上检查交流电相电流均在精度范围内
Ia：	0	~	0
Ib:	3.996	~	4.004
Ic:	4.995	~	5.005
Iavg:	2.997	~	3.003</t>
  </si>
  <si>
    <t>Function_AcuRev1320_003_01_case5</t>
  </si>
  <si>
    <t>CT选型5A/333mV，输入三路电流(0.005A、0.03A、0.00375A)，在上位机上分别配置为对应A相、B相、C相，测量Ia,Ib,Ic,Iavg有显示值，无精度要求</t>
    <phoneticPr fontId="10" type="noConversion"/>
  </si>
  <si>
    <t>1、连接AcuRev1320电表到Acuview2上，链接状态为connected
2、输入三路电流(0.005A、0.03A、0.00375A)，在上位机上分别配置为对应A相、B相、C相。
3、Acuview2上和HMI上检查交流电相电流是否均在精度0.1%范围内</t>
  </si>
  <si>
    <t xml:space="preserve">3、Acuview2上和HMI上检查交流电相电流有测量数据，无精度要求。
</t>
    <phoneticPr fontId="10" type="noConversion"/>
  </si>
  <si>
    <t>Function_AcuRev1320_003_01_case6</t>
  </si>
  <si>
    <t>1、连接AcuRev1320电表到Acuview2上，链接状态为connected
2、输入三路电流(0.003A、0.00370A、0A)，在上位机上分别配置为对应A相、B相、C相。
3、Acuview上检查交流电相电流是否均均为0A</t>
  </si>
  <si>
    <t>Function_AcuRev1320_003_01_case7</t>
  </si>
  <si>
    <t>CT选型5A/333mV，输入三路电流分别为(3A、4A，5A)，顺序ABC，相角设置为(0°、240°、120°)，电表设置电流分别为Positive、Negative，在上位机上分别配置为对应A相、B相、C相，测量Ia,Ib,Ic,Iavg满足精度0.1%</t>
    <phoneticPr fontId="10" type="noConversion"/>
  </si>
  <si>
    <t>1、连接AcuRev1320电表到Acuview2上，链接状态为connected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8、查看web页面是否与上位机及电表保持一致</t>
  </si>
  <si>
    <t>Function_AcuRev1320_003_01_case8_1</t>
    <phoneticPr fontId="10" type="noConversion"/>
  </si>
  <si>
    <t>5、Acuview2上和HMI上检查交流电相电流均在精度范围内
8、查看web页面与电表及上位机保持一致</t>
  </si>
  <si>
    <t>Function_AcuRev1320_003_01_case8_2</t>
  </si>
  <si>
    <t>1、连接AcuRev1320电表到Acuview2上，链接状态为connected
2、输入三路电流分别为(25A、25A，25A)，在上位机上分别配置为对应A相、B相、C相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7、Acuview2上和HMI上检查交流电相电流是否均在精度0.5%范围内
8、查看web页面是否与电表及上位机保持一致</t>
  </si>
  <si>
    <t>Function_AcuRev1320_003_01_case8_3</t>
  </si>
  <si>
    <t>1、连接AcuRev1320电表到Acuview2上，链接状态为connected
2、输入三路电流分别为(50A、50A，50A)，在上位机上分别配置为对应A相、B相、C相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7、Acuview2上和HMI上检查交流电相电流是否均在精度0.5%范围内
8、查看web页面是否与电表及上位机保持一致</t>
  </si>
  <si>
    <t>Function_AcuRev1320_003_01_case9</t>
    <phoneticPr fontId="10" type="noConversion"/>
  </si>
  <si>
    <t>CT选型20A/100mA，输入三路电流分别为(0.16A、1.6A，20A),在上位机上分别配置为对应A相、B相、C相，测量Ia,Ib,Ic,Iavg满足精度0.1%</t>
    <phoneticPr fontId="10" type="noConversion"/>
  </si>
  <si>
    <t>1、连接AcuRev1320电表到Acuview2上，链接状态为connected
2、输入三路电流分别为(0.16A、1.6A，20A),在上位机上分别配置为对应A相、B相、C相。
3、Acuview2上和HMI上检查交流电相电流是否均在精度0.1%范围内
4、检查web页面上显示的电流数据是否与上位机及表计上的值一致，是否均在范围内</t>
  </si>
  <si>
    <t>3、Acuview2上和HMI上检查交流电相电流均在精度范围内
Ia：	0.15984	~	0.16016
Ib:	1.5984	~	1.6016
Ic:	19.98 ~	20.02
Iavg:	7.2388 ~7.2533
4、检查web页面上显示的电流数据与上位机及表计上的值一致，均在范围内</t>
  </si>
  <si>
    <t>Function_AcuRev1320_003_01_case10</t>
  </si>
  <si>
    <t>CT选型20A/100mA，输入三路电流范围外(2.5A、2A，1A)，在上位机上分别配置为对应A相、B相、C相，断开电流输入，则Ia,Ib,Ic,Iavg值立即为0A</t>
    <phoneticPr fontId="10" type="noConversion"/>
  </si>
  <si>
    <t>1、连接AcuRev1320电表到Acuview2上，链接状态为connected
1.1、Uabc 均为100V，角度为(0°, 240°，120°)
2、输入三路电流范围外(2.5A、2A，1A)
3、Acuview2上和HMI上检查交流电相电流是否均在精度0.1%范围内。
4、断开电流输入
5、Acuview2上和HMI上检查则Ia,Ib,Ic,Iavg值是否立即为0A</t>
  </si>
  <si>
    <t>3、Acuview2上和HMI上检查交流电相电流均在精度0.1%范围内。
5、Acuview2上和HMI上Ia,Ib,Ic,Iavg值立即为0A</t>
    <phoneticPr fontId="10" type="noConversion"/>
  </si>
  <si>
    <t>Function_AcuRev1320_003_01_case11</t>
    <phoneticPr fontId="10" type="noConversion"/>
  </si>
  <si>
    <t>CT选型20A/100mA，输入三路电流分别为(3A、4A，5A)，顺序ABC，相角设置为(0°、240°、120°)，电表设置电流为Negative，在上位机上分别配置为对应A相、B相、C相，测量Ia,Ib,Ic,Iavg满足精度0.1%</t>
    <phoneticPr fontId="10" type="noConversion"/>
  </si>
  <si>
    <t>5、Acuview2上和HMI上检查交流电相电流均在精度范围内
Ia： 2.997 ~ 3.003
Ib: 3.996 ~ 4.004
Ic: 4.995 ~ 5.005
Iavg: 3.996 ~ 4.004
6、Acuview2上和HMI上检查交流电相电流均在精度范围内
Ia：2.997 ~ 3.003
Ib: 3.996 ~ 4.004
Ic: 4.995 ~ 5.005
Iavg: 3.996 ~ 4.004
8、检查PF为-1， 系统PhaseABC有功功率为-0.3kw，-0.4kw， -0.5kw， 系统PhaseABC视在功率为0.3kw，0.4kw， 0.5kw</t>
    <phoneticPr fontId="10" type="noConversion"/>
  </si>
  <si>
    <t>4路输入对应不同接线方式电流验证</t>
    <phoneticPr fontId="10" type="noConversion"/>
  </si>
  <si>
    <t>Function_AcuRev1320_003_02_case1</t>
  </si>
  <si>
    <t>CT选型5A/333mV，1E1p2w输入InputA电流为3A，测量InputA电流精度0.1%</t>
    <phoneticPr fontId="10" type="noConversion"/>
  </si>
  <si>
    <t>1、Acuview2上位机
2、网线/RTU串口线
3、AcuRev1320电表
4、接线方式为1E1p2w</t>
  </si>
  <si>
    <t>1、连接AcuRev1320电表到Acuview2上，链接状态为connected
2、1E1p2w输入InputA电流为3A
3、Acuview2上和HMI上检查电流InputA是否均在精度范围内
4、检查web页面中电流相关数据是否与上位机及HMI显示一致</t>
  </si>
  <si>
    <t>3、Acuview2上和HMI上检查电流InputA在精度范围内
4、检查web页面中电流相关数据与上位机及HMI显示一致
IA:	2.997	~	3.003</t>
  </si>
  <si>
    <t>4路输入对应不同接线方式电流验证</t>
  </si>
  <si>
    <t>Function_AcuRev1320_003_02_case2</t>
  </si>
  <si>
    <t>CT选型5A/333mV，2ELEMENT_3_WIRE_PHASE_1接线输入InputA、InputC电流为(3A、5A)，测量InputA、InputC电流精度0.1%</t>
    <phoneticPr fontId="10" type="noConversion"/>
  </si>
  <si>
    <t>1、Acuview2上位机
2、网线/RTU串口线
3、AcuRev1320电表
4、接线方式为2ELEMENT_3_WIRE_PHASE_1接线</t>
  </si>
  <si>
    <t>1、连接AcuRev1320电表到Acuview2上，链接状态为connected
2、2ELEMENT_3_WIRE_PHASE_1接线输入InputA、InputC电流为(3A、5A)
3、Acuview2上和HMI上检查电流InputA、InputC是否均在精度范围内
4、检查web页面中电流相关数据是否与上位机及HMI显示一致</t>
  </si>
  <si>
    <t>3、Acuview2上和HMI上检查电流InputA、InputC均在精度范围内
4、检查web页面中电流相关数据与上位机及HMI显示一致
Ia:	2.997	~	3.003
Ic:	4.995	~	5.005</t>
  </si>
  <si>
    <t>Function_AcuRev1320_003_02_case3</t>
  </si>
  <si>
    <t>1、Acuview2上位机
2、网线/RTU串口线
3、AcuRev1320电表
4、接线方式为3ELEMENT_4_WIRE_Y</t>
  </si>
  <si>
    <t>1、连接AcuRev1320电表到Acuview2上，链接状态为connected
2、3ELEMENT_4_WIRE_Y接线输入InputA&amp;B&amp;C相电流为(3A、4A，5A)
3、Acuview2上和HMI上检查电流InputA&amp;B&amp;C是否均在精度范围内</t>
  </si>
  <si>
    <t>3、Acuview2上和HMI上检查电流InputA、InputB、InputC均在精度范围内，
Ia:	2.997	~	3.003
Ib:	3.996	~	4.004
Ic:	4.995	~	5.005</t>
  </si>
  <si>
    <t>Function_AcuRev1320_003_02_case4</t>
  </si>
  <si>
    <t>1、Acuview2上位机
2、网线/RTU串口线
3、AcuRev1320电表
4、接线方式为2 ELEMENT 3 WIRE Delta</t>
  </si>
  <si>
    <t>3、Acuview2上和HMI上检查电流InputA、InputC均在精度范围内，
4、检查web页面电流相关数据与上位机、hmi一致，均符合精度要求
Ia:	5.994	~	6.006
Ic:	5.994	~	6.006</t>
  </si>
  <si>
    <t>LV1</t>
    <phoneticPr fontId="10" type="noConversion"/>
  </si>
  <si>
    <t>Function_AcuRev1320_003_02_case5</t>
  </si>
  <si>
    <t>1、Acuview2上位机
2、网线/RTU串口线
3、AcuRev1320电表
4、接线方式为2 ELEMENT 3 WIRE Network</t>
  </si>
  <si>
    <t>Function_AcuRev1320_003_02_case6</t>
  </si>
  <si>
    <t>CT选型5A/333mV，3 ELEMENT 4 WIRE Delta 接线输入InputA&amp;B&amp;C电流为(2.5A、2.5A，2.5A)，测量InputA&amp;B&amp;C电流精度0.1%</t>
    <phoneticPr fontId="10" type="noConversion"/>
  </si>
  <si>
    <t>1、Acuview2上位机
2、网线/RTU串口线
3、AcuRev1320电表
4、接线方式为3 ELEMENT 4 WIRE Delta</t>
  </si>
  <si>
    <t>1、连接AcuRev1320电表到Acuview2上，链接状态为connected
2、3ELEMENT_4_WIRE_Delta接线输入InputA&amp;B&amp;C电流为(2.5A、2.5A，2.5A)
3、Acuview2上和HMI上检查电流InputA&amp;B&amp;C是否均在精度范围内
4、检查web页面电流相关数据是否与上位机、hmi一致，均符合精度要求</t>
  </si>
  <si>
    <t xml:space="preserve">3、Acuview2上和HMI上检查电流InputA&amp;B&amp;C均在精度范围内，
4、检查web页面电流相关数据与上位机、hmi一致，均符合精度要求
Ia:	2.4975	~	2.5025
Ib:	2.4975	~	2.5025
Ic:	2.4975	~	2.5025
</t>
  </si>
  <si>
    <t>Function_AcuRev1320_003_02_case7</t>
  </si>
  <si>
    <t>1、Acuview2上位机
2、网线/RTU串口线
3、AcuRev1320电表
4、接线方式为3 ELEMENT 4 WIRE Y</t>
  </si>
  <si>
    <t>1、连接AcuRev1320电表到Acuview2上，链接状态为connected
2、3ELEMENT_4_WIRE_Y接线输入Ia、Ib、Ic 电流为(2A、3A，4A)，角度为（0，240，120）
3、Acuview2上和HMI上检查电流In的电流幅值和角度符合预期</t>
  </si>
  <si>
    <t>Function_AcuRev1320_003_02_case8</t>
  </si>
  <si>
    <t>CT选型5A/333mV，3 ELEMENT 4 WIRE Y 接线输入Ia、Ib、Ic 电流为(3A、3A，3A)，角度为（0，240，150）测量In 电流</t>
    <phoneticPr fontId="10" type="noConversion"/>
  </si>
  <si>
    <t>1、连接AcuRev1320电表到Acuview2上，链接状态为connected
2、3ELEMENT_4_WIRE_Y接线输入Ia、Ib、Ic 电流为(3A、3A，3A)，角度为（0，240，150）
3、Acuview2上和HMI上检查电流In的电流幅值和角度符合预期</t>
  </si>
  <si>
    <t>Function_AcuRev1320_003_02_case9</t>
  </si>
  <si>
    <t>CT选型5A/333mV，3 ELEMENT 4 WIRE Delta 接线输入Ia、Ib、Ic 电流为(2A、3A，4A)，角度为（0，240，120）测量In 电流</t>
    <phoneticPr fontId="10" type="noConversion"/>
  </si>
  <si>
    <t>1、连接AcuRev1320电表到Acuview2上，链接状态为connected
2、3 ELEMENT 4 WIRE Delta接线输入Ia、Ib、Ic 电流为(2A、3A，4A)，角度为（0，240，120）
3、Acuview2上和HMI上检查电流In的电流幅值和角度符合预期</t>
  </si>
  <si>
    <t>Function_AcuRev1320_003_02_case10</t>
  </si>
  <si>
    <t>1、连接AcuRev1320电表到Acuview2上，链接状态为connected
2、3 ELEMENT 4 WIRE Delta接线输入Ia、Ib、Ic 电流为(3A、3A，3A)，角度为（0，240，150）
3、Acuview2上和HMI上检查电流In的电流幅值和角度符合预期</t>
  </si>
  <si>
    <t>Function_AcuRev1320_003_02_case11</t>
  </si>
  <si>
    <t>CT选型5A/333mV，Independent Input Channel使能，3 ELEMENT 4 WIRE Y 接线输入Ia、Ib、Ic、In 电流为(2A、3A，4A，5A)，角度（0，240，120，200）测量4路电流与平均电流精度满足预期</t>
    <phoneticPr fontId="10" type="noConversion"/>
  </si>
  <si>
    <t>1、连接AcuRev1320电表到Acuview2上，链接状态为connected
2、3ELEMENT_4_WIRE_Y接线输入Ia、Ib、Ic、In电流为(2A、3A，4A, 5A),角度（0，240，120，200）
3、Acuview2上和HMI上检查电流的幅值精度符合预期</t>
  </si>
  <si>
    <t>Function_AcuRev1320_003_02_case12</t>
  </si>
  <si>
    <t>1、Acuview2上位机
2、网线/RTU串口线
3、AcuRev1320电表
4、接线方式为3E3p4w</t>
  </si>
  <si>
    <t>1、连接AcuRev1320电表到Acuview2上，链接状态为connected
2、3ELEMENT_4_WIRE_Y接线输入InputA&amp;B&amp;C电流为(5A、15A、20A)
3、Acuview2上和HMI上检查电流InputA&amp;B&amp;C是否均在精度范围内</t>
  </si>
  <si>
    <t>3、Acuview2上和HMI上检查电流InputA&amp;B&amp;C均在精度范围内，
Ia: 4.995 ~	5.005
Ib: 14.985 ~ 15.015
Ic: 19.98 ~	20.02</t>
  </si>
  <si>
    <t>Function_AcuRev1320_003_02_case13</t>
  </si>
  <si>
    <t>CT选型20A/100mA，3 ELEMENT 4 WIRE Delta 接线输入InputA&amp;B&amp;C电流为(19.2A、19.2A，19.2A)，测量InputA&amp;B&amp;C电流精度0.1%</t>
    <phoneticPr fontId="10" type="noConversion"/>
  </si>
  <si>
    <t>1、连接AcuRev1320电表到Acuview2上，链接状态为connected
2、3ELEMENT_4_WIRE_Y接线输入InputA&amp;B&amp;C电流为(19.2A、19.2A，19.2A)
3、Acuview2上和HMI上检查电流InputA&amp;B&amp;C是否均在精度范围内</t>
  </si>
  <si>
    <t xml:space="preserve">3、Acuview2上和HMI上检查电流Input1~3均在精度范围内，
Ia:	19.1808	~	19.2192
Ib:	19.1808	~	19.2192
Ic:	19.1808	~	19.2192
</t>
  </si>
  <si>
    <t>Function_AcuRev1320_003_02_case14</t>
  </si>
  <si>
    <t>CT选型20A/100mA，3 ELEMENT 4 WIRE Y 接线输入Ia、Ib、Ic 电流为(8A、10A，12A)，角度为（0，240，120）测量In 电流</t>
    <phoneticPr fontId="10" type="noConversion"/>
  </si>
  <si>
    <t>1、连接AcuRev1320电表到Acuview2上，链接状态为connected
2、3ELEMENT_4_WIRE_Y接线输入Ia、Ib、Ic 电流为(8A、10A，12A)，角度为（0，240，120）
3、Acuview2上和HMI上检查电流In的电流幅值和角度符合预期</t>
  </si>
  <si>
    <t>Function_AcuRev1320_003_02_case15</t>
  </si>
  <si>
    <t>1、连接AcuRev1320电表到Acuview2上，链接状态为connected
2、3ELEMENT_4_WIRE_Y接线输入Ia、Ib、Ic 电流为(8A、8A，8A)，角度为（0，240，150）
3、Acuview2上和HMI上检查电流In的电流幅值和角度符合预期</t>
  </si>
  <si>
    <t>Function_AcuRev1320_003_02_case16</t>
  </si>
  <si>
    <t>CT选型20A/100mA，3 ELEMENT 4 WIRE Delta 接线输入Ia、Ib、Ic 电流为(8A、10A，12A)，角度为（0，240，120）测量In 电流</t>
    <phoneticPr fontId="10" type="noConversion"/>
  </si>
  <si>
    <t>1、连接AcuRev1320电表到Acuview2上，链接状态为connected
2、3 ELEMENT 4 WIRE Delta接线输入Ia、Ib、Ic 电流为(8A、10A，12A)，角度为（0，240，120）
3、Acuview2上和HMI上检查电流In的电流幅值和角度符合预期</t>
  </si>
  <si>
    <t>Function_AcuRev1320_003_02_case17</t>
  </si>
  <si>
    <t>CT选型20A/100mA，3 ELEMENT 4 WIRE Delta 接线输入Ia、Ib、Ic 电流为(8A、8A，8A)，角度为（0，240，150）测量In 电流</t>
    <phoneticPr fontId="10" type="noConversion"/>
  </si>
  <si>
    <t>1、连接AcuRev1320电表到Acuview2上，链接状态为connected
2、3 ELEMENT 4 WIRE Delta接线输入Ia、Ib、Ic 电流为(8A、8A，8A)，角度为（0，240，150）
3、Acuview2上和HMI上检查电流In的电流幅值和角度符合预期</t>
  </si>
  <si>
    <t>Function_AcuRev1320_003_02_case18</t>
    <phoneticPr fontId="10" type="noConversion"/>
  </si>
  <si>
    <t>1、连接AcuRev1320电表到Acuview2上，链接状态为connected
2、3ELEMENT_4_WIRE_Y接线输入Ia、Ib、Ic、In电流为(5A、10A，15A, 20A),角度（0，240，120，200）
3、Acuview2上和HMI上检查电流的幅值精度符合预期</t>
  </si>
  <si>
    <t>交流功率</t>
  </si>
  <si>
    <t>毫伏型号CT功率及功率因素测量</t>
    <phoneticPr fontId="10" type="noConversion"/>
  </si>
  <si>
    <t>Function_AcuRev1320_004_01_case1</t>
  </si>
  <si>
    <r>
      <t>CT选型5A/333mV，3ELEMENT_4_WIRE_Y接线输入Input1~3(A&amp;B&amp;C相)电流为(3A、3A、3A)，ABC电压均为69V,电压相角θ和电流相角ϕ差值为</t>
    </r>
    <r>
      <rPr>
        <b/>
        <sz val="8"/>
        <color rgb="FF000000"/>
        <rFont val="微软雅黑"/>
        <family val="2"/>
        <charset val="134"/>
      </rPr>
      <t>0°</t>
    </r>
    <r>
      <rPr>
        <sz val="8"/>
        <color rgb="FF000000"/>
        <rFont val="微软雅黑"/>
        <family val="2"/>
        <charset val="134"/>
      </rPr>
      <t>，测量A&amp;B&amp;C的P、Q、S、PF,系统P、Q、S、PF，input1~3通道P、Q、S、PF，功率精度满足0.1%</t>
    </r>
    <phoneticPr fontId="10" type="noConversion"/>
  </si>
  <si>
    <t>1、连接AcuRev1320电表到Acuview2上，链接状态为connected
2、Input1~3(A&amp;B&amp;C相)电流为(3A、3A、3A)， 电压均为69V
3、电压相角θ和电流相角ϕ差值为0°
5、Acuview2上和HMI上检查测量A&amp;B&amp;C、系统、input通道的P、Q、S、PF是否均在精度范围内，
6、检查web页面功率相关数据是否与上位机及电表一致，均在精度范围内</t>
    <phoneticPr fontId="10" type="noConversion"/>
  </si>
  <si>
    <t xml:space="preserve">5、Acuview2上和HMI上检查测量A&amp;B&amp;C、系统、input通道的P、Q、S、PF均在精度范围内0.1%。
6、检查web页面功率相关数据与上位机及电表一致，均在精度范围内
</t>
    <phoneticPr fontId="10" type="noConversion"/>
  </si>
  <si>
    <t>LV0</t>
    <phoneticPr fontId="10" type="noConversion"/>
  </si>
  <si>
    <t>毫伏型号CT功率及功率因素测量</t>
  </si>
  <si>
    <t>Function_AcuRev1320_004_01_case2</t>
    <phoneticPr fontId="10" type="noConversion"/>
  </si>
  <si>
    <t>CT选型5A/333mV，3ELEMENT_4_WIRE_Y接线输入Input1~3(A&amp;B&amp;C相)电流为(3A)，ABC电压均为120V,电压相角θ和电流相角ϕ差值为60°，测量A&amp;B&amp;C的P、Q、S、PF,系统P、Q、S、PF，User1通道P、Q、S、PF，input1~3通道P、Q、S、PF，功率精度满足0.15%</t>
    <phoneticPr fontId="10" type="noConversion"/>
  </si>
  <si>
    <t>1、连接AcuRev1320电表到Acuview2上，链接状态为connected
2、Input1~3(A&amp;B&amp;C相)电流为(3A)， 电压均为120V
3、ABC电压均为120V,电压相角θ和电流相角ϕ差值为60°
5、Acuview2上和HMI上检查测量A&amp;B&amp;C、系统、input通道的P、Q、S、PF是否均在精度范围内，
6、检查web页面功率相关数据是否与上位机及电表一致，均在精度范围内</t>
  </si>
  <si>
    <t>5、Acuview2上和HMI上检查测量A&amp;B&amp;C、系统、input通道的P、Q、S、PF均在精度范围内0.15%
6、检查web页面功率相关数据与上位机及电表一致，均在精度范围内
备注: 使用Excel表格公式计算预期值</t>
    <phoneticPr fontId="10" type="noConversion"/>
  </si>
  <si>
    <t>Function_AcuRev1320_004_01_case3</t>
  </si>
  <si>
    <t>CT选型5A/333mV，3ELEMENT_4_WIRE_Y接线输入Input1~3(A&amp;B&amp;C相)电流为(2.5A)，ABC电压均为220V,电压相角θ和电流相角ϕ差值为120°，测量A&amp;B&amp;C的P、Q、S、PF,系统P、Q、S、PF，input1~3通道P、Q、S、PF，功率精度满足0.15%</t>
    <phoneticPr fontId="10" type="noConversion"/>
  </si>
  <si>
    <t>Function_AcuRev1320_004_01_case4</t>
  </si>
  <si>
    <t>CT选型5A/333mV，3ELEMENT_4_WIRE_Y接线输入Input1~3(A&amp;B&amp;C相)电流为(6A)，ABC电压均为347V,电压相角θ和电流相角ϕ差值为36.87°,测量A&amp;B&amp;C的P、Q、S、PF,系统P、Q、S、PF，input1~3通道P、Q、S、PF，功率精度满足0.15%</t>
    <phoneticPr fontId="10" type="noConversion"/>
  </si>
  <si>
    <t>1、连接AcuRev1320电表到Acuview2上，链接状态为connected
2、Input1~3(A&amp;B&amp;C相)电流为(6A)， 电压均为347V
3、电压相角θ和电流相角ϕ差值为36.87°
5、Acuview2上和HMI上检查测量A&amp;B&amp;C、系统、input通道的P、Q、S、PF是否均在精度范围内，</t>
    <phoneticPr fontId="10" type="noConversion"/>
  </si>
  <si>
    <t>5、Acuview2上和HMI上检查测量A&amp;B&amp;C、系统、input通道的P、Q、S、PF均在精度范围内0.15%</t>
    <phoneticPr fontId="10" type="noConversion"/>
  </si>
  <si>
    <t>Function_AcuRev1320_004_01_case5</t>
  </si>
  <si>
    <t>CT选型5A/333mV，3ELEMENT_4_WIRE_Y接线输入Input1~3(A&amp;B&amp;C相)电流为(2.5A)，ABC电压均为480V,电压相角θ和电流相角ϕ差值为0°，测量A&amp;B&amp;C的P、Q、S、PF,系统P、Q、S、PF，input1~3通道P、Q、S、PF，功率精度满足0.1%</t>
    <phoneticPr fontId="10" type="noConversion"/>
  </si>
  <si>
    <t>1、连接AcuRev1320电表到Acuview2上，链接状态为connected
2、Input1~3(A&amp;B&amp;C相)电流为(2.5A)， 电压均为480V
3、电压相角θ和电流相角ϕ差值为0°
5、Acuview2上和HMI上检查测量A&amp;B&amp;C、系统、input通道的P、Q、S、PF是否均在精度范围内</t>
    <phoneticPr fontId="10" type="noConversion"/>
  </si>
  <si>
    <t>5、Acuview2上和HMI上检查测量A&amp;B&amp;C、系统、input通道的P、Q、S、PF均在精度范围内0.1%</t>
    <phoneticPr fontId="10" type="noConversion"/>
  </si>
  <si>
    <t>Function_AcuRev1320_004_01_case6</t>
  </si>
  <si>
    <t>Function_AcuRev1320_004_01_case7</t>
  </si>
  <si>
    <t xml:space="preserve">5、Acuview2上和HMI上检查测量A&amp;B&amp;C、系统、input通道的P、Q、S、PF均在精度范围内0.2%
备注: 接线方式和input对应取电压值明确后，使用excel 批量计算对应参数。
</t>
    <phoneticPr fontId="10" type="noConversion"/>
  </si>
  <si>
    <t>Function_AcuRev1320_004_01_case8</t>
  </si>
  <si>
    <t>CT选型5A/333mV，3ELEMENT_4_WIRE_Y接线输入Input1~3(A&amp;B&amp;C相)电流为(0.002A、0.003A、0A)，ABC电压均为220V，电压电流相角差值为0°，测量A&amp;B&amp;C相、系统、input通道P、Q、S、PF，功率测量值为0</t>
    <phoneticPr fontId="10" type="noConversion"/>
  </si>
  <si>
    <t>1、连接AcuRev1320电表到Acuview2上，链接状态为connected
2、Input1~3(A&amp;B&amp;C相)电流为(0.002A、0.003A、0A)， 电压均为220V
3、电压相角θ和电流相角ϕ差值为0°
5、Acuview2上和HMI上检查测量A&amp;B&amp;C、系统、input通道的P、Q、S、PF，功率测量值是否全为0.</t>
  </si>
  <si>
    <t>Function_AcuRev1320_004_01_case9</t>
  </si>
  <si>
    <t>3ELEMENT_4_WIRE_Y接线输入Input1~3(A&amp;B&amp;C相)电流为(1A、1A、1A)，ABC电压均为9V，电压电流相角差值为0°，测量A&amp;B&amp;C相、系统、input通道P、Q、S、PF，功率测量值为0</t>
    <phoneticPr fontId="10" type="noConversion"/>
  </si>
  <si>
    <t>1、连接AcuRev1320电表到Acuview2上，链接状态为connected
2、Input1~3(A&amp;B&amp;C相)电流为(1A、1A、1A)， 电压均为9V
3、电压相角θ和电流相角ϕ差值为0°
5、Acuview2上和HMI上检查测量A&amp;B&amp;C、系统、input通道的P、Q、S、PF，功率测量值是否全为0.</t>
  </si>
  <si>
    <t>5、Acuview2上和HMI上检查测量A&amp;B&amp;C、系统、input通道的P、Q、S、PF,功率测量值全为0.</t>
  </si>
  <si>
    <t>Function_AcuRev1320_004_01_case10</t>
  </si>
  <si>
    <t>CT选型5A/333mV, 1E1p2w输入InputA电流为3A，A电压均为120V, 电压相角θ和电流相角ϕ差值为0°，系统P、Q、S、PF，Ia通道P、Q、S、PF，功率精度满足0.1%</t>
    <phoneticPr fontId="10" type="noConversion"/>
  </si>
  <si>
    <t>1、Acuview2上位机
2、网线/RTU串口线
3、AcuRev1320电表
4、接线方式为1E1p2w(A相)</t>
  </si>
  <si>
    <t>1、连接AcuRev1320电表到Acuview2上，链接状态为connected
2、InputA电流为3A， 电压均为120
3、电压相角θ和电流相角ϕ差值为0°
4、Acuview2上和HMI上检查测量A&amp;B&amp;C、系统、input通道的P、Q、S、PF是否均在精度0.1%范围内。</t>
    <phoneticPr fontId="10" type="noConversion"/>
  </si>
  <si>
    <t>4、Acuview2上和HMI上检查测量A、系统、input通道的P、Q、S、PF均在精度范围内0.1%。</t>
    <phoneticPr fontId="10" type="noConversion"/>
  </si>
  <si>
    <t>Function_AcuRev1320_004_01_case11</t>
  </si>
  <si>
    <t>CT选型5A/333mV, 1E1p2w输入InputA相电流为2.5A，A电压为120V, 电压相角θ和电流相角ϕ差值为0°,修改电流方向为Negative， 测量A的P、Q、S、PF，系统P、Q、S、PF，inputA通道P、Q、S、PF，功率精度满足0.1%</t>
    <phoneticPr fontId="10" type="noConversion"/>
  </si>
  <si>
    <t>1、连接AcuRev1320电表到Acuview2上，链接状态为connected
2、InputA电流为2.5A， 电压均为120
3、电压相角θ和电流相角ϕ差值为0°
4、InputA电流方向设置为Positive
5、Acuview2上和HMI上检查测量A、系统、input通道的P、Q、S、PF是否均在精度0.2%范围内。
6、InputA电流方向设置为Positive
7、Acuview2上和HMI上检查测量A、系统、input通道的P、Q、S、PF是否均在精度0.2%范围内。
8、查看web页面与上位机及电表数据是否一致</t>
    <phoneticPr fontId="10" type="noConversion"/>
  </si>
  <si>
    <t>5、Acuview2上和HMI上检查测量A、系统、input通道的P、Q、S、PF均在精度范围内0.1%, 且PF为1
7、Acuview2上和HMI上检查测量A、系统、input通道的P、Q、S、PF均在精度范围内0.1%, 且PF为-1
8、查看web页面与上位机及电表数据一致</t>
    <phoneticPr fontId="10" type="noConversion"/>
  </si>
  <si>
    <t>Function_AcuRev1320_004_01_case12</t>
  </si>
  <si>
    <t>1、Acuview2上位机
2、网线/RTU串口线
3、AcuRev1320电表
4、接线方式为2 ELEMENT_3_WIRE_PHASE_1</t>
  </si>
  <si>
    <t>1、连接AcuRev1320电表到Acuview2上，链接状态为connected
2、InputA、C电流为(6A 6A)， 电压均为120V
3、电压相角θ和电流相角ϕ差值为60°，Va VC的相角为0 240，InputA、C为300°、180° 
4、Acuview2上和HMI上检查测量A&amp;B&amp;C、系统、input通道的P、Q、S、PF是否均在精度范围内
5、检查web页面功率相关数据是否与上位机及电表一致，均在精度范围内</t>
    <phoneticPr fontId="10" type="noConversion"/>
  </si>
  <si>
    <t>Function_AcuRev1320_004_01_case13</t>
  </si>
  <si>
    <t>5、Acuview2上和HMI上检查测量A&amp;B&amp;C、系统、input通道的P、Q、S、PF均在精度范围内0.1%，PF为1
7、Acuview2上和HMI上检查测量A&amp;B&amp;C、系统、input通道的P、Q、S、PF均在精度范围内0.1%，PF为-1</t>
    <phoneticPr fontId="10" type="noConversion"/>
  </si>
  <si>
    <t>Function_AcuRev1320_004_01_case14</t>
  </si>
  <si>
    <t>1、Acuview2上位机
2、网线/RTU串口线
3、AcuRev1320电表
4、接线方式为2_ELEMENT_3_WIRE_NetWork</t>
  </si>
  <si>
    <t>4、Acuview2上和HMI上检查测量A&amp;B&amp;C、系统、input通道的P、Q、S、PF均在精度范围内0.25%
5、检查web页面功率相关数据与上位机及电表一致，均在精度范围内</t>
    <phoneticPr fontId="10" type="noConversion"/>
  </si>
  <si>
    <t>Function_AcuRev1320_004_01_case15</t>
  </si>
  <si>
    <t>1、Acuview2上位机
2、网线/RTU串口线
3、AcuRev1320电表
4、接线方式为2_ELEMENT_3_WIRE_Delta</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</si>
  <si>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3、Acuview2上和HMI上检查测量系统P、Q、S、PF是否均在精度范围内
4、检查web页面功率相关数据是否与上位机及电表一致，均在精度范围内</t>
    <phoneticPr fontId="10" type="noConversion"/>
  </si>
  <si>
    <t>3、Acuview2上和HMI上检查测量系统P、Q、S、PF是否均在精度范围内0.1%
4、检查web页面功率相关数据与上位机及电表一致，均在精度范围内
系统：P=1.350kwh，Q=0.000kvar，S=1.351kva，PF= 1.000
用户：Puser1=1.350kwhkwh，Quser1=0.000kwh，Suser1=1.350kva，PF= 1.000
其他user功率为0，input功率为"-"
备注计算方式：
S = (Uab * Ia + Ubc * Ic) * cos(30)
P = S * cos(压流角)
Q= S^2 - P^2 开根号
压流角： Uab、Ubc、Uca 角度为0°、240°、120°，
Ia、Ic 是330°、90°，换算Iab、Ica是 0°、120°
比较Uab和Iab、Uca和Ica的压流角是0</t>
    <phoneticPr fontId="10" type="noConversion"/>
  </si>
  <si>
    <t>Function_AcuRev1320_004_01_case16</t>
  </si>
  <si>
    <t>1、Acuview2上位机
2、网线/RTU串口线
3、AcuRev1320电表
4、接线方式为3_ELEMENT_4_WIRE_Delta</t>
  </si>
  <si>
    <t xml:space="preserve">
4、Acuview2上和HMI上检查测量系统P、Q、S、PF均在精度范围内0.1%
系统：P=2.0784kw，Q=0kvar，S=2.0784kva，PF=1
备注计算方式：
S = (Uab * Ia + Ubc * Ic) * cos(30)
P = S * cos(压流角)
Q= S^2 - P^2 开根号
Uab、Ubc、Uca 角度为0°、240°、120°
换算：Iab、Ibc、Ica 角度为0°、240°、120°</t>
    <phoneticPr fontId="10" type="noConversion"/>
  </si>
  <si>
    <t>Function_AcuRev1320_004_01_case17</t>
  </si>
  <si>
    <t xml:space="preserve">1、连接AcuRev1320电表到Acuview2上，链接状态为connected
2、Input1~3(A&amp;B&amp;C相)电流为(3A、4A、5A)， 电压均为120
3、电压相角θ和电流相角ϕ差值为0°
4、上位机配置依次对应user1， 无功功率算法设置“True Reactive Power”
5、Acuview2上和HMI上检查测量A&amp;B&amp;C、系统、用户通道、input通道的Q是否均在精度范围内
PhaseA_Q: 0.00	
PhaseB_Q: 0.00	
PhaseC_Q: 0.00	
Sys_Q:	  0.00   
User1_Q: 0.00	
Input1_Q: 0.00	
Input2_Q: 0.00	
Input3_Q: 0.00	
6、上位机配置依次对应user1，无功功率算法设置“Generic Reactive Power”
7、Acuview2上和HMI上检查测量A&amp;B&amp;C、系统、用户通道、input通道的Q是否均在精度范围内
PhaseA_Q: 0.00	
PhaseB_Q: 0.00	
PhaseC_Q: 0.00	
Sys_Q:	  0.00   
User1_Q: 0.00	
Input1_Q: 0.00	
Input2_Q: 0.00	
Input3_Q: 0.00	</t>
    <phoneticPr fontId="10" type="noConversion"/>
  </si>
  <si>
    <t xml:space="preserve">5、7、Acuview2上和HMI上检查测量A&amp;B&amp;C、系统、用户通道、input通道的Q均在精度范围内0.1%
PhaseA_Q: 0.00	
PhaseB_Q: 0.00	
PhaseC_Q: 0.00	
Sys_Q:	  0.00   
User1_Q: 0.00	
Input1_Q: 0.00	
Input2_Q: 0.00	
Input3_Q: 0.00	</t>
    <phoneticPr fontId="10" type="noConversion"/>
  </si>
  <si>
    <t>Function_AcuRev1320_004_01_case18</t>
  </si>
  <si>
    <t>3ELEMENT_4_WIRE_Y接线输入Input1~3(A&amp;B&amp;C相)电流为(3A、4A、5A)，ABC电压均为220V,电压电流相角ϕ差值为0°,配置对应user1,三相电压叠加3次谐波(50%)，无功功率算法设置“Generic Reactive Power”，测量A&amp;B&amp;C的Q,系统Q，User1通道Q，input1~3通道Q，功率精度满足0.1%</t>
    <phoneticPr fontId="10" type="noConversion"/>
  </si>
  <si>
    <t xml:space="preserve">1、连接AcuRev1320电表到Acuview2上，链接状态为connected
2、Input1~3(A&amp;B&amp;C相)电流为(3A、4A、5A)， 电压均为220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phoneticPr fontId="10" type="noConversion"/>
  </si>
  <si>
    <t xml:space="preserve">5、Acuview2上和HMI上检查测量A&amp;B&amp;C、系统、用户通道、input通道的Q均在精度范围内0.1%
PhaseA_Q: 0.00	
PhaseB_Q: 0.00	
PhaseC_Q: 0.00	
Sys_Q:	  0.00   
User1_Q: 0.00	
Input1_Q: 0.00	
Input2_Q: 0.00	
Input3_Q: 0.00	</t>
    <phoneticPr fontId="10" type="noConversion"/>
  </si>
  <si>
    <t>Function_AcuRev1320_004_01_case19</t>
  </si>
  <si>
    <t>毫安型号CT功率及功率因素测量</t>
  </si>
  <si>
    <t>Function_AcuRev1320_004_02_case1</t>
    <phoneticPr fontId="10" type="noConversion"/>
  </si>
  <si>
    <r>
      <t>CT选型20A/100mA，3ELEMENT_4_WIRE_Y接线输入Input1~3(A&amp;B&amp;C相)电流为(2A)，ABC电压均为220V,电压电流相角差值为0°，</t>
    </r>
    <r>
      <rPr>
        <strike/>
        <sz val="8"/>
        <color rgb="FF000000"/>
        <rFont val="微软雅黑"/>
        <family val="2"/>
        <charset val="134"/>
      </rPr>
      <t>,</t>
    </r>
    <r>
      <rPr>
        <sz val="8"/>
        <color rgb="FF000000"/>
        <rFont val="微软雅黑"/>
        <family val="2"/>
        <charset val="134"/>
      </rPr>
      <t>测量A&amp;B&amp;C的,系统，input1~3通道P、Q、S、PF，功率精度满足0.1%</t>
    </r>
    <phoneticPr fontId="10" type="noConversion"/>
  </si>
  <si>
    <t>1、连接AcuRev1320电表到Acuview2上，链接状态为connected
2、Input1~3(A&amp;B&amp;C相)电流为(2A)， 电压均为220V
3、电压相角θ和电流相角ϕ差值为0°
5、Acuview2上和HMI上检查测量A&amp;B&amp;C、系统、input通道的P、Q、S、PF是否均在精度范围内
备注测试方法：通过功率精度计算工具1计算精度范围内值和上位机上值比较</t>
    <phoneticPr fontId="10" type="noConversion"/>
  </si>
  <si>
    <t xml:space="preserve">5、Acuview2上和HMI上检查测量A&amp;B&amp;C、系统、input通道的P、Q、S、PF均在精度范围内0.1%。
备注测试方法：通过功率精度计算工具1计算精度范围内值和上位机上值比较
</t>
    <phoneticPr fontId="10" type="noConversion"/>
  </si>
  <si>
    <t>Function_AcuRev1320_004_02_case2</t>
  </si>
  <si>
    <t>CT选型20A/100mA，3ELEMENT_4_WIRE_Y接线输入Input1~3(A&amp;B&amp;C相)电流为(10A)，ABC电压均为400V,电压相角θ和电流相角ϕ差值为36.87°，测量A&amp;B&amp;C的P、Q、S、PF,系统P、Q、S、PF，input1~3通道P、Q、S、PF，功率精度满足0.15%</t>
    <phoneticPr fontId="10" type="noConversion"/>
  </si>
  <si>
    <t>1、连接AcuRev1320电表到Acuview2上，链接状态为connected
2、Input1~3(A&amp;B&amp;C相)电流为(10A)， 电压均为400V
3、电压相角θ和电流相角ϕ差值为36.87°
5、Acuview2上和HMI上检查测量A&amp;B&amp;C、系统、input通道的P、Q、S、PF是否均在精度范围内
备注测试方法：通过功率精度计算工具1计算精度范围内值和上位机上值比较</t>
    <phoneticPr fontId="10" type="noConversion"/>
  </si>
  <si>
    <t xml:space="preserve">5、Acuview2上和HMI上检查测量A&amp;B&amp;C、系统、input通道的P、Q、S、PF均在精度范围内0.15%
备注测试方法：通过功率精度计算工具1计算精度范围内值和上位机上值比较
</t>
    <phoneticPr fontId="10" type="noConversion"/>
  </si>
  <si>
    <t>Function_AcuRev1320_004_02_case3</t>
  </si>
  <si>
    <t>3ELEMENT_4_WIRE_Y接线输入Input1~3(A&amp;B&amp;C相)电流为(0.025A、0.10A、0.02A)，ABC电压均为220V，电压电流相角差值为0°，测量A&amp;B&amp;C相、系统、input通道P、Q、S、PF，有测量值，无精度要求</t>
    <phoneticPr fontId="10" type="noConversion"/>
  </si>
  <si>
    <t>毫安型号CT功率及功率因素测量</t>
    <phoneticPr fontId="10" type="noConversion"/>
  </si>
  <si>
    <t>Function_AcuRev1320_004_02_case4</t>
  </si>
  <si>
    <t>1、连接AcuRev1320电表到Acuview2上，链接状态为connected
2、Input1~3(A&amp;B&amp;C相)电流为(0.12A、0.006A、0.005A)， 电压均为220V
3、电压相角θ和电流相角ϕ差值为0°
5、Acuview2上和HMI上检查测量A&amp;B&amp;C、系统、input通道的P、Q、S、PF，功率测量值</t>
  </si>
  <si>
    <t>Function_AcuRev1320_004_02_case5</t>
  </si>
  <si>
    <t>CT选型20A/100mA，3_ELEMENT_4_WIRE_Delta接线方式，电流输入input1~3电流为5A，电压A、B、C分别输入207.8V,120V,120V、电压和电流相角差值为0°，测量系统P、Q、S、PF精度满足0.1%</t>
    <phoneticPr fontId="10" type="noConversion"/>
  </si>
  <si>
    <t xml:space="preserve">
4、Acuview2上和HMI上检查测量系统P、Q、S、PF是否均在精度范围内0.1%
系统：P=2.0784kw，Q=0kvar，S=2.0784kva，PF=1
备注计算方式：
S = (Uab * Ia + Ubc * Ic) * cos(30)
P = S * cos(压流角)
Q= S^2 - P^2 开根号
Uab、Ubc、Uca 角度为0°、240°、120°
换算：Iab、Ibc、Ica 角度为0°、240°、120°</t>
    <phoneticPr fontId="10" type="noConversion"/>
  </si>
  <si>
    <t>负载特性(RLC)</t>
  </si>
  <si>
    <t>系统中只有一种负载类型</t>
  </si>
  <si>
    <t>Function_AcuRev1320_005_01_case1</t>
    <phoneticPr fontId="10" type="noConversion"/>
  </si>
  <si>
    <t>Function_AcuRev1320_005_01_case1_01</t>
  </si>
  <si>
    <t>电压谐波不能影响电表负载特性</t>
    <phoneticPr fontId="10" type="noConversion"/>
  </si>
  <si>
    <t>Function_AcuRev1320_005_01_case2</t>
    <phoneticPr fontId="10" type="noConversion"/>
  </si>
  <si>
    <t>Function_AcuRev1320_005_01_case3</t>
  </si>
  <si>
    <t>3ELEMENT_4_WIRE_Y接线输入Input1~3(A&amp;B&amp;C相)电流为(10A)，电压均为100V, 电压电流相角差为30°，系统总负载特性、A&amp;B&amp;C相、input1~3通道负载特性为L</t>
    <phoneticPr fontId="10" type="noConversion"/>
  </si>
  <si>
    <t>1、连接AcuRev1320电表到Acuview2上，链接状态为connected
2、Input1~3电流为(10A)， 电压均为100V
3、电压相角θ和电流相角ϕ差值为30°
4、Acuview2上和HMI上检查系统总负载特性、A&amp;B&amp;C相、input1~3通道负载特性是否均为L。</t>
    <phoneticPr fontId="10" type="noConversion"/>
  </si>
  <si>
    <t>4、Acuview2上和HMI上检查系统总负载特性、A&amp;B&amp;C相、input1~3通道负载特性均为L。</t>
    <phoneticPr fontId="10" type="noConversion"/>
  </si>
  <si>
    <t>Function_AcuRev1320_005_01_case4</t>
    <phoneticPr fontId="10" type="noConversion"/>
  </si>
  <si>
    <t>3ELEMENT_4_WIRE_Y接线输入Input1~3(A&amp;B&amp;C相)电流为(10A)，电压均为100V, 电压电流相角差为90°(纯感负载)，系统总负载特性、A&amp;B&amp;C相、input1~3通道负载特性为L</t>
    <phoneticPr fontId="10" type="noConversion"/>
  </si>
  <si>
    <t>Function_AcuRev1320_005_01_case5</t>
    <phoneticPr fontId="10" type="noConversion"/>
  </si>
  <si>
    <t>3ELEMENT_4_WIRE_Y接线输入Input1~3(A&amp;B&amp;C相)电流为(10A)，电压均为100V, 电压电流相角差为210°，系统总负载特性、A&amp;B&amp;C相、input1~3通道负载特性为L</t>
    <phoneticPr fontId="10" type="noConversion"/>
  </si>
  <si>
    <t>Function_AcuRev1320_005_01_case6</t>
  </si>
  <si>
    <t>3ELEMENT_4_WIRE_Y接线输入Input1~3(A&amp;B&amp;C相)电流为(10A)，电压均为100V, 电压电流相角差为120°，系统总负载特性、A&amp;B&amp;C相、input1~3通道负载特性为C</t>
    <phoneticPr fontId="10" type="noConversion"/>
  </si>
  <si>
    <t>Function_AcuRev1320_005_01_case7</t>
  </si>
  <si>
    <t>3ELEMENT_4_WIRE_Y接线输入Input1~3(A&amp;B&amp;C相)电流为(10A)，电压均为100V, 电压电流相角差为270°(纯容负载)，系统总负载特性、A&amp;B&amp;C相、input1~3通道负载特性为C</t>
    <phoneticPr fontId="10" type="noConversion"/>
  </si>
  <si>
    <t>Function_AcuRev1320_005_01_case8</t>
    <phoneticPr fontId="10" type="noConversion"/>
  </si>
  <si>
    <t>3ELEMENT_4_WIRE_Y接线输入Input1~3(A&amp;B&amp;C相)电流为(10A)，电压均为100V, 电压电流相角差为330°，系统总负载特性、A&amp;B&amp;C相、input1~3通道负载特性为C</t>
    <phoneticPr fontId="10" type="noConversion"/>
  </si>
  <si>
    <t>Function_AcuRev1320_005_01_case9</t>
  </si>
  <si>
    <t>1、Acuview2上位机
2、网线/RTU串口线
3、AcuRev1320电表
4、接线方式为2E3P3w delta</t>
    <phoneticPr fontId="10" type="noConversion"/>
  </si>
  <si>
    <t xml:space="preserve">1、连接AcuRev1320电表到Acuview2上，链接状态为connected
2、Input1~2电流为(5A)， 电压均为100V
3、线电压φab:0°&amp;φbc:240°(电流Ia:270°， I2:30°)
4、Acuview2上和HMI上检查系统总负载特性、A&amp;B&amp;C相、input1~2通道负载特性是否正确
5、检查web页面是否与上位机及电表负载特性是否一致，是否显示-
</t>
    <phoneticPr fontId="10" type="noConversion"/>
  </si>
  <si>
    <t>4、Acuview2上和HMI上系统负载特性为L。 input1、input2、A B C 相均无负载特性，显示“-”。
5、检查web页面是否与上位机及电表负载特性一致
补充计算过程
系统：P=0.75kwh，Q=1.299kvar，S=1.500kva，PF= 0.500
用户：Puser1=0.75kwhkwh，Quser1=1.299kwh，Suser1=1.500kva，PF= 0.500
其他user功率为0，input功率为"-"
备注计算方式：
S = (Uab * Ia + Ubc * Ic) * cos(30)
P = S * cos(压流角)
Q= S^2 - P^2 开根号
压流角： Uab、Ubc、Uca 角度为0°、240°、120°，
Ia、Ic 是270°、30°，换算Iab、Ica是 300°、60°
比较Uab和Iab、Uca和Ica的压流角是60
夹角在第一象限，Q为正数【一二象限为正数、三四象限为负数】</t>
    <phoneticPr fontId="10" type="noConversion"/>
  </si>
  <si>
    <t>Function_AcuRev1320_005_01_case10</t>
  </si>
  <si>
    <t>2E3P3w delta输入Input1~2电流为(5A)，ABC电压均为100V，线电压φab:0°&amp;φbc:240°(电流Ia:210°， I2:330°),  系统负载特性为C， input1、input2、A B C 相均无负载特性。</t>
    <phoneticPr fontId="10" type="noConversion"/>
  </si>
  <si>
    <t>上位机配3e4W delta接线，input1、input2、input3分别配置Vab、Vbc，Vca， 模拟φuab，φubc，φuca平衡(0° 240° 120° )，压流夹角为0°，检查负载特性为R</t>
    <phoneticPr fontId="10"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</si>
  <si>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7.检查上位机和HMI上系统负载特性为R
系统：P=2.0784kw，Q=0kvar，S=2.0784kva，PF=1
备注计算方式：
S = (Uab * Ia + Ubc * Ic) * cos(30)
P = S * cos(压流角)
Q= S^2 - P^2 开根号
Uab、Ubc、Uca 角度为0°、240°、120°
换算：Iab、Ibc、Ica 角度为0°、240°、120°</t>
  </si>
  <si>
    <t>Function_AcuRev1320_005_01_case12</t>
  </si>
  <si>
    <t>上位机配3e4W delta接线，input1、input2、input3分别配置Vab、Vbc，Vca， 模拟φuab，φubc，φuca平衡(0° 240° 120° )，压流夹角为60°sys检查负载特性为L</t>
    <phoneticPr fontId="10" type="noConversion"/>
  </si>
  <si>
    <t xml:space="preserve">
3.1 上位机和HMI上Va/Vb/Vc电压为“-”
4、上位机和HMI上input1、2、3配置电压Vab、Vbc、Vca
4.1  上位机和HMI上Vab、Vbc、Vca电压为173.205V
5.上位机和HMI上Vab、Vbc、Vca电压为240V
6、上位机和HMI上Vab、Vbc、Vca相角为(0°、240°、120°)
4.检查上位机和HMI上系统负载特性为L
系统：P=1.0392kw，Q=1.7999kvar，S=2.0784kva，PF=0.5
备注计算方式：
S = (Uab * Ia + Ubc * Ic) * cos(30)
P = S * cos(压流角)
Q= S^2 - P^2 开根号
Uab、Ubc、Uca 角度为0°、240°、120°
换算：Iab、Ibc、Ica 角度为300°、180°、60°</t>
  </si>
  <si>
    <t>Function_AcuRev1320_005_01_case13</t>
    <phoneticPr fontId="10" type="noConversion"/>
  </si>
  <si>
    <t>1、Acuview2上位机
2、网线/RTU串口线
3、AcuRev1320电表
4、接线方式为1e2w</t>
    <phoneticPr fontId="10" type="noConversion"/>
  </si>
  <si>
    <t>Function_AcuRev1320_005_01_case14</t>
  </si>
  <si>
    <t>1、Acuview2上位机
2、网线/RTU串口线
3、AcuRev1320电表
4、接线方式为2e3w 1phase</t>
    <phoneticPr fontId="10" type="noConversion"/>
  </si>
  <si>
    <t>Function_AcuRev1320_005_01_case15</t>
  </si>
  <si>
    <t>上位机配置2e3w network接线，InputA、InputC电流为10A，电压均为100V, 电压电流相角差为0°，系统总负载特性、A、C相通道负载特性为R</t>
    <phoneticPr fontId="10" type="noConversion"/>
  </si>
  <si>
    <t>1、Acuview2上位机
2、网线/RTU串口线
3、AcuRev1320电表
4、接线方式为2e3w Network</t>
    <phoneticPr fontId="10" type="noConversion"/>
  </si>
  <si>
    <t>系统中有多种负载类型</t>
    <phoneticPr fontId="10" type="noConversion"/>
  </si>
  <si>
    <t>Function_AcuRev1320_005_02_case1</t>
  </si>
  <si>
    <t>3E3p4w输入Input1~3(A&amp;B&amp;C相)电流为(5A)，电压各为100V, 电压电流相角差值分别为(30°,210°，0°)，系统总负载特性R, A&amp;B&amp;C相和input1~3通道负载特性为L、L、R</t>
    <phoneticPr fontId="10" type="noConversion"/>
  </si>
  <si>
    <t>1、连接AcuRev1320电表到Acuview2上，链接状态为connected
2、Input1~3电流为(5A)， 电压均为100V
3、电压相角θ和电流相角ϕ差值为(30°,210°，0°)
4、Acuview2上和HMI上检查系统总负载特性是否为R, A&amp;B&amp;C相和input1~3通道负载特性是否分别为L、L、R</t>
    <phoneticPr fontId="10" type="noConversion"/>
  </si>
  <si>
    <t>4、Acuview2上和HMI上检查系统总负载特性为R, A&amp;B&amp;C相和input1~3通道负载特性分别为L、L、R</t>
    <phoneticPr fontId="10" type="noConversion"/>
  </si>
  <si>
    <t>Function_AcuRev1320_005_02_case2</t>
  </si>
  <si>
    <t>Function_AcuRev1320_005_02_case3</t>
  </si>
  <si>
    <t>5、Acuview2上和HMI上检查系统总负载特性为C, A&amp;B&amp;C相和input1~3通道负载特性分别为L、L、C</t>
    <phoneticPr fontId="10" type="noConversion"/>
  </si>
  <si>
    <t>Function_AcuRev1320_005_02_case4</t>
  </si>
  <si>
    <t>相角(phase angle)</t>
  </si>
  <si>
    <t>相电压相角验证</t>
  </si>
  <si>
    <t>Function_AcuRev1320_006_01_case1</t>
    <phoneticPr fontId="10" type="noConversion"/>
  </si>
  <si>
    <t>ABC三相电压角度为(0°  120° 240°)，上位机和HMI上检查phaseA、phaseB、PhaseC的相角满足精度±0.1°</t>
    <phoneticPr fontId="10" type="noConversion"/>
  </si>
  <si>
    <t xml:space="preserve">1、Acuview2上位机
2、网线/RTU串口线
3、AcuRev1320电表
</t>
  </si>
  <si>
    <t>1、连接AcuRev1320电表到Acuview2上，链接状态为connected
2、电源输入ABC三相电压角度为(0°  120° 240°)，电压为100V
3、检查相电压A B C三相的精度是否符合±0.1°</t>
  </si>
  <si>
    <t>3、检查相电压A B C三相的精度符合±0.1°
备注: 使用excel公式计算具体值</t>
  </si>
  <si>
    <t>线电压角度验证</t>
    <phoneticPr fontId="10" type="noConversion"/>
  </si>
  <si>
    <t>二相三线delta接线，台体输入Ua,Uc（30°，90°）,上位机和HMI上检查Uab,Uca的线电压角满足精度±0.1°</t>
    <phoneticPr fontId="10" type="noConversion"/>
  </si>
  <si>
    <t>Function_AcuRev1320_006_01_case3</t>
  </si>
  <si>
    <t>ABC三相电压角度为(0°  1°  5°)，上位机和HMI上检查phaseA、phaseB、PhaseC的相角满足精度±0.1°</t>
    <phoneticPr fontId="10" type="noConversion"/>
  </si>
  <si>
    <t>1、连接AcuRev1320电表到Acuview2上，链接状态为connected
2、电源输入ABC三相电压角度为(0°  1°  5°)，电压为100V
3、检查相电压A B C三相的精度是否符合±0.1°</t>
  </si>
  <si>
    <t>Function_AcuRev1320_006_01_case4</t>
  </si>
  <si>
    <t>ABC三相电压角度为(0°  120° 240°)，上位机和HMI上检查phaseA、phaseB、PhaseC的相角满足精度±0.1°，检查相角图页面绘制相角信息与实际一致，
web页面相角与展示正确</t>
    <phoneticPr fontId="10" type="noConversion"/>
  </si>
  <si>
    <t>1、连接AcuRev1320电表到Acuview2上，链接状态为connected
2、电源输入ABC三相电压角度为(0°  120° 240°)，电压为100V
3、检查相电压A B C三相的精度是否符合±0.1°
4、检查上位机相角图页面绘制信息
5、检查web页面相角展示是否与上位机一致</t>
  </si>
  <si>
    <t>线电压角度验证</t>
  </si>
  <si>
    <t>Function_AcuRev1320_006_01_case5</t>
  </si>
  <si>
    <t>二相三线delta接线，台体输入Ua,Uc（30°，90°）,上位机和HMI上检查Uab,Ubc,Uca的线电压角满足精度±0.1°，检查相角图页面绘制相角信息与实际一致，web页面相角与展示正确</t>
    <phoneticPr fontId="10" type="noConversion"/>
  </si>
  <si>
    <t>3,检查Uab,Ubc,Uca的线电压角度为（0，240，120）满足精度±0.1°
4,相角图绘制相角信息与实际一致
5、web页面相角展示与上位机一致
备注: 使用excel公式计算具体值</t>
  </si>
  <si>
    <t>电流输入对应相角验证</t>
    <phoneticPr fontId="10" type="noConversion"/>
  </si>
  <si>
    <t>Function_AcuRev1320_006_02_case1</t>
    <phoneticPr fontId="10" type="noConversion"/>
  </si>
  <si>
    <t>input1-input3电流相角分设置为0°、1°、5°，上位机和HMI上检查input1的相角满足精度±0.1°</t>
    <phoneticPr fontId="10" type="noConversion"/>
  </si>
  <si>
    <t xml:space="preserve">1、连接AcuRev1320电表到Acuview2上，链接状态为connected
2、电源输入input1~3的电流相角为(0°、1°、5°)，电流为5A
3、检查input1的电流相角的精度是否符合±0.1°
</t>
  </si>
  <si>
    <t>3、检查input1~3的电流相角的精度符合±0.1°
备注: 使用excel公式计算具体值</t>
  </si>
  <si>
    <t>Function_AcuRev1320_006_02_case2</t>
  </si>
  <si>
    <t>input1-input3电流相角分设置为60°、90°、120°，上位机和HMI上检查input1的相角满足精度±0.1°</t>
    <phoneticPr fontId="10" type="noConversion"/>
  </si>
  <si>
    <t xml:space="preserve">1、连接AcuRev1320电表到Acuview2上，链接状态为connected
2、电源输入input1~3的电流相角为(60°、90°、120°)，电流为5A
3、检查input1的电流相角的精度是否符合±0.1°
</t>
  </si>
  <si>
    <t>Function_AcuRev1320_006_02_case3</t>
  </si>
  <si>
    <t>input1-input3电流相角分设置为0°  120° 240°，电压相角0°  120° 240°，上位机和HMI上检查input1~3及电压相角满足精度±0.1°</t>
    <phoneticPr fontId="10" type="noConversion"/>
  </si>
  <si>
    <t>1、连接AcuRev1320电表到Acuview2上，链接状态为connected
2、上位机上配置input1~3分配对应A相，B相，C相，电流为1A
3、电源输入input1~3的电流相角为0°  120° 240°；电压为100V， 电压相角位0°  120° 240°。
4、检查input1~3的电流相角的精度是否符合±0.1°</t>
  </si>
  <si>
    <t>4、检查input1~3的电流相角的精度符合±0.1°
备注: 使用excel公式计算具体值</t>
  </si>
  <si>
    <t>电流输入对应相角验证</t>
  </si>
  <si>
    <t>input1-input3电流相角分设置为60°、90°、120°，上位机和HMI上检查input1的相角满足精度±0.1°,，检查相角图页面绘制相角信息与实际一致</t>
    <phoneticPr fontId="10" type="noConversion"/>
  </si>
  <si>
    <t>3、检查input1~3的电流相角的精度符合±0.1°
4、相角图绘制相角信息与实际一致
5、web页面相角绘制图与表计及上位机一致，图像准确
备注: 使用excel公式计算具体值</t>
    <phoneticPr fontId="10" type="noConversion"/>
  </si>
  <si>
    <t>Function_AcuRev1320_006_02_case5</t>
  </si>
  <si>
    <t>Independent Input Channel 使能，In 供源电流幅值为5A，角度依次为0°、120°、210°、330°，角度精度满足±0.1°</t>
    <phoneticPr fontId="10" type="noConversion"/>
  </si>
  <si>
    <t xml:space="preserve">1、连接AcuRev1320电表到Acuview2上，链接状态为connected
2、Independent Input Channel 使能，电源输入In的幅值为5A，相角依次为0°、120°、210°、330°
3、检查input1~3的电流相角的精度是否符合±0.1°
4、检查上位机相角图页面绘制信息
5、web页面相角绘制图应该与表计及上位机一致，图像准确
</t>
    <phoneticPr fontId="10" type="noConversion"/>
  </si>
  <si>
    <t>3、检查In的电流相角的精度符合±0.1°
4、相角图绘制相角信息与实际一致
5、web页面相角绘制图与表计及上位机一致，图像准确
备注: 使用excel公式计算具体值</t>
    <phoneticPr fontId="10" type="noConversion"/>
  </si>
  <si>
    <t>各次谐波(Individual Harmonics)</t>
  </si>
  <si>
    <t>相电压2-63偶次谐波验证</t>
  </si>
  <si>
    <t>1、连接AcuRev1320电表到Acuview2上，链接状态为connected
2、设置ABC相电压均设置为120V
3、谐波含量百分比1%，谐波次数2，谐波相位30°
4、检查上位机和电表上测量电表谐波参数(百分比，谐波幅值，谐波角度)满足精度±0.15% 
5、检查web页面中谐波参数(百分比，谐波幅值，谐波角度)是否满足精度</t>
    <phoneticPr fontId="10" type="noConversion"/>
  </si>
  <si>
    <t>Function_AcuRev1320_007_01_case2</t>
  </si>
  <si>
    <t xml:space="preserve">设置ABC相电压均设置为120V，谐波含量百分比3%，  谐波次数2，谐波相位120°，测量电表谐波参数(百分比，谐波幅值，谐波角度)满足精度±0.15% </t>
    <phoneticPr fontId="10" type="noConversion"/>
  </si>
  <si>
    <t xml:space="preserve">1、连接AcuRev1320电表到Acuview2上，链接状态为connected
2、设置ABC相电压均设置为120V
3、谐波含量百分比3%，  谐波次数2，谐波相位120°
4、检查上位机和电表上测量电表谐波参数(百分比，谐波幅值，谐波角度)满足精度±0.15% </t>
    <phoneticPr fontId="10" type="noConversion"/>
  </si>
  <si>
    <t>4、上位机和电表上测量电表谐波参数(百分比)满足精度±0.15% 
备注: 使用excel公式计算具体值2.85~3.15
备注：4100项目不支持查看谐波角度</t>
    <phoneticPr fontId="10" type="noConversion"/>
  </si>
  <si>
    <t>Function_AcuRev1320_007_01_case3</t>
  </si>
  <si>
    <t>4、上位机和电表上测量电表谐波参数(百分比)满足精度5% 
5、检查web页面中谐波参数(百分比，谐波幅值，谐波角度)满足精度
备注: 使用excel公式计算具体值14.25~15.75
备注：4100项目不支持查看谐波角度</t>
    <phoneticPr fontId="10" type="noConversion"/>
  </si>
  <si>
    <t>Function_AcuRev1320_007_01_case4</t>
  </si>
  <si>
    <t>4、上位机和电表上测量电表谐波参数(百分比)满足精度±0.15% 
备注: 使用excel公式计算具体值0.85~1.15
备注：4100项目不支持查看谐波角度</t>
    <phoneticPr fontId="10" type="noConversion"/>
  </si>
  <si>
    <t>Function_AcuRev1320_007_01_case5</t>
  </si>
  <si>
    <t>Function_AcuRev1320_007_01_case6</t>
  </si>
  <si>
    <t>Function_AcuRev1320_007_01_case7</t>
  </si>
  <si>
    <t>相电压2-63奇次谐波验证</t>
  </si>
  <si>
    <t>Function_AcuRev1320_007_02_case1</t>
    <phoneticPr fontId="10" type="noConversion"/>
  </si>
  <si>
    <t>4、上位机和电表上测量电表谐波参数(百分比)满足精度±0.15%  
备注: 使用excel公式计算具体值0.85~1.15
备注：4100项目不支持查看谐波角度</t>
    <phoneticPr fontId="10" type="noConversion"/>
  </si>
  <si>
    <t>Function_AcuRev1320_007_02_case2</t>
  </si>
  <si>
    <t xml:space="preserve">设置ABC相电压均设置为120V，谐波含量百分比3%，  谐波次数3，谐波相位150°，测量电表谐波参数(百分比，谐波幅值，谐波角度)满足精度±0.15%  </t>
    <phoneticPr fontId="10" type="noConversion"/>
  </si>
  <si>
    <t>4、上位机和电表上测量电表谐波参数(百分比)满足精度±0.15%  
备注: 使用excel公式计算具体值2.85~3.15
备注：4100项目不支持查看谐波角度</t>
    <phoneticPr fontId="10" type="noConversion"/>
  </si>
  <si>
    <t>Function_AcuRev1320_007_02_case3</t>
  </si>
  <si>
    <t>设置ABC相电压均设置为120V，谐波含量百分比15%， 谐波次数3，谐波相位210°， 测量电表谐波参数(百分比，谐波幅值，谐波角度)满足精度5%</t>
    <phoneticPr fontId="10" type="noConversion"/>
  </si>
  <si>
    <t>4、上位机和电表上测量电表谐波参数(百分比)满足精度5% 
备注: 使用excel公式计算具体值14.25~15.75
备注：4100项目不支持查看谐波角度</t>
    <phoneticPr fontId="10" type="noConversion"/>
  </si>
  <si>
    <t>Function_AcuRev1320_007_02_case4</t>
  </si>
  <si>
    <t xml:space="preserve">设置ABC相电压均设置为120V，谐波含量百分比1%，  谐波次数31，谐波相位300°，测量电表谐波参数(百分比，谐波幅值，谐波角度)满足精度±0.15%   </t>
    <phoneticPr fontId="10" type="noConversion"/>
  </si>
  <si>
    <t>Function_AcuRev1320_007_02_case5</t>
  </si>
  <si>
    <t xml:space="preserve">设置ABC相电压均设置为120V，谐波含量百分比3%， 谐波次数31，谐波相位90°， 测量电表谐波参数(百分比，谐波幅值，谐波角度)满足精度±0.15%    </t>
    <phoneticPr fontId="10" type="noConversion"/>
  </si>
  <si>
    <t>4、上位机和电表上测量电表谐波参数(百分比)满足精度±0.15%   
备注: 使用excel公式计算具体值2.85~3.15
备注：4100项目不支持查看谐波角度</t>
    <phoneticPr fontId="10" type="noConversion"/>
  </si>
  <si>
    <t>Function_AcuRev1320_007_02_case6</t>
  </si>
  <si>
    <t xml:space="preserve">设置ABC相电压均设置为120V，谐波含量百分比15%，谐波次数63，谐波相位180°，测量电表谐波参数(百分比，谐波幅值，谐波角度)满足精度5% </t>
    <phoneticPr fontId="10" type="noConversion"/>
  </si>
  <si>
    <t>Function_AcuRev1320_007_02_case7</t>
  </si>
  <si>
    <t>4、上位机和电表上测量电表谐波参数(百分比)满足精度5% 
备注: 使用excel公式计算具体值28.5~31.5
备注：4100项目不支持查看谐波角度</t>
    <phoneticPr fontId="10" type="noConversion"/>
  </si>
  <si>
    <t>电流2-63奇次谐波验证</t>
    <phoneticPr fontId="10" type="noConversion"/>
  </si>
  <si>
    <t>Function_AcuRev1320_007_03_case1</t>
  </si>
  <si>
    <t>4、上位机和电表上测量电表谐波参数(百分比)满足精度±0.5%   
备注: 使用excel公式计算具体值4.5-5.5
备注：4100项目不支持查看谐波角度</t>
    <phoneticPr fontId="10" type="noConversion"/>
  </si>
  <si>
    <t>电流2-63奇次谐波验证</t>
  </si>
  <si>
    <t>Function_AcuRev1320_007_03_case2</t>
  </si>
  <si>
    <t>1、连接AcuRev1320电表到Acuview2上，连接状态为connected
2、输入3路电流10A
3、谐波含量百分比10%，  谐波次数9，谐波相位120°
4、检查上位机和电表上测量电表谐波参数(百分比，谐波幅值，谐波角度)满足精度±0.5%   
5、检查web页面上THD页面中电表谐波参数(百分比，谐波幅值，谐波角度)是否满足精度</t>
    <phoneticPr fontId="10" type="noConversion"/>
  </si>
  <si>
    <t>Function_AcuRev1320_007_03_case3</t>
  </si>
  <si>
    <t xml:space="preserve">1、连接AcuRev1320电表到Acuview2上，连接状态为connected
2、输入3路电流10A
3、谐波含量百分比15%， 谐波次数9，谐波相位210°
4、检查上位机和电表上测量电表谐波参数(百分比，谐波幅值，谐波角度)满足精度5% </t>
    <phoneticPr fontId="10" type="noConversion"/>
  </si>
  <si>
    <t xml:space="preserve">4、上位机和电表上测量电表谐波参数(百分比)满足精度5% 
备注: 使用excel公式计算具体值14.25~15.75
备注：4100项目不支持查看谐波角度
</t>
    <phoneticPr fontId="10" type="noConversion"/>
  </si>
  <si>
    <t>Function_AcuRev1320_007_03_case4</t>
  </si>
  <si>
    <t xml:space="preserve">输入3路电流10A，谐波含量百分比5%，谐波次数63，谐波相位300，测量电表谐波参数(百分比，谐波幅值，谐波角度)满足精度±0.5%   </t>
    <phoneticPr fontId="10" type="noConversion"/>
  </si>
  <si>
    <t>4、上位机和电表上测量电表谐波参数(百分比)满足精度±0.5%   
5、检查web页面上THD页面中电表谐波参数(百分比，谐波幅值，谐波角度)满足精度
备注: 使用excel公式计算具体值4.5~5.5
备注：4100项目不支持查看谐波角度</t>
    <phoneticPr fontId="10" type="noConversion"/>
  </si>
  <si>
    <t>Function_AcuRev1320_007_03_case5</t>
  </si>
  <si>
    <t xml:space="preserve">输入3路电流10A，谐波含量百分比10%，谐波次数63，  谐波次数62，谐波相位90°，测量电表谐波参数(百分比，谐波幅值，谐波角度)满足精度±0.5%   </t>
    <phoneticPr fontId="10" type="noConversion"/>
  </si>
  <si>
    <t>4、上位机和电表上测量电表谐波参数(百分比)满足精度±0.5%   
备注: 使用excel公式计算具体值9.5~10.5
备注：4100项目不支持查看谐波角度</t>
    <phoneticPr fontId="10" type="noConversion"/>
  </si>
  <si>
    <t>Function_AcuRev1320_007_03_case6</t>
  </si>
  <si>
    <t>输入3路电流10A，谐波含量百分比30%，谐波次数63，谐波相位180°， 测量电表谐波参数(百分比，谐波幅值，谐波角度)满足精度5%</t>
    <phoneticPr fontId="10" type="noConversion"/>
  </si>
  <si>
    <t>Function_AcuRev1320_007_03_case7</t>
  </si>
  <si>
    <t>Function_AcuRev1320_007_03_case8</t>
  </si>
  <si>
    <t>4、上位机和电表上测量电表谐波参数(百分比)满足精度±0.5% 
备注: 使用excel公式计算具体值9.5~10.5
备注：4100项目不支持查看谐波角度</t>
    <phoneticPr fontId="10" type="noConversion"/>
  </si>
  <si>
    <t>Function_AcuRev1320_007_03_case9</t>
  </si>
  <si>
    <t>电流2-63偶次谐波验证</t>
    <phoneticPr fontId="10" type="noConversion"/>
  </si>
  <si>
    <t>Function_AcuRev1320_007_04_case1</t>
  </si>
  <si>
    <t>电流2-63偶次谐波验证</t>
  </si>
  <si>
    <t>Function_AcuRev1320_007_04_case2</t>
  </si>
  <si>
    <t xml:space="preserve">输入1路电流10A，谐波含量百分比10%，  谐波次数4，谐波相位150°， 测量电表谐波参数(百分比，谐波幅值，谐波角度)满足精度±0.5% </t>
    <phoneticPr fontId="10" type="noConversion"/>
  </si>
  <si>
    <t xml:space="preserve">1、连接AcuRev1320电表到Acuview2上，连接状态为connected
2、输入1路电流10A
3、谐波百分比10%，  谐波次数4，谐波相位150°
4、检查上位机和电表上测量电表电流谐波参数(百分比，谐波幅值，谐波角度)满足精度±0.5% </t>
    <phoneticPr fontId="10" type="noConversion"/>
  </si>
  <si>
    <t>4、上位机和电表上测量电表谐波参数(百分比)满足精度±0.5% 
备注: 使用excel公式计算具体值9.5-10.5
备注：4100项目不支持查看谐波角度</t>
    <phoneticPr fontId="10" type="noConversion"/>
  </si>
  <si>
    <t>Function_AcuRev1320_007_04_case3</t>
  </si>
  <si>
    <t xml:space="preserve">输入1路电流10A，谐波含量百分比15%， 谐波次数4，谐波相位210°，  测量电表谐波参数(百分比，谐波幅值，谐波角度)满足精度5% </t>
    <phoneticPr fontId="10" type="noConversion"/>
  </si>
  <si>
    <t>Function_AcuRev1320_007_04_case4</t>
  </si>
  <si>
    <t xml:space="preserve">输入3路电流10A，谐波含量百分比5%， 谐波次数62，谐波相位330°，测量电表谐波参数(百分比，谐波幅值，谐波角度)满足精度±0.5% </t>
    <phoneticPr fontId="10" type="noConversion"/>
  </si>
  <si>
    <t>4、上位机和电表上测量电表谐波参数(百分比)满足精度±0.5% 
备注: 使用excel公式计算具体值4.5~5.5
备注：4100项目不支持查看谐波角度</t>
    <phoneticPr fontId="10" type="noConversion"/>
  </si>
  <si>
    <t>Function_AcuRev1320_007_04_case5</t>
  </si>
  <si>
    <t xml:space="preserve">输入3路电流10A，谐波含量百分比10%， 谐波次数62，谐波相位90°，测量电表谐波参数(百分比，谐波幅值，谐波角度)满足精度±0.5% </t>
    <phoneticPr fontId="10" type="noConversion"/>
  </si>
  <si>
    <t>Function_AcuRev1320_007_04_case6</t>
  </si>
  <si>
    <t>输入3路电流10A，谐波含量百分比30%， 谐波次数62，谐波相位270°， 测量电表谐波参数(百分比，谐波幅值，谐波角度)满足精度5%</t>
    <phoneticPr fontId="10" type="noConversion"/>
  </si>
  <si>
    <t>Function_AcuRev1320_007_04_case7</t>
  </si>
  <si>
    <t>Function_AcuRev1320_007_04_case8</t>
  </si>
  <si>
    <t xml:space="preserve">Independent Input Channel 使能，输入4路电流5A，谐波含量百分比10%，谐波次数32，  谐波次数62，谐波相位90°，测量电表谐波参数(百分比，谐波幅值，谐波角度)满足精度±0.5% </t>
    <phoneticPr fontId="10" type="noConversion"/>
  </si>
  <si>
    <t xml:space="preserve">1、连接AcuRev1320电表到Acuview2上，连接状态为connected
2、输入4路电流5A
3、谐波含量百分比10%，  谐波次数32，谐波相位90°
4、检查上位机和电表上测量电表谐波参数(百分比，谐波幅值，谐波角度)满足精度±0.5% </t>
    <phoneticPr fontId="10" type="noConversion"/>
  </si>
  <si>
    <t>Function_AcuRev1320_007_04_case9</t>
  </si>
  <si>
    <t>Harmonic Spectrum 绘图验证</t>
  </si>
  <si>
    <t>3、 图形与实际谐波含量保持一致，刷新正常</t>
  </si>
  <si>
    <t>3、 图形与实际谐波含量保持一致，刷新正常
5、 柱状图应该清空</t>
  </si>
  <si>
    <t>谐波因数</t>
  </si>
  <si>
    <t>相电压谐波因素验证</t>
    <phoneticPr fontId="10" type="noConversion"/>
  </si>
  <si>
    <t>Function_AcuRev1320_008_01_case1</t>
  </si>
  <si>
    <t>相电压谐波因素验证</t>
  </si>
  <si>
    <t>Function_AcuRev1320_008_01_case2</t>
  </si>
  <si>
    <t xml:space="preserve">设置ABC相电压均为220，谐波含量百分比30%， 谐波次数31，谐波相位60°，测量电表相电压ABC的谐波参数THD，OTHD，ETHD，THFF，Crest Factor测量准确  </t>
    <phoneticPr fontId="10" type="noConversion"/>
  </si>
  <si>
    <t>1、连接AcuRev1320电表到Acuview2上，连接状态为connected
2、设置ABC相电压均为220V，谐波含量百分比30%， 谐波次数31，谐波相位60°
3、检查上位机和电表上ABC三相电压谐波因素计算是否正确</t>
  </si>
  <si>
    <t>3、检查上位机和电表上ABC三相电压谐波因素计算正确(HMI和上位机百分比显示保留1位小数)
Phase A Voltage THD					30.000%
Phase A Voltage THD Odd				30.000%
Phase A Voltage THD Even			0.000%
Phase A Voltage Crest Factor		1.414 
Phase A Voltage THFF Factor			5.227%
Phase B Voltage THD					30.000%
Phase B Voltage THD Odd				30.000%
Phase B Voltage THD Even			0.000%
Phase B Voltage Crest Factor		1.414 
Phase B Voltage THFF Factor		5.227%
Phase C Voltage THD					30.000%
Phase C Voltage THD Odd				30.000%
Phase C Voltage THD Even			0.000%
Phase C Voltage Crest Factor		1.414 
Phase C Voltage THFF Factor			5.227%
Average Voltage THD					30.000%
Average Voltage THD Odd				30.000%
Average Voltage THD Even			0.000%</t>
  </si>
  <si>
    <t>Function_AcuRev1320_008_01_case3</t>
  </si>
  <si>
    <t xml:space="preserve">设置ABC相电压均为347，谐波含量百分比50%， 谐波次数63，谐波相位60°，测量电表相电压ABC的谐波参数THD，OTHD，ETHD，THFF，Crest Factor测量准确  </t>
    <phoneticPr fontId="10" type="noConversion"/>
  </si>
  <si>
    <t>Function_AcuRev1320_008_01_case4</t>
  </si>
  <si>
    <t>设置ABC相电压均为220V，5min后降源修改ABC电压到69V，查看ABC三相对应Crest Factor测量是否准确  （无谐波情况）</t>
    <phoneticPr fontId="10" type="noConversion"/>
  </si>
  <si>
    <t>1、连接AcuRev1320电表到Acuview2上，连接状态为connected
2、设置ABC相电压均为220V，5min后查看ABC三相对应Crest Factor测量是否准确
3.降源修改ABC电压到69V；
4.一段时间后查看ABC三相对应Crest Factor测量是否准确  
5、检查Web页面中THD界面ABC三相对应Crest Factor计算是否正确</t>
  </si>
  <si>
    <t>2.ABC三相对应Crest Factor测量值为1.414
4.ABC三相对应Crest Factor测量值为1.414
5、检查Web页面中THD界面ABC三相对应Crest Factor计算正确
备注：该值的计算为：一个周期内，电压最大值与电压有效值的比值；</t>
  </si>
  <si>
    <t>Function_AcuRev1320_008_01_case5</t>
  </si>
  <si>
    <t xml:space="preserve">设置ABC相电压均为120,3谐波和4次谐波百分比分别为40%和40%,3次谐波相位60°,4次谐波相位240°,测量电相电压ABC的谐波参数THD，OTHD，ETHD，THFF，Crest Factor测量准确  </t>
    <phoneticPr fontId="10" type="noConversion"/>
  </si>
  <si>
    <t>1、连接AcuRev1320电表到Acuview2上，连接状态为connected
2、设置ABC相电压均为100V,3谐波和4次谐波百分比分别为40%和40%,3次谐波相位60°,4次谐波相位240°
3、检查上位机和电表上ABC三相电压谐波因素计算是否正确
4、检查Web页面中THD界面电表上ABC三相电压谐波因素计算是否正确</t>
  </si>
  <si>
    <t>Function_AcuRev1320_008_01_case6</t>
  </si>
  <si>
    <t xml:space="preserve">设置ABC相电压均为120,62谐波和63次谐波百分比分别为30%和40%,62次谐波相位60°,63次谐波相位240°,测量电相电压ABC的谐波参数THD，OTHD，ETHD，THFF，Crest Factor测量准确  </t>
    <phoneticPr fontId="10" type="noConversion"/>
  </si>
  <si>
    <t>1、连接AcuRev1320电表到Acuview2上，连接状态为connected
2、设置ABC相电压均为120V,61谐波和63次谐波百分比分别为30%和40%,61次谐波相位60°,63次谐波相位240°
3、检查上位机和电表上ABC三相电压谐波因素计算是否正确
4、检查Web页面中THD界面电表上ABC三相电压谐波因素计算是否正确</t>
  </si>
  <si>
    <t>电流谐波因素验证</t>
    <phoneticPr fontId="10" type="noConversion"/>
  </si>
  <si>
    <t>Function_AcuRev1320_008_02_case1</t>
    <phoneticPr fontId="10" type="noConversion"/>
  </si>
  <si>
    <t>Function_AcuRev1320_008_02_case2</t>
  </si>
  <si>
    <t xml:space="preserve">1、连接AcuRev1320电表到Acuview2上，连接状态为connected
2、输入1路电流5A，谐波百分比10%，谐波次数5， 谐波相位60°
3、检查上位机和电表上电流谐波因素参数计算是否正确。
</t>
  </si>
  <si>
    <t>Function_AcuRev1320_008_02_case3</t>
  </si>
  <si>
    <t>1、连接AcuRev1320电表到Acuview2上，连接状态为connected
2、输入2路电流5A，4次和5次谐波百分比分别为10%和10%，4次和5次谐波相位30°和210°
3、检查上位机和电表上电流谐波因素参数计算是否正确。
4、检查Web页面中THD界面电表上电流谐波因素参数计算是否正确</t>
  </si>
  <si>
    <t>3、检查上位机和电表上电流谐波因素参数计算正确。(HMI和上位机百分比显示保留1位小数)
4、检查Web页面中THD界面电表上电流谐波因素参数计算正确
Input1 Current THD					14.142%
Input1 Current THD Odd				10.000%
Input1 Current THD Even				10.000%
Input 1 Current K Factor			7.5
Input2 Current THD					14.142%
Input2 Current THD Odd				10.000%
Input2 Current THD Even				10.000%
Input2 Current K Factor				7.5
备注: 从计算公式开，多次谐波相角不会影响谐波因素， 可借助execel公式批量计算</t>
  </si>
  <si>
    <t>Function_AcuRev1320_008_02_case4</t>
  </si>
  <si>
    <t>输入2路电流5A对应1个用户，62次和63次谐波百分比分别为10%和20%，62次和63次谐波相位30°和210°，测量电表谐波参数Input1~2_THD, Input1~2_OTHD,Input1~2_THD,Input1~2_KFactor测量准确</t>
    <phoneticPr fontId="10" type="noConversion"/>
  </si>
  <si>
    <t xml:space="preserve">1、连接AcuRev1320电表到Acuview2上，连接状态为connected
2、输入2路电流5A，62次和63次谐波百分比分别为10%和20%，62次和63次谐波相位30°和210°
3、检查上位机和电表上电流谐波因素参数计算是否正确。
</t>
  </si>
  <si>
    <t>不平衡因数(Unbalance factor)</t>
  </si>
  <si>
    <t>Function_AcuRev1320_009_01_case1</t>
  </si>
  <si>
    <t>3E3p4w Y， 三相电压相角分别为0°、240°、120°，相电压分别为68V、69V、69V，检查电表的三相电压不平衡因素VUF测量精度满足±1%</t>
  </si>
  <si>
    <t>1、连接AcuRev1320电表到Acuview2上，连接状态为connected
2、三相电压相角分别为0°、240°、120°，相电压分别为68V、69V、69V
3、检查上位机和电表上电压的不平衡因素VUF是否满足精度±1%</t>
  </si>
  <si>
    <t>3、检查上位机和电表上电压的不平衡因素VUF满足精度1%，
VUF： 0.485% 0% ~ 1.485%</t>
  </si>
  <si>
    <t>3E3p4w Y， 三相电压相角分别为0°、240°、120°，相电压分别为120V、87V、120V,检查电表的三相电压不平衡因素VUF测量精度满足±1%</t>
  </si>
  <si>
    <t>3、检查上位机和电表上电压的不平衡因素VUF满足精度1%，
4、检查Web页面中THD界面电压的不平衡因素VUF满足精度±1%
VUF：9.756% 8.756% ~10.756%</t>
  </si>
  <si>
    <t>Function_AcuRev1320_009_01_case3</t>
  </si>
  <si>
    <t>1、连接AcuRev1320电表到Acuview2上，连接状态为connected
2、三相电压相角分别为0°、240°、120°，相电压分别为230V、230V、196V
3、检查上位机和电表上电压的不平衡因素VUF是否满足精度±1%</t>
  </si>
  <si>
    <t>3、检查上位机和电表上电压的不平衡因素VUF满足精度1%，
VUF：5.131% 4.131% ~ 6.131%</t>
  </si>
  <si>
    <t>Function_AcuRev1320_009_01_case4</t>
  </si>
  <si>
    <t>3e3p4w接线方式，三相电压相角分别为0°、240°、120°，相电压分别为347V、347V、255V,检查电表的三相电压不平衡因素VUF测量精度满足±1%</t>
  </si>
  <si>
    <t>1、连接AcuRev1320电表到Acuview2上，连接状态为connected
2、三相电压相角分别为0°、240°、120°，相电压分别为347V、347V、255V
3、检查上位机和电表上电压的不平衡因素VUF是否满足精度±1%
4、检查Web页面中电压的不平衡因素VUF是否满足精度±1%</t>
  </si>
  <si>
    <t>3、检查上位机和电表上电压的不平衡因素VUF满足精度1%，
VUF：9.694% 8.694% ~ 10.694%
4、检查Web页面中电压的不平衡因素VUF满足精度±1%</t>
  </si>
  <si>
    <t>3E3p4w Y接线方式，三相电压相角分别为0°、240°、103°，三相电压相同，遍历69V、120V、230V、347V,检查电表的三相电压不平衡因素VUF测量精度满足±1%</t>
  </si>
  <si>
    <t>3、检查上位机和电表上电压的不平衡因素VUF显示
VUF：9.951% 8.951% ~ 10.951%</t>
  </si>
  <si>
    <t>Function_AcuRev1320_009_01_case6</t>
  </si>
  <si>
    <t>3e3p4w接线方式，三相电压相角分别为0°、240°、120°，相电压分别为145V、210V、220V,检查电表的三相电压不平衡因素VUF测量值为12.267%，没有精度要求</t>
  </si>
  <si>
    <t>1、连接AcuRev1320电表到Acuview2上，连接状态为connected
2、三相电压相角分别为0°、240°、120°，相电压分别为145V、210V、220V
3、检查上位机和电表上电压的不平衡因素VUF测量值为12.267%，没有精度要求</t>
  </si>
  <si>
    <t>3、检查上位机和电表上电压的不平衡因素VUF测量值为12.267%
备注： 电压不平衡因数超出10%，没有精度要求，但是不能偏离太多</t>
  </si>
  <si>
    <t>Function_AcuRev1320_009_01_case7</t>
  </si>
  <si>
    <t>3E3p4w Y接线方式，三相电压相角分别为0°、120°、120°，三相电压相同，遍历69V、120V检查电表的三相电压不平衡因素VUF测量值为100.00%，没有精度要求</t>
  </si>
  <si>
    <t>1、连接AcuRev1320电表到Acuview2上，连接状态为connected
2、三相电压相角分别为0°、120°、120°，三相电压全部为69V
3、检查上位机和电表上电压的不平衡因素VUF测量值为100.00%，没有精度要求
4、三相电压相角分别为0°、120°、120°，三相电压全部为120V
5、检查上位机和电表上电压的不平衡因素VUF测量值为100.00%，没有精度要求</t>
  </si>
  <si>
    <t>3、检查上位机和电表上电压的不平衡因素VUF测量值为100.00%
备注： 电压不平衡因数超出10%，没有精度要求，但是不能偏离太多</t>
  </si>
  <si>
    <t>Function_AcuRev1320_009_01_case8</t>
  </si>
  <si>
    <t>3E3p4w Y接线方式，三相电压相角分别为0°、120°、230°，三相电压相同，遍历69V、120V检查电表的三相电压不平衡因素VUF测量值为150.00%，没有精度要求</t>
  </si>
  <si>
    <t>1、连接AcuRev1320电表到Acuview2上，连接状态为connected
2、三相电压相角分别为0°、120°、230°，三相电压全部为69V
3、检查上位机和电表上电压的不平衡因素VUF测量值为150.00%，没有精度要求
4、三相电压相角分别为0°、120°、230°，三相电压全部为120V
5、检查上位机和电表上电压的不平衡因素VUF测量值为150.00%，没有精度要求</t>
  </si>
  <si>
    <t>3、检查上位机和电表上电压的不平衡因素VUF测量值为150.00%
备注：
1. 电压不平衡因数超出10%，没有精度要求，但是不能偏离太多
2. 大于1.5，DSP与浩良对齐，系统显示150%, 小于1.5按照实际的显示。</t>
  </si>
  <si>
    <t>Function_AcuRev1320_009_01_case9</t>
  </si>
  <si>
    <t>3E3p4w Y接线方式，三相电压相角分别为0°、240°、120°，三相电压相同，遍历69V、120V、230V、347V，检查电表的三相电压不平衡因素VUF测量精度满足±1%</t>
  </si>
  <si>
    <t>3、检查上位机和电表上电压的不平衡因素VUF显示
VUF：0.000% 0% ~ 1.000%</t>
  </si>
  <si>
    <t>Function_AcuRev1320_009_01_case10</t>
  </si>
  <si>
    <t>3E3p4w Y接线方式，三相电压相角分别为0°，三相电压相同为0V，检查电表的三相电压不平衡因素VUF测量值为0.00%</t>
  </si>
  <si>
    <t>1、连接AcuRev1320电表到Acuview2上，连接状态为connected
2、没有电源输入，三相电压相角分别为0°，三相电压全部为0V
4、检查Web页面中电压的不平衡因素VUF是多少</t>
  </si>
  <si>
    <t xml:space="preserve">
3、检查上位机和电表上电压的不平衡因素VUF显示
VUF：0.000%
4、与电表与上位机保持一致</t>
  </si>
  <si>
    <t>Function_AcuRev1320_009_01_case11</t>
  </si>
  <si>
    <t>1 ELEMENT_2_WIRE,相电压分别为100V、0V、0V,检查电表的三相电压不平衡因素VUF测量值为"-"</t>
  </si>
  <si>
    <t>1、连接AcuRev1320电表到Acuview2上，连接状态为connected
2、电表设置接线方式1 ELEMENT_2_WIRE,三相电压相角分别为0°、0°、0°，相电压分别为100V、0V、0V
3、检查上位机和电表上电压的不平衡因素VUF是否显示"-"
4、检查Web页面中电压的不平衡因素VUF是否显示为-</t>
  </si>
  <si>
    <t>3、上位机和电表上电压的不平衡因素VUF显示"-"
VUF："-"
4、显示-</t>
  </si>
  <si>
    <t>2 Element 3 Wire Network接线方式, 三相电压相角分别为0°、240°、120°，相电压分别为69V、80V、69V,检查电表的三相电压不平衡因素VUF测量精度满足±1%</t>
  </si>
  <si>
    <t>2 Element 3 Wire 1 Phase接线方式, Ua和Uc相电压分别为230V、250V,检查电表的三相电压不平衡因素VUF测量值正确</t>
  </si>
  <si>
    <t>1、Acuview2上位机
2、网线/RTU串口线
3、AcuRev1320电表
4、2 Element 3 Wire 1 Phase接线方式</t>
  </si>
  <si>
    <t>Function_AcuRev1320_009_01_case14</t>
  </si>
  <si>
    <t>2 Element 3 Wire Delta接线方式, UA、UC相电压分别为69V、69V检查电表的三相电压不平衡因素VUF测量值正确</t>
  </si>
  <si>
    <t>1、Acuview2上位机
2、网线/RTU串口线
3、AcuRev1320电表
4、2 Element 3 Wire Delta接线方式</t>
  </si>
  <si>
    <t>Function_AcuRev1320_009_01_case15</t>
  </si>
  <si>
    <t>3Element4Wire Delta接线方式, UA、Ub、UC相电压分别为100V、150V、200V检查电表的三相电压不平衡因素VUF测量值正确</t>
  </si>
  <si>
    <t>3、检查上位机和电表上电流的不平衡因素CUF满足精度1%，
CUF: 0.671% 0 % ~ 1.671%
备注:对称分量法可精确计算不平衡度VUF和CUF</t>
  </si>
  <si>
    <t>Function_AcuRev1320_009_01_case17</t>
  </si>
  <si>
    <t>1、连接AcuRev1320电表到Acuview2上，连接状态为connected
2、1个用户对应3路电流，电流相角分别为0°、240°、120°，IA、IB、IC分别为2A、1.97A、2A
3、检查上位机和电表上电流的不平衡因素CUF是否满足精度±1%
4、检查web页面上不平衡界面中电流的不平衡因素CUF是否满足精度±1%</t>
  </si>
  <si>
    <t>3、检查上位机和电表上电流的不平衡因素CUF满足精度1%，
 CUF：0.503% 0% ~ 1.503%
4、数据显示同上位机及电表保持一致</t>
  </si>
  <si>
    <t>Function_AcuRev1320_009_01_case18</t>
  </si>
  <si>
    <t>Function_AcuRev1320_009_01_case19</t>
  </si>
  <si>
    <t>3E3p4w Y，1个用户对应3路电流，电流相角分别为0°、170°、120°，三路流相同，遍历0.5A、2A、5A、10A、20A
,测量电表用户user1的电流不平衡因素CUF满足精度1%</t>
  </si>
  <si>
    <t>1、连接AcuRev1320电表到Acuview2上，连接状态为connected
2、三路电流相角分别为0°、170°、120°，三路电流全部为0.5A
3、检查上位机和电表上电压的不平衡因素VUF是否满足精度±1%
4、三路电流相角分别为0°、170°、120°，三路电流全部为2A
5、检查上位机和电表上电压的不平衡因素VUF是否满足精度±1%
6、三路电流相角分别为0°、170°、120°，三路电流全部为5A
7、检查上位机和电表上电压的不平衡因素VUF是否满足精度±1%
8、三路电流相角分别为0°、170°、120°，三路电流全部为10A
9、检查上位机和电表上电压的不平衡因素VUF是否满足精度±1%
10、三路电流相角分别为0°、170°、120°，三路电流全部为20A
11、检查上位机和电表上电压的不平衡因素VUF是否满足精度±1%</t>
  </si>
  <si>
    <t>3、检查上位机和电表上电压的不平衡因素VUF显示
VUF：45.459% 44.459% ~ 46.459%</t>
  </si>
  <si>
    <t>Function_AcuRev1320_009_01_case20</t>
  </si>
  <si>
    <t>2e2p3w-phase, 1个用户对应2路电流，电流相角分别为0°、240°，IA、IB分别为3A、5A，测量电表用户user1的电流不平衡因素CUF满足精度1%</t>
  </si>
  <si>
    <t>1、连接AcuRev1320电表到Acuview2上，连接状态为connected
2、电表设置2e2p3w-phase, 1个用户对应2路电流，电流相角分别为0°、240°，IA、IB分别为3A、5A，
3、检查上位机和电表上电流的不平衡因素CUF满足精度±1%，  CUF：25% 24.000% ~ 26.000%</t>
  </si>
  <si>
    <t>3、检查上位机和电表上电流的不平衡因素CUF满足精度1%，
 CUF：25% 24.000% ~ 26.000%
备注: 按照DSP开发给的小于3路负载的计算方法计算不平衡度VUF和CUF，
需分量显示为-</t>
  </si>
  <si>
    <t>Function_AcuRev1320_009_01_case21</t>
  </si>
  <si>
    <t>Function_AcuRev1320_009_01_case22</t>
  </si>
  <si>
    <t>1Element 2 wire, 1个用户对应1路电流，电流相角分别为0°，IA为5A，测量电表用户user1的电流不平衡因素CUF满足精度1%</t>
  </si>
  <si>
    <t>1、连接AcuRev1320电表到Acuview2上，连接状态为connected
2、1个用户对应1路电流，电流相角分别为0°，IA为5A，
3、检查上位机和电表上电流的不平衡因素CUF是否显示0%
4、检查web页面上不平衡界面中电流的不平衡因素CUF是如何显示</t>
  </si>
  <si>
    <t>Function_AcuRev1320_009_01_case23</t>
  </si>
  <si>
    <t>3、上位机和电表上电流的不平衡因素CUF显示0.
4、同上位机及电表显示一致</t>
  </si>
  <si>
    <t>1个用户对应3路电流，电流相角分别为0°、240°、120°，IA、IB、IC分别为(1A、4A、5A)，测量电表用户user1的电流不平衡因素CUF满足精度1%</t>
  </si>
  <si>
    <t>1、连接AcuRev1320电表到Acuview2上，连接状态为connected
2、2个用户对应6路电流，电流相角分别为0°、240°、120°，IA、IB、IC分别为(1A、4A、5A)
3、检查上位机和电表上电流的不平衡因素CUF是否满足精度±1%
4、检查上位机和电表上电流的不平衡因素VUF是否满足精度±1%， 且精确3为小数的百分比形式显示</t>
  </si>
  <si>
    <t>3、检查上位机和电表上电流的不平衡因素CUF满足精度1%，
CUF1:36.056% 35.056% ~ 37.056%
4、上位机和电表上电流的不平衡因素VUF满足精度1%， 且精确3为小数的百分比形式显示</t>
  </si>
  <si>
    <t>Function_AcuRev1320_009_01_case25</t>
  </si>
  <si>
    <t>2ELEMENT_3_WIRE_NETWORK， 1个用户对应2路电流,相角分别为0°、240°、120°,IA、IB分别为(2A,4A)，接线方式为2ELEMENT_3_WIRE_NETWORK， 测量电表用户user1的电流不平衡因素CUF满足精度1%</t>
  </si>
  <si>
    <t>3、检查上位机和电表上电流的不平衡因素CUF满足精度1%，
CUF = 33.333% 32.333%~34.333%
4、同上位机及电表显示一致
备注:对称分量法可精确计算不平衡度VUF和CUF。</t>
  </si>
  <si>
    <t>Function_AcuRev1320_009_01_case27</t>
  </si>
  <si>
    <t>3、检查上位机和电表上电流的不平衡因素CUF满足精度1%，
CUF = 33.3%
4、同上位机及电表显示一致
备注:对称分量法可精确计算不平衡度VUF和CUF。</t>
  </si>
  <si>
    <t>1个用户对应3路电流，电流相角分别为60°、240°、120°，IA、IB、IC分别为10A，测量电表用户系统的电流不平衡因素CUF满足精度1%</t>
  </si>
  <si>
    <t>1、连接AcuRev1320电表到Acuview2上，连接状态为connected
2、1个用户对应3路电流，电流相角分别为60°、240°、120°，IA、IB、IC分别为10A
3、检查上位机和电表上电流的不平衡因素CUF是否满足精度1%</t>
  </si>
  <si>
    <t>3、检查上位机和电表上电流的不平衡因素VUF满足精度1%，
CUF: 37.796% 36.796% ~ 38.796%
备注:对称分量法可精确计算不平衡度VUF和CUF</t>
  </si>
  <si>
    <t>Function_AcuRev1320_009_01_case29</t>
  </si>
  <si>
    <t>电表设置顺向序系统(A-&gt;B-&gt;C), 相电压分别为220V、220V、220V，三相电压相角分别为三组数据(0°、240°、120°), (0°、240.1°、120°),(0°、241°、120°)，检查电表的三相电压不平衡因素VUF测量值0%</t>
  </si>
  <si>
    <t>1、连接AcuRev1320电表到Acuview2上，连接状态为connected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三相电压相角分别为0°、240.1°、120°，相电压分别为220V、220V、220V
5、上位机和电表上电流的不平衡因素VUF是否等于
VUF: 0.058% 0.058% ~ 0.059%
6、电表设置顺向序系统(A-&gt;B-&gt;C), 三相电压相角分别为0°、241°、120°，相电压分别为220V、220V、220V
7、上位机和电表上电流的不平衡因素VUF是否等于
VUF: 0.582% 0.576% ~ 0.588%</t>
  </si>
  <si>
    <t>3、上位机和电表上电流的不平衡因素VUF等于0%
VUF: 0.000% 0.000% ~ 1.000%
5、上位机和电表上电流的不平衡因素VUF等于
VUF: 0.058% 0.000% ~ 1.058%
7、上位机和电表上电流的不平衡因素CUF等于
VUF: 0.582% 0.000% ~ 1.582%</t>
  </si>
  <si>
    <t>Function_AcuRev1320_009_01_case30</t>
  </si>
  <si>
    <t>电表设置逆向序(A-&gt;C-&gt;B), 三相电压相角分别为0°、120°、240°，相电压分别为220V、220V、220V，检查电表的三相电压不平衡因素VUF测量值为0.000%)</t>
  </si>
  <si>
    <t>1、连接AcuRev1320电表到Acuview2上，连接状态为connected
2、电表设置逆向序(A-&gt;C-&gt;B), 三相电压相角分别为0°、120°、240°，相电压分别为220V、220V、220V
3、检查上位机和电表上电流的不平衡因素CUF是否显示0.000%</t>
  </si>
  <si>
    <t>3、检查上位机和电表上电流的不平衡因素CUF显示VUF:  0.000% 1.000% ~ 0.000%</t>
  </si>
  <si>
    <t>Function_AcuRev1320_009_01_case31</t>
  </si>
  <si>
    <t>1、连接AcuRev1320电表到Acuview2上，连接状态为connected
2、三相电压相角分别为0°、240°、120°，相电压分别为230V、230V、196V
3、检查上位机和电表上电压的不平衡因素VUF是否满足精度±1%
4、1个用户对应3路电流，电流相角分别为0°、240°、120°，IA、IB、IC分别为20A、10A、10A
5、检查上位机和电表上电流的不平衡因素CUF是否满足精度±1%</t>
  </si>
  <si>
    <t>3、检查上位机和电表上电压的不平衡因素VUF满足精度1%，
VUF：5.131% 4.131% ~ 6.131%
5、检查上位机和电表上电流的不平衡因素CUF满足精度±1%
 CUF：25% 24% ~ 26%</t>
  </si>
  <si>
    <t>相电压序分量验证</t>
  </si>
  <si>
    <t>电表设置逆向序(A-&gt;C-&gt;B), 三相电压相角分别为0°、120°、240°，相电压分别为220V、220V、220V，相电压V0(零序)，V1(正序)，V2(负序)测量模值和序分量角度正确</t>
  </si>
  <si>
    <t>Function_AcuRev1320_009_02_case2</t>
  </si>
  <si>
    <t>1、连接AcuRev1320电表到Acuview2上，连接状态为connected
2、电表设置顺向序(A-&gt;B-&gt;C), 三相电压相角分别为0°、120°、240°，相电压分别为220V、220V、220V
3、相电压相电压V0(零序)，V1(正序)，V2(负序)测量模值和序分量角度是否正确
4、电压矢量值是否正常</t>
  </si>
  <si>
    <t>Function_AcuRev1320_009_02_case3</t>
  </si>
  <si>
    <t>电表设置顺向序(A-&gt;B-&gt;C), ABC相电压相位角0°、240°、120°，相电压220v、230v、225v，相电压V0(零序)，V1(正序)，V2(负序)测量模值和序分量角度正确</t>
  </si>
  <si>
    <t>1、连接AcuRev1320电表到Acuview2上，连接状态为connected
2、电表设置顺向序(A-&gt;B-&gt;C), ABC相电压相位角0°、240°、120°，相电压220v、230v、225v
3、相电压相电压V0(零序)，V1(正序)，V2(负序)测量模值和序分量角度是否正确
4、电压矢量值是否正常</t>
  </si>
  <si>
    <t>3、相电压相电压V0(零序)，V1(正序)，V2(负序)测量模值为：2.887，225.000, 2.887
V0(零序)，V1(正序)，V2(负序)测量角度分别为：210.00°，0.00°，150.00°
4、电压矢量值正常</t>
  </si>
  <si>
    <t>Function_AcuRev1320_009_02_case4</t>
  </si>
  <si>
    <t>3、相电压相电压V0(零序)，V1(正序)，V2(负序)测量模值为：73.333 73.333 146.667,
V0(零序)，V1(正序)，V2(负序)测量角度分别为：180.00°，180.00°，0.00°，电压矢量值准确
7、检查web页面中相电压相电压V0(零序)，V1(正序)，V2(负序)测量模值和序分量角度正确，Sequence对应的电压电流矢量图显示正常</t>
  </si>
  <si>
    <t>分别切换1E2W,2E3W-1phase，2E3W-Network，2E3W-delta，3E4W-delta接线方式， 电表设置顺向序(A-&gt;B-&gt;C),三相电压相角分别为0°、120°、240°，相电压为220V，上位机相电压V0，V1，V2测量。</t>
  </si>
  <si>
    <t>1、连接AcuRev1320电表到Acuview2上，连接状态为connected
2、三相电压相角分别为0°、120°、0°，相电压分别为220V、220V、220V
3、相电压相电压V0(零序)，V1(正序)，V2(负序)测量模值和序分量角度是否正确
4、修改三相电压相角分别为0°、0°、0°，相电压分别为220V、220V、220V
5、相电压相电压V0(零序)，V1(正序)，V2(负序)测量模值和序分量角度是否正确
6、电压矢量值是否正确</t>
  </si>
  <si>
    <t>Function_AcuRev1320_009_02_case7</t>
  </si>
  <si>
    <t>电表设置逆向序(A-&gt;C-&gt;B), ABC相电压相位角0°、120°、300°，相电压240v、230v、220v, 相电压V0(零序)，V1(正序)，V2(负序)测量模值和序分量角度正确</t>
  </si>
  <si>
    <t>1、连接AcuRev1320电表到Acuview2上，连接状态为connected
2、ABC相电压相位角0°、120°、300°，相电压240v、230v、220v
3、相电压相电压V0(零序)，V1(正序)，V2(负序)测量模值和序分量角度是否正确</t>
  </si>
  <si>
    <t>3、相电压相电压V0(零序)，V1(正序)，V2(负序)测量模值为：78.387 203.497 73.560
V0(零序)，V1(正序)，V2(负序)测量角度分别为：2.111° 18.185°  244.502</t>
  </si>
  <si>
    <t>Function_AcuRev1320_009_02_case8</t>
  </si>
  <si>
    <t>电表设置负向序(A-&gt;C-&gt;B),  IA、IB、IC相角分别为0°、240°、120°，系统对应3路电流5A、5A、5A，系统的I0(零序)，I1(正序)，I2(负序)测量模值和序分量角度正确</t>
  </si>
  <si>
    <t>1、连接AcuRev1320电表到Acuview2上，连接状态为connected
2、电表设置顺向序(A-&gt;B-&gt;C), ABC相电压相位角0°、240°、120°，相电压220v、230v、225v
3、检查相电压相电压V0(零序)，V1(正序)，V2(负序)测量模值和序分量角度是否正确，同时检查HMI上单位是否正确</t>
  </si>
  <si>
    <t>3、相电压相电压V0(零序)，V1(正序)，V2(负序)测量模值为：2.887，225.000, 2.887，HMI上单位显示为V
V0(零序)，V1(正序)，V2(负序)测量角度分别为：210.00°，0.00°，150.00°，HMI上单位显示为°</t>
  </si>
  <si>
    <t>用户序分量验证</t>
  </si>
  <si>
    <t>Function_AcuRev1320_009_03_case1</t>
  </si>
  <si>
    <t>电表设置正向序(A-&gt;B-&gt;C), IA、IB、IC相角分别为0°、240°、120°，系统对应3路电流5A、5A、5A，系统的I0(零序)，I1(正序)，I2(负序)测量模值和序分量角度正确</t>
  </si>
  <si>
    <t>1、连接AcuRev1320电表到Acuview2上，连接状态为connected
2、电表设置正向序(A-&gt;B-&gt;C), 三相电压相角分别为0°、240°、120°，系统对应3路电流，电流5A、5A、5A
3、系统的I0(零序)，I1(正序)，I2(负序)测量模值和序分量角度是否正确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</si>
  <si>
    <t>3、用户user1的I0(零序)，I1(正序)，I2(负序)测量模值为：0.000,5.000，0.000，
I0(零序)，I1(正序)，I2(负序)测量角度分别为：0.00°，0.00°，0.00°
4、检查上位机中Sequence对应的电压矢量图显示正常
5、检查web页面中相电压相电压V0(零序)，V1(正序)，V2(负序)测量模值和序分量角度正确，Sequence对应的电压矢量图显示正常</t>
  </si>
  <si>
    <t>Function_AcuRev1320_009_03_case2</t>
  </si>
  <si>
    <t>电表设置负向序(A-&gt;C-&gt;B), IA、IB、IC相角分别为0°、120°、240°，系统对应3路电流5A、5A、5A，系统的I0(零序)，I1(正序)，I2(负序)测量模值和序分量角度正确</t>
  </si>
  <si>
    <t>1、连接AcuRev1320电表到Acuview2上，连接状态为connected
2、负向序系统(A-&gt;C-&gt;B), 三相电流相角分别为0°、120°、240°，系统对应3路电流，电流5A、5A、5A
3、系统的I0(零序)，I1(正序)，I2(负序)测量模值和序分量角度是否正确，电流矢量数据是否正确</t>
  </si>
  <si>
    <t>3、用户user1的I0(零序)，I1(正序)，I2(负序)测量模值为：0.000,5.000，0.000
I0(零序)，I1(正序)，I2(负序)测量角度分别为：0.00°，0.00°，0.00°，电流矢量数据正确</t>
  </si>
  <si>
    <t>Function_AcuRev1320_009_03_case3</t>
  </si>
  <si>
    <t>1、连接AcuRev1320电表到Acuview2上，连接状态为connected
2、负向序系统(A-&gt;C-&gt;B), 三相电流相角分别为0°、240°、120°，电流为5A、5A、5A
3、用户user1的I0(零序)，I1(正序)，I2(负序)测量模值和序分量角度是否正确
4、检查上位机中Sequence对应的电压矢量图显示是否正常，电流矢量数据是否正确</t>
  </si>
  <si>
    <t>Function_AcuRev1320_009_03_case4</t>
  </si>
  <si>
    <t>电表设置正向序(A-&gt;B-&gt;C),电流相位角0°、240°、120°，电流1A、2A、5A，系统I0(零序)，I1(正序)，I2(负序)测量模值和序分量角度正确</t>
  </si>
  <si>
    <t>1、连接AcuRev1320电表到Acuview2上，连接状态为connected
2、电表设置正向序(A-&gt;B-&gt;C),系统对应3路电流，电流相位角0°、240°、120°，电流1A、2A、5A
3、系统I0(零序)，I1(正序)，I2(负序)测量模值和序分量角度是否正确，电流矢量数据是否正确</t>
  </si>
  <si>
    <t>3、用户user1的I0(零序)，I1(正序)，I2(负序)测量模值为：1.202, 2.667，1.202
I0(零序)，I1(正序)，I2(负序)测量角度分别为：133.898°，0.000°，226.102°，电流矢量数据正确</t>
  </si>
  <si>
    <t>Function_AcuRev1320_009_03_case5</t>
  </si>
  <si>
    <t>1、连接AcuRev1320电表到Acuview2上，连接状态为connected
2、系统对应3路电流,电流相角分别为0°、120°、240°，相电流分别为0A、4A、4A
3、系统的I0(零序)，I1(正序)，I2(负序)测量模值和序分量角度是否正确，电流矢量数据是否正确</t>
  </si>
  <si>
    <t>3、用户user1的I0(零序)，I1(正序)，I2(负序)测量模值为：1.334,1.333，2.667
I0(零序)，I1(正序)，I2(负序)测量角度分别为：180.000°，180.000°，0.00°，电流矢量数据正确</t>
  </si>
  <si>
    <t>Function_AcuRev1320_009_03_case6</t>
  </si>
  <si>
    <t>1 ELEMENT_2_WIRE， 接线方式， 电表设置正向序(A-&gt;B-&gt;C), 系统对应1路电流,电流相角分别为0°、120°、240°，相电流分别为4A、0A、0A，上位机上用户user的I0，I1，I2测量正确。</t>
  </si>
  <si>
    <t>1、连接AcuRev1320电表到Acuview2上，连接状态为connected
2、系统对应1路电流,电流相角分别为0°、120°、240°，相电流分别为4A、0A、0A
3、上位机上用户user1的I0(零序)，I1(正序)，I2(负序)测量模值和序分量角度是否正确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</si>
  <si>
    <t>3、上位机上用户user1的I0(零序)，I1(正序)，I2(负序)测量模值为："-" "-" "-"
I0(零序):，I1(正序)，I2(负序)测量角度分别为："-"  "-"  "-"
4、检查上位机中Sequence对应的电压矢量图无显示
5、检查web页面中相电压相电压V0(零序)，V1(正序)，V2(负序)测量模值和序分量角度是否与上位机保持一致，Sequence对应的电压矢量图无显示</t>
  </si>
  <si>
    <t>Function_AcuRev1320_009_03_case7</t>
  </si>
  <si>
    <t>1、连接AcuRev1320电表到Acuview2上，连接状态为connected
2、系统对应3路电流,电流相角分别为0°、120°、240°，相电流分别为0A、0A、0A
3、系统的I0，I1，I2测量值是否全为0，CUF 为0</t>
  </si>
  <si>
    <t>3、用户user的I0，I1，I2测量值全为0，CUF 为0
备注:  不加电流的时候，用户的序分量默认值什么？ 是0</t>
  </si>
  <si>
    <t>1、连接AcuRev1320电表到Acuview2上，连接状态为connected
2、电表设置正向序(A-&gt;B-&gt;C), 系统对应3路电流,电流相角分别为0°、120°、0°，电流分别为4A、4A、4A
3、系统的I0(零序)，I1(正序)，I2(负序)测量模值和序分量角度是否正确</t>
  </si>
  <si>
    <t>3、用户user1的I0(零序)，I1(正序)，I2(负序)测量模值为：2.309,2.309，2.309
I0(零序)，I1(正序)，I2(负序)测量角度分别为：30.00°，270.00°，30.00°</t>
  </si>
  <si>
    <t>电表设置正向序(A-&gt;B-&gt;C), user1对应3路电流,电流相角分别为0°、0°、0°，电流分别为4A、4A、4A, 用户user1的I0(零序)，I1(正序)，I2(负序)测量模值和序分量角度正确</t>
  </si>
  <si>
    <t>3、用户user1的I0(零序)，I1(正序)，I2(负序)测量模值为：4.000,0.000，0.000
I0(零序)，I1(正序)，I2(负序)测量角度分别为：0.00°，0.00°，0.00°</t>
  </si>
  <si>
    <t>Function_AcuRev1320_009_03_case10</t>
  </si>
  <si>
    <t>1 ELEMENT_2_WIRE接线方式， user1对应1路电流,电流相角分别为60°，电流分别为4A , 上位机上用户user1的I0(零序)，I1(正序)，I2(负序)测量模值和序分量角度正确</t>
  </si>
  <si>
    <t>1、Acuview2上位机
2、网线/RTU串口线
3、AcuRev1320电表
4、1ELEMENT_2_WIRE接线方式</t>
  </si>
  <si>
    <t>1、连接AcuRev1320电表到Acuview2上，连接状态为connected
2、系统对应1路电流,电流相角分别为60°，电流分别为4A
3、上位机上用户user1的I0(零序)，I1(正序)，I2(负序)测量模值和序分量角度是否正确
4、检查上位机中Sequence对应的电压矢量图显示是否正常，电流矢量数据是否正确</t>
  </si>
  <si>
    <t>用户user1的I0(零序)，I1(正序)，I2(负序)测量模值和序分量角度为"-"，
4、检查上位机中Sequence对应的电压矢量图无显示，电流矢量数据正确</t>
  </si>
  <si>
    <t>Function_AcuRev1320_009_03_case11</t>
  </si>
  <si>
    <t>2E3p3w Delta接线方式， user1对应2路电流,电流相角分别为30°,120°，电流分别为2A,4A, 上位机和HMI上用户user1的I0(零序)，I1(正序)，I2(负序)测量模值和序分量角度正确</t>
  </si>
  <si>
    <t>1、连接AcuRev1320电表到Acuview2上，连接状态为connected
2、系统对应2路电流,电流相角分别为30°,120°，电流分别为2A,4A
3、上位机和HMI上用户user1的I0(零序)，I1(正序)，I2(负序)测量模值和序分量角度是否正确，电流矢量数据是否正确
4、用户user1的CUF 是否为33.3%
5、检查上位机中Sequence对应的电压矢量图显示是否正常
6、检查web页面中相电压相电压V0(零序)，V1(正序)，V2(负序)测量模值和序分量角度是否正确，Sequence对应的电压矢量图显示是否正常</t>
  </si>
  <si>
    <t>Function_AcuRev1320_009_03_case12</t>
  </si>
  <si>
    <t>2ELEMENT_3_WIRE_NETWORK接线方式，user1对应2路电流,电流相角分别为210°,330°，电流分别为1A,4A, 用户user1的I0(零序)，I1(正序)，I2(负序)测量模值和序分量角度正确</t>
  </si>
  <si>
    <t>1、连接AcuRev1320电表到Acuview2上，连接状态为connected
2、系统对应2路电流,电流相角分别为210°,330°，电流分别为1A,4A
3、上位机和HMI上用户user1的I0，I1，I2测量正确，电流矢量数据正确
4、用户user1的CUF 是否60%
5、检查上位机中Sequence对应的电压矢量图显示是否正常
6、检查web页面中相电压相电压V0(零序)，V1(正序)，V2(负序)测量模值和序分量角度是否正确，Sequence对应的电压矢量图显示是否正常</t>
  </si>
  <si>
    <t>3、上位机和HMI上用户user1的I0(零序)，I1(正序)，I2(负序)测量模值为：“   ”-“   ”-“
I0(零序)，I1(正序)，I2(负序)测量角度分别为：“   ”-“   ”-“，电流矢量数据正确
4、用户user1的CUF 60%
5、检查上位机中Sequence对应的电压矢量图无显示
6、检查web页面中相电压相电压V0(零序)，V1(正序)，V2(负序)测量模值和序分量角度是否与上位机保持一致，Sequence对应的电压矢量图无显示</t>
  </si>
  <si>
    <t>Function_AcuRev1320_009_03_case13</t>
  </si>
  <si>
    <t>2 ELEMENT_3_WIRE_PHASE_1接线方式，user1对应2路电流,电流相角分别为210°,330°，电流分别为1A,4A, 用户user1的I0(零序)，I1(正序)，I2(负序)测量模值和序分量角度正确</t>
  </si>
  <si>
    <t>1、连接AcuRev1320电表到Acuview2上，连接状态为connected
2、系统对应2路电流,电流相角分别为210°,330°，电流分别为1A,4A
3、上位机和HMI上用户user1的I0，I1，I2测量正确，电流矢量数据是否正确
4、用户user1的CUF 是否60%
5、检查上位机中Sequence对应的电压矢量图显示是否正常
6、检查web页面中相电压相电压V0(零序)，V1(正序)，V2(负序)测量模值和序分量角度是否正确，Sequence对应的电压矢量图显示是否正常</t>
  </si>
  <si>
    <t>Function_AcuRev1320_009_03_case14</t>
  </si>
  <si>
    <t>1、连接AcuRev1320电表到Acuview2上，连接状态为connected
2、3路电流,电流相角分别为0°,240°，120°，电流分别为2A,3A,4A
3、上位机和HMI上用户系统的I0(零序)，I1(正序)，I2(负序)测量模值和序分量角度是否正确，电流矢量数据是否正确
4、用户user1的CUF 是否为25%
5、检查上位机中Sequence对应的电压矢量图无显示
6、检查web页面中相电压相电压V0(零序)，V1(正序)，V2(负序)测量模值和序分量角度是否与上位机保持一致，Sequence对应的电压矢量图无显示</t>
  </si>
  <si>
    <t>3E3p4w Y接线方式，电表设置正向序(A-&gt;B-&gt;C),  user1对应3路电流，电流相位角30°、120°、240°，电流5A、5A、5A，用户user1的I0(零序)，I1(正序)，I2(负序)测量模值和序分量角度正确</t>
  </si>
  <si>
    <t>1、连接AcuRev1320电表到Acuview2上，连接状态为connected
2、系统对应3路电流，电流相位角30°、120°、240°，电流5A、5A、5A
3、用户user1的I0(零序)，I1(正序)，I2(负序)测量模值和序分量角度是否正确</t>
  </si>
  <si>
    <t>3、用户user1的I0(零序)，I1(正序)，I2(负序)测量模值为：0.863 0.863 4.849
I0(零序)，I1(正序)，I2(负序)测量角度分别为：
105.000°  105.000° 9.896°</t>
  </si>
  <si>
    <t>电能测量</t>
  </si>
  <si>
    <t>毫伏型号CT电能测量</t>
  </si>
  <si>
    <t>1、Acuview2上位机
2、网线/RTU串口线
3、AcuRev1320电表
4、接线方式3E3p4w</t>
  </si>
  <si>
    <t>1、连接AcuRev1320电表到Acuview2上，连接状态为connected
2、重置用户电能数据
3、(A&amp;B&amp;C相)电流为0.05A，ABC电压均347V,电压电流相角差0°
4、等待10mins。
5、上位机上和电表上检查A&amp;B&amp;C相、系统W_p、W_q、W_s对应（Import、Export、Net、Total）电能精度是否满足0.2%
6、查看web页面中energy界面内energy相关数据是否与上位机及电表一致，且数据准确</t>
  </si>
  <si>
    <t>5、上位机上和电表上检查A&amp;B&amp;C相、系统W_p、W_q、W_s对应（Import、Export、Net、Total）电能精度满足0.2%
6、查看web页面中energy界面内energy相关数据与上位机及电表一致，且数据准确
备注: modbus表中能量参数有55个，测试时候需要借助Excel公式计算和上位机及电表上数据比对。</t>
  </si>
  <si>
    <t>Function_AcuRev1320_010_01_case2</t>
  </si>
  <si>
    <t>1、连接AcuRev1320电表到Acuview2上，连接状态为connected
2、重置用户电能数据
3、(A&amp;B&amp;C相)电流为0.15A，ABC电压均347V,电压电流相角差0°
4、等待10mins。
5、上位机上和电表上检查A&amp;B&amp;C相、系统W_p、W_q、W_s对应（Import、Export、Net、Total）电能精度是否满足0.2%</t>
  </si>
  <si>
    <t>5、上位机上和电表上检查A&amp;B&amp;C相、系统W_p、W_q、W_s对应（Import、Export、Net、Total）电能精度满足0.2%
备注: modbus表中能量参数有55个，测试时候需要借助Excel公式计算和上位机及电表上数据比对。</t>
  </si>
  <si>
    <t>Function_AcuRev1320_010_01_case3</t>
  </si>
  <si>
    <t>1、连接AcuRev1320电表到Acuview2上，连接状态为connected
2、重置用户电能数据
3、(A&amp;B&amp;C相)电流为0.25A，ABC电压均69V,电压电流相角差0°
4、等待10mins。
5、上位机上和电表上检查A&amp;B&amp;C相、系统W_p、W_q、W_s对应（Import、Export、Net、Total）电能精度是否满足0.1%</t>
  </si>
  <si>
    <t>5、上位机上和电表上检查A&amp;B&amp;C相、系统W_p、W_q、W_s对应（Import、Export、Net、Total）电能精度满足0.1%
备注: modbus表中能量参数有55个，测试时候需要借助Excel公式计算和上位机及电表上数据比对。</t>
  </si>
  <si>
    <t>Function_AcuRev1320_010_01_case4</t>
  </si>
  <si>
    <t>1、连接AcuRev1320电表到Acuview2上，连接状态为connected
2、重置用户电能数据
3、(A&amp;B&amp;C相)电流为3.5A，ABC电压均69V,电压电流相角差0°
4、等待10mins。
5、上位机上和电表上检查A&amp;B&amp;C相、系统W_p、W_q、W_s对应（Import、Export、Net、Total）电能精度是否满足0.1%</t>
  </si>
  <si>
    <t>Function_AcuRev1320_010_01_case5</t>
  </si>
  <si>
    <t>CT选型5A/333mV，3E3p4w输入(A&amp;B&amp;C相)电流均为6A，ABC电压均为69V,电压电流相角ϕ差为0°，接入源负载10分钟，测量A&amp;B&amp;C的、系统、W_p、W_q、W_s对应（Import、Export、Net、Total），电能精度满足0.1%</t>
  </si>
  <si>
    <t>1、连接AcuRev1320电表到Acuview2上，连接状态为connected
2、重置用户电能数据
3、(A&amp;B&amp;C相)电流为6A，ABC电压均69V,电压电流相角差0°
4、等待10mins。
5、上位机上和电表上检查A&amp;B&amp;C相、系统W_p、W_q、W_s对应（Import、Export、Net、Total）电能精度是否满足0.1%
6、查看web页面与上位机及电表是否一致</t>
  </si>
  <si>
    <t>5、上位机上和电表上检查A&amp;B&amp;C相、系统W_p、W_q、W_s对应（Import、Export、Net、Total）电能精度满足0.1%
6、查看web页面与上位机及电表一致
备注: modbus表中能量参数有55个，测试时候需要借助Excel公式计算和上位机及电表上数据比对。</t>
  </si>
  <si>
    <t>Function_AcuRev1320_010_01_case6</t>
  </si>
  <si>
    <t>1、连接AcuRev1320电表到Acuview2上，连接状态为connected
2、重置用户电能数据
3、(A&amp;B&amp;C相)电流为0.1A，ABC电压均120V,电压电流相角差60°
4、等待10mins。
5、上位机上和电表上检查A&amp;B&amp;C相、系统W_p、W_q、W_s对应（Import、Export、Net、Total）电能精度是否满足0.25%</t>
  </si>
  <si>
    <t>5、上位机上和电表上检查A&amp;B&amp;C相、系统W_p、W_q、W_s对应（Import、Export、Net、Total）电能精度满足0.25%
备注: modbus表中能量参数有55个，测试时候需要借助Excel公式计算和上位机及电表上数据比对。</t>
  </si>
  <si>
    <t>Function_AcuRev1320_010_01_case7</t>
  </si>
  <si>
    <t>1、连接AcuRev1320电表到Acuview2上，连接状态为connected
2、重置用户电能数据
3、(A&amp;B&amp;C相)电流为0.3A，ABC电压均120V,电压电流相角差60°
4、等待10mins。
5、上位机上和电表上检查A&amp;B&amp;C相、系统W_p、W_q、W_s对应（Import、Export、Net、Total）电能精度是否满足0.25%</t>
  </si>
  <si>
    <t>Function_AcuRev1320_010_01_case8</t>
  </si>
  <si>
    <t>1、连接AcuRev1320电表到Acuview2上，连接状态为connected
2、重置用户电能数据
3、(A&amp;B&amp;C相)电流为0.1A，ABC电压均69V,电压电流相角差143.13°
4、等待10mins。
5、上位机上和电表上检查A&amp;B&amp;C相、系统W_p、W_q、W_s对应（Import、Export、Net、Total）电能精度是否满足0.25%</t>
  </si>
  <si>
    <t>Function_AcuRev1320_010_01_case9</t>
  </si>
  <si>
    <t xml:space="preserve">1、连接AcuRev1320电表到Acuview2上，连接状态为connected
2、重置用户电能数据
3、(A&amp;B&amp;C相)电流为0.3A，ABC电压均69V,电压电流相角差143.13°
4、等待10mins。
5、上位机上和电表上检查A&amp;B&amp;C相、系统W_p、W_q、W_s对应（Import、Export、Net、Total）电能精度是否满足0.25%
</t>
  </si>
  <si>
    <t>5、上位机上和电表上检查A&amp;B&amp;C相、系统W_p、W_q、W_s对应（Import、Export、Net、Total）电能精度满足0.25%备注: modbus表中能量参数有55个，测试时候需要借助Excel公式计算和上位机及电表上数据比对。</t>
  </si>
  <si>
    <t>Function_AcuRev1320_010_01_case10</t>
  </si>
  <si>
    <t xml:space="preserve">1、连接AcuRev1320电表到Acuview2上，连接状态为connected
2、重置用户电能数据
3、(A&amp;B&amp;C相)电流为0.5A，ABC电压均120V,电压电流相角差60°
4、等待10mins。
5、上位机上和电表上检查A&amp;B&amp;C相、系统W_p、W_q、W_s对应（Import、Export、Net、Total）电能精度是否满足0.15%
</t>
  </si>
  <si>
    <t>5、上位机上和电表上检查A&amp;B&amp;C相、系统W_p、W_q、W_s对应（Import、Export、Net、Total）电能精度满足0.15%
备注: modbus表中能量参数有55个，测试时候需要借助Excel公式计算和上位机及电表上数据比对。</t>
  </si>
  <si>
    <t>Function_AcuRev1320_010_01_case11</t>
  </si>
  <si>
    <t xml:space="preserve">1、连接AcuRev1320电表到Acuview2上，连接状态为connected
2、重置用户电能数据
3、(A&amp;B&amp;C相)电流为3.5A，ABC电压均120V,电压电流相角差60°
4、等待10mins。
5、上位机上和电表上检查A&amp;B&amp;C相、系统W_p、W_q、W_s对应（Import、Export、Net、Total）电能精度是否满足0.15%
</t>
  </si>
  <si>
    <t>Function_AcuRev1320_010_01_case12</t>
  </si>
  <si>
    <t xml:space="preserve">1、连接AcuRev1320电表到Acuview2上，连接状态为connected
2、重置用户电能数据
3、(A&amp;B&amp;C相)电流为6A，ABC电压均120V,电压电流相角差60°
4、等待10mins。
5、上位机上和电表上检查A&amp;B&amp;C相、系统W_p、W_q、W_s对应（Import、Export、Net、Total）电能精度是否满足0.15%
</t>
  </si>
  <si>
    <t>Function_AcuRev1320_010_01_case13</t>
  </si>
  <si>
    <t>1、连接AcuRev1320电表到Acuview2上，连接状态为connected
2、重置用户电能数据
3、(A&amp;B&amp;C相)电流为0.5A，ABC电压均69V,电压电流相角差143.13°
4、等待10mins。
5、上位机上和电表上检查A&amp;B&amp;C相、系统W_p、W_q、W_s对应（Import、Export、Net、Total）电能精度是否满足0.15%</t>
  </si>
  <si>
    <t>Function_AcuRev1320_010_01_case14</t>
  </si>
  <si>
    <t>1、连接AcuRev1320电表到Acuview2上，连接状态为connected
2、重置用户电能数据
3、(A&amp;B&amp;C相)电流为3.5A，ABC电压均69V,电压电流相角差143.13°
4、等待10mins。
5、上位机上和电表上检查A&amp;B&amp;C相、系统W_p、W_q、W_s对应（Import、Export、Net、Total）电能精度是否满足0.15%</t>
  </si>
  <si>
    <t>1、连接AcuRev1320电表到Acuview2上，连接状态为connected
2、重置用户电能数据
3、(A&amp;B&amp;C相)电流为6A，ABC电压均69V,电压电流相角差143.13°
4、等待10mins。
5、上位机上和电表上检查A&amp;B&amp;C相、系统W_p、W_q、W_s对应（Import、Export、Net、Total）电能精度是否满足0.15%</t>
  </si>
  <si>
    <t>Function_AcuRev1320_010_01_case16</t>
  </si>
  <si>
    <t>Function_AcuRev1320_010_01_case17</t>
  </si>
  <si>
    <t>CT选型5A/333mV，3E3p4w_DELTA源A、B、C分别输入207.8V,120V,120V,电压夹角分别为330°，240°，60°，电流输入值分别为5A,角度分别为330°，210°，90°，接入源负载10分钟，测量系统W_p、W_q、W_s对应（Import、Export、Net、Total）</t>
  </si>
  <si>
    <t>1、Acuview2上位机
2、网线/RTU串口线
3、AcuRev1320电表
4、接线方式3E3p4w_DELTA</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</si>
  <si>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4、等待10mins。
5、上位机上和电表上检查系统W_p、W_q、W_s对应（Import、Export、Net、Total）电能精度是否满足0.1%
6、查看web页面中energy界面内energy相关数据是否与上位机及电表一致，且数据准确</t>
  </si>
  <si>
    <t>5、上位机上和电表上检查系统W_p、W_q、W_s对应（Import、Export、Net、Total）电能精度满足0.1%
6、查看web页面中energy界面内energy相关数据与上位机及电表一致，且数据准确
备注: modbus表中能量参数有55个，测试时候需要借助Excel公式计算和上位机及电表上数据比对。</t>
  </si>
  <si>
    <t>Function_AcuRev1320_010_01_case18</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</si>
  <si>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4、等待10mins。
5、上位机上和电表上检查系统W_p、W_q、W_s对应（Import、Export、Net、Total）电能精度是否满足0.1%</t>
  </si>
  <si>
    <t>5、上位机上和电表上检查系统W_p、W_q、W_s对应（Import、Export、Net、Total）电能精度满足0.1%备注: modbus表中能量参数有55个，测试时候需要借助Excel公式计算和上位机及电表上数据比对。</t>
  </si>
  <si>
    <t>Function_AcuRev1320_010_01_case19</t>
  </si>
  <si>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3.源A、B、C分别输入207.8V,120V,120V,电压夹角分别为330°，240°，60°，电流输入值分别为5A,角度分别为210°，90°，330°
3.1查看上位机及HMI中real-time显示情况
4、等待10mins。
5、上位机上和电表上检查系统W_p、W_q、W_s对应（Import、Export、Net、Total）电能精度是否满足0.1%</t>
  </si>
  <si>
    <t>5、上位机上和电表上检查系统W_p、W_q、W_s对应（Import、Export、Net、Total）电能精度满足0.1%
备注: modbus表中能量参数有55个，测试时候需要借助Excel公式计算和上位机及电表上数据比对。</t>
  </si>
  <si>
    <t>Function_AcuRev1320_010_01_case20</t>
  </si>
  <si>
    <t>CT选型5A/333mV，2ELEMENT_3_WIRE_PHASE_1输入(A&amp;C相)电流为(3A、4A)，Van&amp;Vcn电压均为120V,电压电流相角ϕ差为120°，接入源负载10分钟，测量A&amp;C的、系统的W_p、W_q、W_s对应（Import、Export、Net、Total），电能精度满足0.15%</t>
  </si>
  <si>
    <t>1、Acuview2上位机
2、网线/RTU串口线
3、AcuRev1320电表
4、接线方式2ELEMENT_3_WIRE_PHASE_1</t>
  </si>
  <si>
    <t>1、连接AcuRev1320电表到Acuview2上，连接状态为connected
2、重置用户电能数据
3、(A&amp;C相)电流为(3A、4A)，Van&amp;Vcn电压均120V,电压电流相角差120°(Van和Vcn角度0°&amp;240°，A，C相电流角度为240°&amp;120°)。
4、等待10mins。
5、上位机上和电表上检查A&amp;C相、系统的W_p、W_q、W_s对应（Import、Export、Net、Total）电能精度是否满足0.15%
6、查看web页面中energy界面内energy相关数据是否与上位机及电表一致，且数据准确</t>
  </si>
  <si>
    <t>5、上位机上和电表上检查A&amp;C相、系统的W_p、W_q、W_s对应（Import、Export、Net、Total）电能精度满足0.15%
6、查看web页面中energy界面内energy相关数据与上位机及电表一致，且数据准确
备注: modbus表中能量参数有55个，测试时候需要借助Excel公式计算和上位机及电表上数据比对。</t>
  </si>
  <si>
    <t>Function_AcuRev1320_010_01_case21</t>
  </si>
  <si>
    <t>CT选型5A/333mV，2ELEMENT_3_WIRE_PHASE_1输入(A&amp;C相)电流为(3A、4A)，Van&amp;Vcn电压为120V，208V,电压电流相角ϕ差为30°，接入源负载10分钟,测量A&amp;C的、系统的W_p、W_q、W_s对应（Import、Export、Net、Total），电能精度满足0.15%</t>
  </si>
  <si>
    <t>1、连接AcuRev1320电表到Acuview2上，连接状态为connected
2、重置用户电能数据
3、(A&amp;C相)电流为(3A、4A)，Van&amp;Vcn电压120V、208V,电压电流相角差30°。
4、等待10mins。
5、上位机上和电表上检查A&amp;C相、系统的W_p、W_q、W_s对应（Import、Export、Net、Total）电能精度是否满足0.15%</t>
  </si>
  <si>
    <t>5、上位机上和电表上检查A&amp;C相、系统的W_p、W_q、W_s对应（Import、Export、Net、Total）电能精度满足0.15%
备注: modbus表中能量参数有55个，测试时候需要借助Excel公式计算和上位机及电表上数据比对。</t>
  </si>
  <si>
    <t>Function_AcuRev1320_010_01_case22</t>
  </si>
  <si>
    <t>CT选型5A/333mV，2ELEMENT_3_WIRE_DELTA输入(A&amp;C相)电流为(4A、4A)，Vab&amp;Vbc电压为120V，120V,电压电流相角ϕ差为30°，接入源负载10分钟,测量A&amp;C的、系统的W_p、W_q、W_s对应（Import、Export、Net、Total），电能精度满足0.15%</t>
  </si>
  <si>
    <t>1、Acuview2上位机
2、网线/RTU串口线
3、AcuRev1320电表
4、接线方式2ELEMENT_3_WIRE_DELTA</t>
  </si>
  <si>
    <t>Function_AcuRev1320_010_01_case23</t>
  </si>
  <si>
    <t>CT选型5A/333mV，2ELEMENT_3_WIRE_NETWORK输入Input1~2(A&amp;C相)电流为(3A、4A)，A、C电压为120V，208V,电压电流相角ϕ差为30°，接入源负载10分钟，测量A&amp;C的、系统的W_p、W_q、W_s对应（Import、Export、Net、Total），电能精度满足0.15%</t>
  </si>
  <si>
    <t>1、Acuview2上位机
2、网线/RTU串口线
3、AcuRev1320电表
4、接线方式2 ELEMENT_3_WIRE_NETWORK</t>
  </si>
  <si>
    <t>1、连接AcuRev1320电表到Acuview2上，连接状态为connected
2、重置用户电能数据
3、(A&amp;C相)电流为(3A、4A)，A、C相电压为120V和208V,电压电流相角差30°
4、等待10mins。
5、上位机上和电表上检查A&amp;C相、系统W_p、W_q、W_s对应（Import、Export、Net、Total）电能精度是否满足0.15%
6、查看web页面中energy界面内energy相关数据是否与上位机及电表一致，且数据准确</t>
  </si>
  <si>
    <t>5、上位机上和电表上检查A&amp;C相、系统W_p、W_q、W_s对应（Import、Export、Net、Total）电能精度满足0.15%
6、查看web页面中energy界面内energy相关数据与上位机及电表一致，且数据准确
备注: modbus表中能量参数有55个，测试时候需要借助Excel公式计算和上位机及电表上数据比对。</t>
  </si>
  <si>
    <t>Function_AcuRev1320_010_01_case24</t>
  </si>
  <si>
    <t>1、Acuview2上位机
2、网线/RTU串口线
3、AcuRev1320电表
4、接线方式1E1p2w</t>
  </si>
  <si>
    <t>1、连接AcuRev1320电表到Acuview2上，连接状态为connected
2、重置用户电能数据
3、A相电流为0.05A，A相电压347V,电压电流相角差0°(Va的相角为0，电流为0°)
4、等待10mins。
5、上位机上和电表上检查A相、系统W_p、W_q、W_s对应（Import、Export、Net、Total）电能精度是否满足0.2%</t>
  </si>
  <si>
    <t>5、上位机上和电表上检查A相、系统W_p、W_q、W_s对应（Import、Export、Net、Total）电能精度满足0.2%
备注: modbus表中能量参数有55个，测试时候需要借助Excel公式计算和上位机及电表上数据比对。</t>
  </si>
  <si>
    <t>Function_AcuRev1320_010_01_case25</t>
  </si>
  <si>
    <t>CT选型5A/333mV, 1E1p2w输入A相电流均为0.15A，A相电压均为347V, 电压电流相角ϕ差为0°，接入源负载10分钟，测量A的、系统W_p、W_q、W_s对应（Import、Export、Net、Total），电能精度满足0.2%</t>
  </si>
  <si>
    <t>1、连接AcuRev1320电表到Acuview2上，连接状态为connected
2、重置用户电能数据
3、A相电流为0.15A，A相电压347V,电压电流相角差0°(Va的相角为0，电流为0°)
4、等待10mins。
5、上位机上和电表上检查A相、系统W_p、W_q、W_s对应（Import、Export、Net、Total）电能精度是否满足0.2%</t>
  </si>
  <si>
    <t>Function_AcuRev1320_010_01_case26</t>
  </si>
  <si>
    <t>CT选型5A/333mV, 1E1p2w输入A相电流均为0.25A，A相电压均为69V, 电压电流相角ϕ差为0°，接入源负载10分钟，测量A的、系统W_p、W_q、W_s对应（Import、Export、Net、Total），电能精度满足0.1%</t>
  </si>
  <si>
    <t>1、连接AcuRev1320电表到Acuview2上，连接状态为connected
2、重置用户电能数据
3、A相电流为0.25A，A相电压69V,电压电流相角差0°(Va的相角为0，电流为0°)
4、等待10mins。
5、上位机上和电表上检查A相、系统W_p、W_q、W_s对应（Import、Export、Net、Total）电能精度是否满足0.1%</t>
  </si>
  <si>
    <t>5、上位机上和电表上检查A相、系统W_p、W_q、W_s对应（Import、Export、Net、Total）电能精度满足0.1%
备注: modbus表中能量参数有55个，测试时候需要借助Excel公式计算和上位机及电表上数据比对。</t>
  </si>
  <si>
    <t>Function_AcuRev1320_010_01_case27</t>
  </si>
  <si>
    <t>CT选型5A/333mV, 1E1p2w输入A相电流均为3.5A，A相电压均为69V, 电压电流相角ϕ差为0°，接入源负载10分钟，测量A的、系统W_p、W_q、W_s对应（Import、Export、Net、Total），电能精度满足0.1%</t>
  </si>
  <si>
    <t>1、连接AcuRev1320电表到Acuview2上，连接状态为connected
2、重置用户电能数据
3、A相电流为3.5A，A相电压69V,电压电流相角差0°(Va的相角为0，电流为0°)
4、等待10mins。
5、上位机上和电表上检查A相、系统W_p、W_q、W_s对应（Import、Export、Net、Total）电能精度是否满足0.1%
6、查看web页面中energy界面内energy相关数据是否与上位机及电表一致，且数据准确</t>
  </si>
  <si>
    <t>5、上位机上和电表上检查A相、系统W_p、W_q、W_s对应（Import、Export、Net、Total）电能精度满足0.1%
6、查看web页面中energy界面内energy相关数据与上位机及电表一致，且数据准确
备注: modbus表中能量参数有55个，测试时候需要借助Excel公式计算和上位机及电表上数据比对。</t>
  </si>
  <si>
    <t>Function_AcuRev1320_010_01_case28</t>
  </si>
  <si>
    <t>CT选型5A/333mV, 1E1p2w输入A相电流均为6A，A相电压均为69V, 电压电流相角ϕ差为0°，接入源负载10分钟，测量A的、系统W_p、W_q、W_s对应（Import、Export、Net、Total），电能精度满足0.1%</t>
  </si>
  <si>
    <t>1、连接AcuRev1320电表到Acuview2上，连接状态为connected
2、重置用户电能数据
3、A相电流为6A，A相电压69V,电压电流相角差0°(Va的相角为0，电流为0°)
4、等待10mins。
5、上位机上和电表上检查A相、系统W_p、W_q、W_s对应（Import、Export、Net、Total）电能精度是否满足0.1%</t>
  </si>
  <si>
    <t>Function_AcuRev1320_010_01_case29</t>
  </si>
  <si>
    <t>CT选型5A/333mV, 1E1p2w输入A相电流均为0.1A，A相电压均为120V, 电压电流相角ϕ差为60°，接入源负载10分钟，测量A的、系统W_p、W_q、W_s对应（Import、Export、Net、Total），电能精度满足0.25%</t>
  </si>
  <si>
    <t>1、连接AcuRev1320电表到Acuview2上，连接状态为connected
2、重置用户电能数据
3、A相电流为0.1A，A相电压120V,电压电流相角差60°)
4、等待10mins。
5、上位机上和电表上检查A相、系统W_p、W_q、W_s对应（Import、Export、Net、Total）电能精度是否满足0.25%</t>
  </si>
  <si>
    <t>5、上位机上和电表上检查A相、系统W_p、W_q、W_s对应（Import、Export、Net、Total）电能精度满足0.25%
备注: modbus表中能量参数有55个，测试时候需要借助Excel公式计算和上位机及电表上数据比对。</t>
  </si>
  <si>
    <t>Function_AcuRev1320_010_01_case30</t>
  </si>
  <si>
    <t>CT选型5A/333mV, 1E1p2w输入A相电流均为0.3A，A相电压均为120V, 电压电流相角ϕ差为60°，接入源负载10分钟，测量A的、系统W_p、W_q、W_s对应（Import、Export、Net、Total），电能精度满足0.25%</t>
  </si>
  <si>
    <t>1、连接AcuRev1320电表到Acuview2上，连接状态为connected
2、重置用户电能数据
3、A相电流为0.3A，A相电压120V,电压电流相角差60°)
4、等待10mins。
5、上位机上和电表上检查A相、系统W_p、W_q、W_s对应（Import、Export、Net、Total）电能精度是否满足0.25%</t>
  </si>
  <si>
    <t>Function_AcuRev1320_010_01_case31</t>
  </si>
  <si>
    <t>CT选型5A/333mV, 1E1p2w输入A相电流均为0.1A，A相电压均为69V, 电压电流相角ϕ差为143.12°，接入源负载10分钟，测量A的、系统W_p、W_q、W_s对应（Import、Export、Net、Total），电能精度满足0.25%</t>
  </si>
  <si>
    <t>1、连接AcuRev1320电表到Acuview2上，连接状态为connected
2、重置用户电能数据
3、A相电流为0.1A，A相电压69V,电压电流相角差143.13°)
4、等待10mins。
5、上位机上和电表上检查A相、系统W_p、W_q、W_s对应（Import、Export、Net、Total）电能精度是否满足0.25%</t>
  </si>
  <si>
    <t>Function_AcuRev1320_010_01_case32</t>
  </si>
  <si>
    <t>CT选型5A/333mV, 1E1p2w输入A相电流均为0.3A，A相电压均为69V, 电压电流相角ϕ差为143.12°，接入源负载10分钟，测量A的、系统W_p、W_q、W_s对应（Import、Export、Net、Total），电能精度满足0.25%</t>
  </si>
  <si>
    <t>1、连接AcuRev1320电表到Acuview2上，连接状态为connected
2、重置用户电能数据
3、A相电流为0.3A，A相电压69V,电压电流相角差143.13°)
4、等待10mins。
5、上位机上和电表上检查A相、系统W_p、W_q、W_s对应（Import、Export、Net、Total）电能精度是否满足0.25%</t>
  </si>
  <si>
    <t>Function_AcuRev1320_010_01_case33</t>
  </si>
  <si>
    <t>CT选型5A/333mV, 1E1p2w输入A相电流均为0.5A，A相电压均为120V, 电压电流相角ϕ差为60°，接入源负载10分钟，测量A的、系统W_p、W_q、W_s对应（Import、Export、Net、Total），电能精度满足0.15%</t>
  </si>
  <si>
    <t>1、连接AcuRev1320电表到Acuview2上，连接状态为connected
2、重置用户电能数据
3、A相电流为0.5A，A相电压120V,电压电流相角差60°)
4、等待10mins。
5、上位机上和电表上检查A相、系统W_p、W_q、W_s对应（Import、Export、Net、Total）电能精度是否满足0.15%</t>
  </si>
  <si>
    <t>5、上位机上和电表上检查A相、系统W_p、W_q、W_s对应（Import、Export、Net、Total）电能精度满足0.15%
备注: modbus表中能量参数有55个，测试时候需要借助Excel公式计算和上位机及电表上数据比对。</t>
  </si>
  <si>
    <t>Function_AcuRev1320_010_01_case34</t>
  </si>
  <si>
    <t>CT选型5A/333mV, 1E1p2w输入A相电流均为3.5A，A相电压均为120V, 电压电流相角ϕ差为60°，接入源负载10分钟，测量A的、系统W_p、W_q、W_s对应（Import、Export、Net、Total），电能精度满足0.15%</t>
  </si>
  <si>
    <t>1、连接AcuRev1320电表到Acuview2上，连接状态为connected
2、重置用户电能数据
3、A相电流为3.5A，A相电压120V,电压电流相角差60°)
4、等待10mins。
5、上位机上和电表上检查A相、系统W_p、W_q、W_s对应（Import、Export、Net、Total）电能精度是否满足0.15%</t>
  </si>
  <si>
    <t>Function_AcuRev1320_010_01_case35</t>
  </si>
  <si>
    <t>CT选型5A/333mV, 1E1p2w输入A相电流均为6A，A相电压均为120V, 电压电流相角ϕ差为60°，接入源负载10分钟，测量A的、系统W_p、W_q、W_s对应（Import、Export、Net、Total），电能精度满足0.15%</t>
  </si>
  <si>
    <t>1、连接AcuRev1320电表到Acuview2上，连接状态为connected
2、重置用户电能数据
3、A相电流为6A，A相电压120V,电压电流相角差60°)
4、等待10mins。
5、上位机上和电表上检查A相、系统W_p、W_q、W_s对应（Import、Export、Net、Total）电能精度是否满足0.15%</t>
  </si>
  <si>
    <t>Function_AcuRev1320_010_01_case36</t>
  </si>
  <si>
    <t>CT选型5A/333mV, 1E1p2w输入A相电流均为0.5A，A相电压均为69V, 电压电流相角ϕ差为143.13°，接入源负载10分钟，测量A的、系统W_p、W_q、W_s对应（Import、Export、Net、Total），电能精度满足0.15%</t>
  </si>
  <si>
    <t>1、连接AcuRev1320电表到Acuview2上，连接状态为connected
2、重置用户电能数据
3、A相电流为0.5A，A相电压69V,电压电流相角差60°)
4、等待10mins。
5、上位机上和电表上检查A相、系统W_p、W_q、W_s对应（Import、Export、Net、Total）电能精度是否满足0.15%</t>
  </si>
  <si>
    <t>Function_AcuRev1320_010_01_case37</t>
  </si>
  <si>
    <t>CT选型5A/333mV, 1E1p2w输入A相电流均为3.5A，A相电压均为69V, 电压电流相角ϕ差为143.13°，接入源负载10分钟，测量A的、系统W_p、W_q、W_s对应（Import、Export、Net、Total），电能精度满足0.15%</t>
  </si>
  <si>
    <t>1、连接AcuRev1320电表到Acuview2上，连接状态为connected
2、重置用户电能数据
3、A相电流为3.5A，A相电压69V,电压电流相角差60°)
4、等待10mins。
5、上位机上和电表上检查A相、系统W_p、W_q、W_s对应（Import、Export、Net、Total）电能精度是否满足0.15%</t>
  </si>
  <si>
    <t>Function_AcuRev1320_010_01_case38</t>
  </si>
  <si>
    <t>CT选型5A/333mV, 1E1p2w输入A相电流均为6A，A相电压均为69V, 电压电流相角ϕ差为143.13°，接入源负载10分钟，测量A的、系统W_p、W_q、W_s对应（Import、Export、Net、Total），电能精度满足0.15%</t>
  </si>
  <si>
    <t>1、连接AcuRev1320电表到Acuview2上，连接状态为connected
2、重置用户电能数据
3、A相电流为6A，A相电压69V,电压电流相角差60°)
4、等待10mins。
5、上位机上和电表上检查A相、系统W_p、W_q、W_s对应（Import、Export、Net、Total）电能精度是否满足0.15%</t>
  </si>
  <si>
    <t>毫安型号CT电能测量</t>
  </si>
  <si>
    <t>Function_AcuRev1320_010_02_case1</t>
  </si>
  <si>
    <t>1、连接AcuRev1320电表到Acuview2上，连接状态为connected
2、重置用户电能数据
3、(A&amp;B&amp;C相)电流均为0.16A，ABC电压均347V,电压电流相角差0°，
4、等待10mins。
5、上位机上和电表上检查A&amp;B&amp;C相、系统、User1通道、input1~3通道W_p、W_q、W_s对应（Import、Export、Net、Total）电能精度是否满足0.2%</t>
  </si>
  <si>
    <t>Function_AcuRev1320_010_02_case2</t>
  </si>
  <si>
    <t xml:space="preserve">1、连接AcuRev1320电表到Acuview2上，连接状态为connected
2、重置用户电能数据
3、(A&amp;B&amp;C相)电流均为0.5A，ABC电压均347V,电压电流相角差0°，
4、等待10mins。
5、上位机上和电表上检查A&amp;B&amp;C相、系统W_p、W_q、W_s对应（Import、Export、Net、Total）电能精度是否满足0.2%
</t>
  </si>
  <si>
    <t>Function_AcuRev1320_010_02_case3</t>
  </si>
  <si>
    <t>1、连接AcuRev1320电表到Acuview2上，连接状态为connected
2、重置用户电能数据
3、(A&amp;B&amp;C相)电流均为0.8A，ABC电压均69V,电压电流相角差0°，
4、等待10mins。
5、上位机上和电表上检查A&amp;B&amp;C相、系统W_p、W_q、W_s对应（Import、Export、Net、Total）电能精度是否满足0.2%</t>
  </si>
  <si>
    <t>Function_AcuRev1320_010_02_case4</t>
  </si>
  <si>
    <t>CT选型20A/100mA，3E3p4w输入(A&amp;B&amp;C相)电流为15A，ABC电压均为69V,电压电流相角差为0°，测量A&amp;B&amp;C的、系统W_p、W_q、W_s对应（Import、Export、Net、Total），电能精度满足0.1%</t>
  </si>
  <si>
    <t>1、连接AcuRev1320电表到Acuview2上，连接状态为connected
2、重置用户电能数据
3、(A&amp;B&amp;C相)电流均为15A，ABC电压均69V,电压电流相角差0°，
4、等待10mins。
5、上位机上和电表上检查A&amp;B&amp;C相、系统W_p、W_q、W_s对应（Import、Export、Net、Total）电能精度是否满足0.1%</t>
  </si>
  <si>
    <t>Function_AcuRev1320_010_02_case5</t>
  </si>
  <si>
    <t>1、连接AcuRev1320电表到Acuview2上，连接状态为connected
2、重置用户电能数据
3、(A&amp;B&amp;C相)电流均为19.2A，ABC电压均69V,电压电流相角差0°，
4、等待10mins。
5、上位机上和电表上检查A&amp;B&amp;C相、系统W_p、W_q、W_s对应（Import、Export、Net、Total）电能精度是否满足0.1%</t>
  </si>
  <si>
    <t>Function_AcuRev1320_010_02_case6</t>
  </si>
  <si>
    <t xml:space="preserve">1、连接AcuRev1320电表到Acuview2上，连接状态为connected
2、重置用户电能数据
3、(A&amp;B&amp;C相)电流均为0.32A，ABC电压均120V,电压电流相角差60°，
4、等待10mins。
5、上位机上和电表上检查A&amp;B&amp;C相、系统W_p、W_q、W_s对应（Import、Export、Net、Total）电能精度是否满足0.25%
</t>
  </si>
  <si>
    <t>Function_AcuRev1320_010_02_case7</t>
  </si>
  <si>
    <t>1、连接AcuRev1320电表到Acuview2上，连接状态为connected
2、重置用户电能数据
3、(A&amp;B&amp;C相)电流均为1.5A，ABC电压均120V,电压电流相角差60°，
4、等待10mins。
5、上位机上和电表上检查A&amp;B&amp;C相、系统W_p、W_q、W_s对应（Import、Export、Net、Total）电能精度是否满足0.25%</t>
  </si>
  <si>
    <t>Function_AcuRev1320_010_02_case8</t>
  </si>
  <si>
    <t>1、连接AcuRev1320电表到Acuview2上，连接状态为connected
2、重置用户电能数据
3、(A&amp;B&amp;C相)电流均为0.32A，ABC电压均69V,电压电流相角差143.13°，
4、等待10mins。
5、上位机上和电表上检查A&amp;B&amp;C相、系统W_p、W_q、W_s对应（Import、Export、Net、Total）电能精度是否满足0.25%</t>
  </si>
  <si>
    <t>Function_AcuRev1320_010_02_case9</t>
  </si>
  <si>
    <t>1、连接AcuRev1320电表到Acuview2上，连接状态为connected
2、重置用户电能数据
3、(A&amp;B&amp;C相)电流均为1.5A，ABC电压均69V,电压电流相角差143.13°，
4、等待10mins。
5、上位机上和电表上检查A&amp;B&amp;C相、系统W_p、W_q、W_s对应（Import、Export、Net、Total）电能精度是否满足0.25%</t>
  </si>
  <si>
    <t>Function_AcuRev1320_010_02_case10</t>
  </si>
  <si>
    <t>1、连接AcuRev1320电表到Acuview2上，连接状态为connected
2、重置用户电能数据
3、(A&amp;B&amp;C相)电流均为1.6A，ABC电压均120V,电压电流相角差60°，
4、等待10mins。
5、上位机上和电表上检查A&amp;B&amp;C相、系统W_p、W_q、W_s对应（Import、Export、Net、Total）电能精度是否满足0.25%</t>
  </si>
  <si>
    <t>Function_AcuRev1320_010_02_case11</t>
  </si>
  <si>
    <t>1、连接AcuRev1320电表到Acuview2上，连接状态为connected
2、重置用户电能数据
3、(A&amp;B&amp;C相)电流均为15A，ABC电压均120V,电压电流相角差60°，
4、等待10mins。
5、上位机上和电表上检查A&amp;B&amp;C相、系统W_p、W_q、W_s对应（Import、Export、Net、Total）电能精度是否满足0.15%</t>
  </si>
  <si>
    <t>Function_AcuRev1320_010_02_case12</t>
  </si>
  <si>
    <t>1、连接AcuRev1320电表到Acuview2上，连接状态为connected
2、重置用户电能数据
3、(A&amp;B&amp;C相)电流均为19.2A，ABC电压均120V,电压电流相角差60°，
4、等待10mins。
5、上位机上和电表上检查A&amp;B&amp;C相、系统W_p、W_q、W_s对应（Import、Export、Net、Total）电能精度是否满足0.15%</t>
  </si>
  <si>
    <t>Function_AcuRev1320_010_02_case13</t>
  </si>
  <si>
    <t>1、连接AcuRev1320电表到Acuview2上，连接状态为connected
2、重置用户电能数据
3、(A&amp;B&amp;C相)电流均为1.6A，ABC电压均69V,电压电流相角差143.13°，
4、等待10mins。
5、上位机上和电表上检查A&amp;B&amp;C相、系统W_p、W_q、W_s对应（Import、Export、Net、Total）电能精度是否满足0.25%</t>
  </si>
  <si>
    <t>Function_AcuRev1320_010_02_case14</t>
  </si>
  <si>
    <t>1、连接AcuRev1320电表到Acuview2上，连接状态为connected
2、重置用户电能数据
3、(A&amp;B&amp;C相)电流均为15A，ABC电压均69V,电压电流相角差143.13°，
4、等待10mins。
5、上位机上和电表上检查A&amp;B&amp;C相、系统W_p、W_q、W_s对应（Import、Export、Net、Total）电能精度是否满足0.15%</t>
  </si>
  <si>
    <t>Function_AcuRev1320_010_02_case15</t>
  </si>
  <si>
    <t xml:space="preserve">1、连接AcuRev1320电表到Acuview2上，连接状态为connected
2、重置用户电能数据
3、(A&amp;B&amp;C相)电流均为19.2A，ABC电压均69V,电压电流相角差143.13°，
4、等待10mins。
5、上位机上和电表上检查A&amp;B&amp;C相、系统W_p、W_q、W_s对应（Import、Export、Net、Total）电能精度是否满足0.25%
6、查看web页面与上位机及电表数据是否一致
</t>
  </si>
  <si>
    <t>5、上位机上和电表上检查A&amp;B&amp;C相、系统W_p、W_q、W_s对应（Import、Export、Net、Total）电能精度满足0.25%
6、查看web页面与上位机及电表数据一致
备注: modbus表中能量参数有55个，测试时候需要借助Excel公式计算和上位机及电表上数据比对。</t>
  </si>
  <si>
    <t>Function_AcuRev1320_010_02_case16</t>
  </si>
  <si>
    <t>1、连接AcuRev1320电表到Acuview2上，连接状态为connected
2、重置用户电能数据
3、(A&amp;B&amp;C相)电流均为0A，ABC电压均120V,电压电流相角差0°，
4、等待10mins。
5、上位机上和电表上检查A&amp;B&amp;C相、系统W_p、W_q、W_s对应（Import、Export、Net、Total），查看是否无能量增加</t>
  </si>
  <si>
    <t>5、上位机上和电表上检查A&amp;B&amp;C相、系统W_p、W_q、W_s对应（Import、Export、Net、Total），能量无增加
注: modbus表中能量参数有55个，测试时候需要借助Excel公式计算和上位机及电表上数据比对。</t>
  </si>
  <si>
    <t>Function_AcuRev1320_010_02_case17</t>
  </si>
  <si>
    <t>CT选型20A/100mA, 1E1p2w输入A相电流为0.16A，A相电压为347V, 电压电流相角差为0°，上位机配置的系统W_p、W_q、W_s对应（Import、Export、Net、Total），电能精度满足0.2%</t>
  </si>
  <si>
    <t>1、连接AcuRev1320电表到Acuview2上，连接状态为connected
2、重置用户电能数据
3、A相电流为0.16A，A相电压均347V,电压电流相角差0°
4、等待10mins。
5、上位机上和电表上检查系统W_p、W_q、W_s对应（Import、Export、Net、Total）电能精度是否满足0.2%</t>
  </si>
  <si>
    <t>5、上位机上和电表上检查系统W_p、W_q、W_s对应（Import、Export、Net、Total）电能精度满足0.2%
备注: modbus表中能量参数有55个，测试时候需要借助Excel公式计算和上位机及电表上数据比对。</t>
  </si>
  <si>
    <t>Function_AcuRev1320_010_02_case18</t>
  </si>
  <si>
    <t>CT选型20A/100mA, 1E1p2w输入A相电流为0.5A，A相电压为347V, 电压电流相角差为0°，上位机配置的系统W_p、W_q、W_s对应（Import、Export、Net、Total），电能精度满足0.2%</t>
  </si>
  <si>
    <t>1、连接AcuRev1320电表到Acuview2上，连接状态为connected
2、重置用户电能数据
3、A相电流为0.5A，A相电压均347V,电压电流相角差0°
4、等待10mins。
5、上位机上和电表上检查系统W_p、W_q、W_s对应（Import、Export、Net、Total）电能精度是否满足0.2%
6、查看web页面中energy界面内energy相关数据是否与上位机及电表一致，且数据准确</t>
  </si>
  <si>
    <t>5、上位机上和电表上检查系统W_p、W_q、W_s对应（Import、Export、Net、Total）电能精度满足0.2%
6、查看web页面中energy界面内energy相关数据与上位机及电表一致，且数据准确
备注: modbus表中能量参数有55个，测试时候需要借助Excel公式计算和上位机及电表上数据比对。</t>
  </si>
  <si>
    <t>Function_AcuRev1320_010_02_case19</t>
  </si>
  <si>
    <t>CT选型20A/100mA, 1E1p2w输入A相电流为0.8A，A相电压为69V, 电压电流相角差为0°，上位机配置的系统W_p、W_q、W_s对应（Import、Export、Net、Total），电能精度满足0.2%</t>
  </si>
  <si>
    <t>1、连接AcuRev1320电表到Acuview2上，连接状态为connected
2、重置用户电能数据
3、A相电流为0.8A，A相电压均69V,电压电流相角差0°
4、等待10mins。
5、上位机上和电表上检查系统W_p、W_q、W_s对应（Import、Export、Net、Total）电能精度是否满足0.2%</t>
  </si>
  <si>
    <t>Function_AcuRev1320_010_02_case20</t>
  </si>
  <si>
    <t>CT选型20A/100mA, 1E1p2w输入A相电流为15A，A相电压为69V, 电压电流相角差为0°，上位机配置的系统W_p、W_q、W_s对应（Import、Export、Net、Total），电能精度满足0.1%</t>
  </si>
  <si>
    <t>1、连接AcuRev1320电表到Acuview2上，连接状态为connected
2、重置用户电能数据
3、A相电流为15A，A相电压均69V,电压电流相角差0°
4、等待10mins。
5、上位机上和电表上检查系统W_p、W_q、W_s对应（Import、Export、Net、Total）电能精度是否满足0.1%</t>
  </si>
  <si>
    <t>Function_AcuRev1320_010_02_case21</t>
  </si>
  <si>
    <t>CT选型20A/100mA, 1E1p2w输入A相电流为19.2A，A相电压为69V, 电压电流相角差为0°，上位机配置的系统W_p、W_q、W_s对应（Import、Export、Net、Total），电能精度满足0.1%</t>
  </si>
  <si>
    <t>1、连接AcuRev1320电表到Acuview2上，连接状态为connected
2、重置用户电能数据
3、A相电流为19.2A，A相电压均69V,电压电流相角差0°
4、等待10mins。
5、上位机上和电表上检查系统W_p、W_q、W_s对应（Import、Export、Net、Total）电能精度是否满足0.1%</t>
  </si>
  <si>
    <t>Function_AcuRev1320_010_02_case22</t>
  </si>
  <si>
    <t>CT选型20A/100mA, 1E1p2w输入A相电流为0.32A，A相电压为120V, 电压电流相角差为60°，上位机配置的系统W_p、W_q、W_s对应（Import、Export、Net、Total），电能精度满足0.25%</t>
  </si>
  <si>
    <t>1、连接AcuRev1320电表到Acuview2上，连接状态为connected
2、重置用户电能数据
3、A相电流为0.32A，A相电压均120V,电压电流相角差60°
4、等待10mins。
5、上位机上和电表上检查系统W_p、W_q、W_s对应（Import、Export、Net、Total）电能精度是否满足0.25%</t>
  </si>
  <si>
    <t>5、上位机上和电表上检查系统W_p、W_q、W_s对应（Import、Export、Net、Total）电能精度满足0.25%
备注: modbus表中能量参数有55个，测试时候需要借助Excel公式计算和上位机及电表上数据比对。</t>
  </si>
  <si>
    <t>Function_AcuRev1320_010_02_case23</t>
  </si>
  <si>
    <t>CT选型20A/100mA, 1E1p2w输入A相电流为1.5A，A相电压为120V, 电压电流相角差为60°，上位机配置的系统W_p、W_q、W_s对应（Import、Export、Net、Total），电能精度满足0.25%</t>
  </si>
  <si>
    <t>1、连接AcuRev1320电表到Acuview2上，连接状态为connected
2、重置用户电能数据
3、A相电流为1.5A，A相电压均120V,电压电流相角差60°
4、等待10mins。
5、上位机上和电表上检查系统W_p、W_q、W_s对应（Import、Export、Net、Total）电能精度是否满足0.25%</t>
  </si>
  <si>
    <t>Function_AcuRev1320_010_02_case24</t>
  </si>
  <si>
    <t>CT选型20A/100mA, 1E1p2w输入A相电流为0.32A，A相电压为69V, 电压电流相角差为143.13°，上位机配置的系统W_p、W_q、W_s对应（Import、Export、Net、Total），电能精度满足0.25%</t>
  </si>
  <si>
    <t>1、连接AcuRev1320电表到Acuview2上，连接状态为connected
2、重置用户电能数据
3、A相电流为0.32A，A相电压均69V,电压电流相角差143.13°
4、等待10mins。
5、上位机上和电表上检查系统W_p、W_q、W_s对应（Import、Export、Net、Total）电能精度是否满足0.25%</t>
  </si>
  <si>
    <t>Function_AcuRev1320_010_02_case25</t>
  </si>
  <si>
    <t>CT选型20A/100mA, 1E1p2w输入A相电流为1.5A，A相电压为69V, 电压电流相角差为143.13°，上位机配置的系统W_p、W_q、W_s对应（Import、Export、Net、Total），电能精度满足0.25%</t>
  </si>
  <si>
    <t>1、连接AcuRev1320电表到Acuview2上，连接状态为connected
2、重置用户电能数据
3、A相电流为1.5A，A相电压均69V,电压电流相角差143.13°
4、等待10mins。
5、上位机上和电表上检查系统W_p、W_q、W_s对应（Import、Export、Net、Total）电能精度是否满足0.25%</t>
  </si>
  <si>
    <t>Function_AcuRev1320_010_02_case26</t>
  </si>
  <si>
    <t>CT选型20A/100mA, 1E1p2w输入A相电流为1.6A，A相电压为120V, 电压电流相角差为60°，上位机配置的系统W_p、W_q、W_s对应（Import、Export、Net、Total），电能精度满足0.25%</t>
  </si>
  <si>
    <t>1、连接AcuRev1320电表到Acuview2上，连接状态为connected
2、重置用户电能数据
3、A相电流为1.6A，A相电压均120V,电压电流相角差60°
4、等待10mins。
5、上位机上和电表上检查系统W_p、W_q、W_s对应（Import、Export、Net、Total）电能精度是否满足0.25%</t>
  </si>
  <si>
    <t>Function_AcuRev1320_010_02_case27</t>
  </si>
  <si>
    <t>CT选型20A/100mA, 1E1p2w输入A相电流为15A，A相电压为120V, 电压电流相角差为60°，上位机配置的系统W_p、W_q、W_s对应（Import、Export、Net、Total），电能精度满足0.15%</t>
  </si>
  <si>
    <t>1、连接AcuRev1320电表到Acuview2上，连接状态为connected
2、重置用户电能数据
3、A相电流为15A，A相电压均120V,电压电流相角差60°
4、等待10mins。
5、上位机上和电表上检查系统W_p、W_q、W_s对应（Import、Export、Net、Total）电能精度是否满足0.15%</t>
  </si>
  <si>
    <t>5、上位机上和电表上检查系统W_p、W_q、W_s对应（Import、Export、Net、Total）电能精度满足0.15%
备注: modbus表中能量参数有55个，测试时候需要借助Excel公式计算和上位机及电表上数据比对。</t>
  </si>
  <si>
    <t>Function_AcuRev1320_010_02_case28</t>
  </si>
  <si>
    <t>CT选型20A/100mA, 1E1p2w输入A相电流为19.2A，A相电压为120V, 电压电流相角差为60°，上位机配置的系统W_p、W_q、W_s对应（Import、Export、Net、Total），电能精度满足0.15%</t>
  </si>
  <si>
    <t>1、连接AcuRev1320电表到Acuview2上，连接状态为connected
2、重置用户电能数据
3、A相电流为19.2A，A相电压均120V,电压电流相角差60°
4、等待10mins。
5、上位机上和电表上检查系统W_p、W_q、W_s对应（Import、Export、Net、Total）电能精度是否满足0.15%</t>
  </si>
  <si>
    <t>Function_AcuRev1320_010_02_case29</t>
  </si>
  <si>
    <t>CT选型20A/100mA, 1E1p2w输入A相电流为1.6A，A相电压为69V, 电压电流相角差为143.13°，上位机配置的系统W_p、W_q、W_s对应（Import、Export、Net、Total），电能精度满足0.25%</t>
  </si>
  <si>
    <t>1、连接AcuRev1320电表到Acuview2上，连接状态为connected
2、重置用户电能数据
3、A相电流为1.6A，A相电压均69V,电压电流相角差143.13°
4、等待10mins。
5、上位机上和电表上检查系统W_p、W_q、W_s对应（Import、Export、Net、Total）电能精度是否满足0.25%</t>
  </si>
  <si>
    <t>Function_AcuRev1320_010_02_case30</t>
  </si>
  <si>
    <t>CT选型20A/100mA, 1E1p2w输入A相电流为15A，A相电压为69V, 电压电流相角差为143.13°，上位机配置的系统W_p、W_q、W_s对应（Import、Export、Net、Total），电能精度满足0.15%</t>
  </si>
  <si>
    <t>1、连接AcuRev1320电表到Acuview2上，连接状态为connected
2、重置用户电能数据
3、A相电流为15A，A相电压均69V,电压电流相角差143.13°
4、等待10mins。
5、上位机上和电表上检查系统W_p、W_q、W_s对应（Import、Export、Net、Total）电能精度是否满足0.15%</t>
  </si>
  <si>
    <t>Function_AcuRev1320_010_02_case31</t>
  </si>
  <si>
    <t>CT选型20A/100mA, 1E1p2w输入A相电流为19.2A，A相电压为69V, 电压电流相角差为143.13°，上位机配置的系统W_p、W_q、W_s对应（Import、Export、Net、Total），电能精度满足0.25%</t>
  </si>
  <si>
    <t>1、连接AcuRev1320电表到Acuview2上，连接状态为connected
2、重置用户电能数据
3、A相电流为19.2A，A相电压均69V,电压电流相角差143.13°
4、等待10mins。
5、上位机上和电表上检查系统W_p、W_q、W_s对应（Import、Export、Net、Total）电能精度是否满足0.25%</t>
  </si>
  <si>
    <t>电能脉冲精度测量</t>
  </si>
  <si>
    <t>Function_AcuRev1320_010_03_case1</t>
  </si>
  <si>
    <t>1、Acuview2上位机
2、网线/RTU串口线
3、AcuRev1320电表
4、接线方式3E3p4w
5、Pulse LED width：20</t>
  </si>
  <si>
    <t>3、检查系统正向有功电能脉冲精度满足0.1%</t>
  </si>
  <si>
    <t>Function_AcuRev1320_010_03_case2</t>
  </si>
  <si>
    <t>3、检查系统正向有功电能脉冲精度满足0.15%</t>
  </si>
  <si>
    <t>Function_AcuRev1320_010_03_case3</t>
  </si>
  <si>
    <t>CT选型5A/333mV, 接线方式3E3p4w,三相电压347V，电流2.5A,电压电流相角差143.13°，Energy pulse constant设置为5000，Pulse LED parameter selection为系统正向有功电能，能量脉冲精度满足0.15%</t>
  </si>
  <si>
    <t>1、CT选型5A/333mV，连接AcuRev1320电表到Acuview2上，连接状态为connected
2、接线方式3E3p4w,三相电压347V，电流2.5A,电压电流相角差143.13°，Energy pulse constant设置为5000，Pulse LED parameter selection为系统正向有功电能
3、检查系统正向有功电能脉冲精度是否满足0.15%</t>
  </si>
  <si>
    <t>Function_AcuRev1320_010_03_case4</t>
  </si>
  <si>
    <t>Function_AcuRev1320_010_03_case5</t>
  </si>
  <si>
    <t>Function_AcuRev1320_010_03_case6</t>
  </si>
  <si>
    <t>Function_AcuRev1320_010_03_case7</t>
  </si>
  <si>
    <t>CT选型5A/333mV, 接线方式1E2W,三相电压69V，电流0.05A,电压电流相角差0°，Energy pulse constant设置为100000，Pulse LED parameter selection为系统正向有功电能，能量脉冲精度满足0.2%</t>
  </si>
  <si>
    <t>1、Acuview2上位机
2、网线/RTU串口线
3、AcuRev1320电表
4、接线方式1E2W
5、Pulse LED width：20</t>
  </si>
  <si>
    <t>1、CT选型5A/333mV，连接AcuRev1320电表到Acuview2上，连接状态为connected
2、接线方式1E2W,三相电压69V，电流0.05A,电压电流相角差0°，Energy pulse constant设置为100000，Pulse LED parameter selection为系统正向有功电能
3、检查系统正向有功电能脉冲精度是否满足0.2%</t>
  </si>
  <si>
    <t>3、检查系统正向有功电能脉冲精度满足0.2%</t>
  </si>
  <si>
    <t>Function_AcuRev1320_010_03_case8</t>
  </si>
  <si>
    <t>CT选型5A/333mV, 接线方式1E2W,三相电压69V，电流0.05A,电压电流相角差60°，Energy pulse constant设置为100000，Pulse LED parameter selection为系统正向有功电能，能量脉冲精度满足0.2%</t>
  </si>
  <si>
    <t>1、CT选型5A/333mV，连接AcuRev1320电表到Acuview2上，连接状态为connected
2、接线方式1E2W,三相电压69V，电流0.05A,电压电流相角差60°，Energy pulse constant设置为100000，Pulse LED parameter selection为系统正向有功电能
3、检查系统正向有功电能脉冲精度是否满足0.2%</t>
  </si>
  <si>
    <t>3、系统正向有功电能脉冲精度满足0.2%</t>
  </si>
  <si>
    <t>Function_AcuRev1320_010_03_case9</t>
  </si>
  <si>
    <t>CT选型5A/333mV, 接线方式1E2W,三相电压69V，电流0.05A,电压电流相角差143.13°，Energy pulse constant设置为100000，Pulse LED parameter selection为系统正向有功电能，能量脉冲精度满足0.2%</t>
  </si>
  <si>
    <t>1、CT选型5A/333mV，连接AcuRev1320电表到Acuview2上，连接状态为connected
2、接线方式1E2W,三相电压69V，电流0.05A,电压电流相角差143.13°，Energy pulse constant设置为100000，Pulse LED parameter selection为系统正向有功电能
3、检查系统正向有功电能脉冲精度是否满足0.2%</t>
  </si>
  <si>
    <t>Function_AcuRev1320_010_03_case10</t>
  </si>
  <si>
    <t>Function_AcuRev1320_010_03_case11</t>
  </si>
  <si>
    <t>Function_AcuRev1320_010_03_case12</t>
  </si>
  <si>
    <t>CT选型20A/100mA, 接线方式3E3p4w,三相电压347V，电流8A,电压电流相角差143.13°，Energy pulse constant设置为1500，Pulse LED parameter selection为系统正向有功电能，能量脉冲精度满足0.15%</t>
  </si>
  <si>
    <t>1、CT选型5A/333mV，连接AcuRev1320电表到Acuview2上，连接状态为connected
2、接线方式3E3p4w,三相电压347V，电流8A,电压电流相角差143.13°，Energy pulse constant设置为1500，Pulse LED parameter selection为系统正向有功电能
3、检查系统正向有功电能脉冲精度是否满足0.15%</t>
  </si>
  <si>
    <t>Function_AcuRev1320_010_03_case13</t>
  </si>
  <si>
    <t>Function_AcuRev1320_010_03_case14</t>
  </si>
  <si>
    <t>Function_AcuRev1320_010_03_case15</t>
  </si>
  <si>
    <t>Function_AcuRev1320_010_03_case16</t>
  </si>
  <si>
    <t>CT选型5A/333mV, 接线方式1E2W,三相电压69V，电流0.16A,电压电流相角差0°，Energy pulse constant设置为100000，Pulse LED parameter selection为系统正向有功电能，能量脉冲精度满足0.2%</t>
    <phoneticPr fontId="10" type="noConversion"/>
  </si>
  <si>
    <t>1、CT选型5A/333mV，连接AcuRev1320电表到Acuview2上，连接状态为connected
2、接线方式1E2W,三相电压69V，电流0.16A,电压电流相角差0°，Energy pulse constant设置为100000，Pulse LED parameter selection为系统正向有功电能
3、检查系统正向有功电能脉冲精度是否满足0.2%</t>
  </si>
  <si>
    <t>Function_AcuRev1320_010_03_case17</t>
  </si>
  <si>
    <t>CT选型5A/333mV, 接线方式1E2W,三相电压69V，电流0.16A,电压电流相角差60°，Energy pulse constant设置为100000，Pulse LED parameter selection为系统正向有功电能，能量脉冲精度满足0.25%</t>
  </si>
  <si>
    <t>1、CT选型5A/333mV，连接AcuRev1320电表到Acuview2上，连接状态为connected
2、接线方式1E2W,三相电压69V，电流0.16A,电压电流相角差60°，Energy pulse constant设置为100000，Pulse LED parameter selection为系统正向有功电能
3、检查系统正向有功电能脉冲精度是否满足0.25%</t>
  </si>
  <si>
    <t>3、检查系统正向有功电能脉冲精度满足0.25%</t>
  </si>
  <si>
    <t>Function_AcuRev1320_010_03_case18</t>
  </si>
  <si>
    <t>CT选型5A/333mV, 接线方式1E2W,三相电压69V，电流0.16A,电压电流相角差143.13°，Energy pulse constant设置为100000，Pulse LED parameter selection为系统正向有功电能，能量脉冲精度满足0.25%</t>
  </si>
  <si>
    <t>1、CT选型5A/333mV，连接AcuRev1320电表到Acuview2上，连接状态为connected
2、接线方式1E2W,三相电压69V，电流0.16A,电压电流相角差143.13°，Energy pulse constant设置为100000，Pulse LED parameter selection为系统正向有功电能
3、检查系统正向有功电能脉冲精度是否满足0.25%</t>
  </si>
  <si>
    <t>Function_AcuRev1320_010_03_case19</t>
  </si>
  <si>
    <t xml:space="preserve">构造net能量为负值， 且负相增长，脉冲灯不会闪烁 </t>
  </si>
  <si>
    <t>1、连接AcuRev1320电表到Acuview2上，连接状态为connected
2、三相电压200V，电流5A,电压电流相角差240°，Energy pulse constant设置为100000，
parameter selection:3(A相有功电能net)
3、检查能量脉冲灯是否会闪烁</t>
  </si>
  <si>
    <t>3.脉冲灯不会闪烁</t>
  </si>
  <si>
    <t>Function_AcuRev1320_010_03_case20</t>
  </si>
  <si>
    <t xml:space="preserve">构造进线能量为正，且不断增长，出线能量为0，能量脉冲选择出线，脉冲灯不闪烁 </t>
  </si>
  <si>
    <t>1、连接AcuRev1320电表到Acuview2上，连接状态为connected
2、三相电压200V，电流5A,电压电流相角差0°，Energy pulse constant设置为100000，
parameter selection:2(A相有功电能Export)
3、检查能量脉冲灯是否会闪烁</t>
  </si>
  <si>
    <t xml:space="preserve">3.脉冲灯不会闪烁 </t>
  </si>
  <si>
    <t>Function_AcuRev1320_010_03_case21</t>
  </si>
  <si>
    <t>构造进线能量为正， 且不断增长，能量脉冲选择进线，改变电流方向为Negative Phase，脉冲灯立即停止闪烁。</t>
  </si>
  <si>
    <t>1、连接AcuRev1320电表到Acuview2上，连接状态为connected
2、三相电压200V，电流5A,电压电流相角差0°，Energy pulse constant设置为100000，
parameter selection:1(A相有功电能Import)，检查能量脉冲精度是否满足0.1%
3、改变电流方向为Negative Phase</t>
  </si>
  <si>
    <t xml:space="preserve">2.脉冲灯闪烁 ，电能量脉冲精度均满足0.1%
3.脉冲灯不会闪烁 </t>
  </si>
  <si>
    <t>Function_AcuRev1320_010_03_case22</t>
  </si>
  <si>
    <t>能量脉冲灯脉冲宽度测量</t>
  </si>
  <si>
    <t>1、连接AcuRev1320电表到Acuview2上，链接状态为connected
2、三相电压200V，电流5A,电压电流相角差0°，Energy pulse constant设置为600，
3、parameter selection:1(A相有功电能Import),Pluse Width选择20ms
4、parameter selection:1(A相有功电能Import),Pluse Width选择50ms
5、parameter selection:1(A相有功电能Import),Pluse Width选择100ms
6、parameter selection:361(A相有功电能Import),Pluse Width选择101ms
7、parameter selection:361(A相有功电能Import),Pluse Width选择19ms</t>
  </si>
  <si>
    <t>3、脉冲灯输出Pluse Width20ms，6S周期，脉冲常数精度满足首选1或可接受1.5
4、脉冲灯输出Pluse Width50ms，6S周期，脉冲常数精度满足首选1或可接受1.5
5、脉冲灯输出Pluse Width100ms，6S周期，脉冲常数精度满足首选1或可接受1.5
6、上位机设置失败
7、上位机设置失败</t>
  </si>
  <si>
    <t>Function_AcuRev1320_010_03_case23</t>
    <phoneticPr fontId="10" type="noConversion"/>
  </si>
  <si>
    <t>CT类型为20A/100mA，接线方式为3e4wy， Independent Input channel 配置为Enable，Summation 1配置为input1、2、3，分别对应UA、UB、UC，源输入电压为120V，电流为8A，电压电流相角差60°，Energy pulse constant设置为1500，Pulse LED parameter selection为Summation1正向有功电能，能量脉冲精度满足0.15%</t>
    <phoneticPr fontId="10" type="noConversion"/>
  </si>
  <si>
    <t>1、CT选型20A/100mA，连接AcuRev1320电表到Acuview2上，连接状态为connected
2、Independent Input channel 配置为Enable，Summation 1配置为input1、2、3，分别对应UA、UB、UC，
3、 三相电压120V，电流8A,电压电流相角差60°，Energy pulse constant设置为1500，Pulse LED parameter selection为Summation1正向有功电能
3、检查Summation1正向有功电能脉冲精度是否满足0.15%</t>
    <phoneticPr fontId="10" type="noConversion"/>
  </si>
  <si>
    <t>3、检查Summation1正向有功电能脉冲精度满足0.15%</t>
    <phoneticPr fontId="10" type="noConversion"/>
  </si>
  <si>
    <t>Function_AcuRev1320_010_03_case24</t>
  </si>
  <si>
    <t>1、CT选型5A/333mV，连接AcuRev1320电表到Acuview2上，连接状态为connected
2、Independent Input channel 配置为Enable，Summation 2配置为input4，对应UA
3、 源输入电压69V，电流0.05A,电压电流相角差0°，Energy pulse constant设置为100000，Pulse LED parameter selection为Summation2正向有功电能
3、检查Summation2正向有功电能脉冲精度是否满足0.2%</t>
    <phoneticPr fontId="10" type="noConversion"/>
  </si>
  <si>
    <t>3、检查Summation2正向有功电能脉冲精度满足0.2%</t>
    <phoneticPr fontId="10" type="noConversion"/>
  </si>
  <si>
    <t>Block Demand方式需量测量</t>
  </si>
  <si>
    <t>5.1 检查实时需量全部清零0
7、需量更新时间为：16:36 ，且需量更新正确, 电流为4A，功率为:1.6kw
8、需量更新时间为：16:40， 且需量更新正确，电流为3A，功率为:3.6kw
9、检查web上demand界面，需量相关数据更新时间及内容准确</t>
  </si>
  <si>
    <t>1、Acuview2上位机
2、网线/RTU串口线
3、AcuRev1320电表
4、功率和电流需量不为0</t>
  </si>
  <si>
    <t>7、则T2+5分钟首次上报，过去的5分钟需量平均值(电流、功率)为0
输入电压为200V</t>
  </si>
  <si>
    <t>LV4</t>
    <phoneticPr fontId="10" type="noConversion"/>
  </si>
  <si>
    <t>Function_AcuRev1320_011_01_case3</t>
  </si>
  <si>
    <t>固定窗口需量，3E3p4w Y接线，电表上电时间T1，DemandInterval设10分钟，上报周期5分钟， 距离最近T1最近10分钟整点开始计时T2，10分钟后首次上报，10分钟第二次上报 。</t>
  </si>
  <si>
    <t>1、设置固定窗口需量fixed
2、DemandInterval设10分钟，上报周期5分钟(固定窗口场景，上报周期不影响上报频率)
3、接线方式设置为3E3p4w Y
4、三项电压400V，三项电流2A，压流角0°，
5、电表掉电上电，时间记录为T1
5.1 检查实时需量是否全部清零0
6、距离最近T1最近10分钟整点开始计时T2
7、则是否T2+10分钟首次上报，过去的10分钟需量平均值(电流、功率)
8、改变电压为450V
9、则是否T2+20分钟第二次上报，过去的10分钟需量平均值(电流、功率)
10、检查web上demand界面，需量相关数据更新时间及内容是否准确
备注：在步骤8测试时，已经在10分钟周期内，修改电压时会有短暂的时间，电压和电流都为0，故步骤9上报的电流和功率会比理论值小，实际测试电流为1.895A，功率为0.851W</t>
  </si>
  <si>
    <t>5.1 检查实时需量全部清零0
7、则是否T2+10分钟首次上报需量正确，过去的10分钟需量平均值(电流、功率)
9、则是否T2+20分钟第二次上报需量正确，过去的10分钟需量平均值(电流、功率) 
10、检查web上demand界面，需量相关数据更新时间及内容准确</t>
  </si>
  <si>
    <t>Function_AcuRev1320_011_01_case4</t>
  </si>
  <si>
    <t>固定窗口需量，3E3p4w Y接线，设置需量配置参数时间T1，DemandInterval设5分钟，上报周期10分钟， 距离最近T1最近5分钟整点开始计时T2，5分钟后首次上报，5分钟第二次上报 。</t>
  </si>
  <si>
    <t>5.1 检查实时需量全部清零0
7、则T2+5分钟首次上报，过去的5分钟需量平均值(电流、功率)
8、则T2+10分钟第二次上报，过去的5分钟需量平均值(电流、功率)</t>
  </si>
  <si>
    <t>Function_AcuRev1320_011_01_case5</t>
  </si>
  <si>
    <t>1、设置固定窗口需量fixed
2、DemandInterval设15分钟，上报周期15分钟(固定窗口场景，上报周期不影响上报频率)
3、接线方式设置为3E3p4w Y
4、三项电压400V，三项电流2A，压流角120°，
5、设置时钟，时间记录为T1
5.1 检查实时需量是否全部清零0
6、距离最近T1最近15分钟整点开始计时T2
7、则是否T2+15分钟首次上报，过去的15分钟需量平均值(电流、功率)
8、则是否T2+30分钟第二次上报，过去的15分钟需量平均值(电流、功率)</t>
  </si>
  <si>
    <t>5.1 检查实时需量全部清零0
7、则是否T2+15分钟首次上报，过去的15分钟需量平均值(电流、功率)
8、则是否T2+30分钟第二次上报，过去的15分钟需量平均值(电流、功率)</t>
  </si>
  <si>
    <t>Function_AcuRev1320_011_01_case6</t>
  </si>
  <si>
    <t>1、设置固定窗口需量fixed
2、DemandInterval设30分钟，上报周期15分钟(固定窗口场景，上报周期不影响上报频率)
3、接线方式设置为3E3p4w Y
4、三项电压400V，三项电流2A，压流角120°，
5、设置时钟，时间记录为T1
5.1 检查实时需量是否全部清零0
6、距离最近T1最近30分钟整点开始计时T2
7、则是否T2+30分钟首次上报，过去的30分钟需量平均值(电流、功率)
8、则是否T2+60分钟第二次上报，过去的30分钟需量平均值(电流、功率)</t>
  </si>
  <si>
    <t>5.1 检查实时需量全部清零0
7、则T2+30分钟首次上报，过去的30分钟需量平均值(电流、功率)
8、则T2+60分钟第二次上报，过去的30分钟需量平均值(电流、功率)</t>
  </si>
  <si>
    <t>Function_AcuRev1320_011_01_case7</t>
  </si>
  <si>
    <t>5.1 检查实时需量全部清零0
7、检查16:35更新16:28-16:35期间的需量(电流、功率)， 且更新数据成功正确
9.检查16:42更新16:35-16:42期间的需量(电流、功率)， 且更新数据成功正确</t>
  </si>
  <si>
    <t>Function_AcuRev1320_011_01_case8</t>
  </si>
  <si>
    <t>固定窗口需量，3E3p4w Y接线，毫安CT(20A/100mA),重置需量最值时间T1，DemandInterval设5分钟，电压均为400V,  intput1~3电流为0.01A, 距离最近T1最近5分钟整点开始计时T2，5分钟后首次上报 ，需量值更新为0</t>
  </si>
  <si>
    <t>7、则T2+5分钟首次上报，过去的5分钟需量平均值(电流、功率)为0
8、则T2+10分钟第二次上报，过去的5分钟需量平均值(电流、功率)为0</t>
  </si>
  <si>
    <t>Function_AcuRev1320_011_01_case9</t>
  </si>
  <si>
    <t>固定窗口需量，3E3p4w Y接线，毫安CT(5A/333mV),重置需量最值时间T1，DemandInterval设5分钟，电压均为400V,  intput1~3电流为0.002A, 距离最近T1最近5分钟整点开始计时T2，5分钟后首次上报，需量值更新为0</t>
  </si>
  <si>
    <t>7、则T2+5分钟首次上报，过去的5分钟需量平均值(电流、功率)为0
备注：电流输入0.00375</t>
  </si>
  <si>
    <t>固定窗口需量，3E3p4w Y接线，重置需量最值时间T1，DemandInterval设5分钟，电压均为9V,  intput1~3电流为5A，距离最近T1最近5分钟整点开始计时T2，5分钟后首次上报，需量值更新为0</t>
  </si>
  <si>
    <t>Function_AcuRev1320_011_01_case11</t>
  </si>
  <si>
    <t>固定窗口需量，3E3p4w Y接线，不加电压电流， 实时需量显示0</t>
  </si>
  <si>
    <t>2、检查实时需量是否显示0
3、检查web上demand界面，需量相关数据更新时间及内容准确</t>
  </si>
  <si>
    <t>Function_AcuRev1320_011_01_case12</t>
  </si>
  <si>
    <t>固定窗口需量，1Element 2 Wire接线，重置需量最值时间T1，DemandInterval设5分钟，上报周期15分钟， 距离最近T1最近5分钟整点开始计时T2，5分钟后首次上报，5分钟第二次上报 。</t>
  </si>
  <si>
    <t>7、则T2+5分钟首次上报，过去的5分钟需量平均值(电流、功率)
8、则T2+10分钟第二次上报，过去的5分钟需量平均值(电流、功率)
9、检查web上demand界面，需量相关数据更新时间及内容准确</t>
  </si>
  <si>
    <t>Function_AcuRev1320_011_01_case13</t>
  </si>
  <si>
    <t>固定窗口需量，2Element 3 Wire 1Phase接线，重置需量最值时间T1，DemandInterval设5分钟，上报周期15分钟， 距离最近T1最近5分钟整点开始计时T2，5分钟后首次上报，5分钟第二次上报 。</t>
  </si>
  <si>
    <t>Function_AcuRev1320_011_01_case14</t>
  </si>
  <si>
    <t>固定窗口需量，2Element 3 Wire Network接线，重置需量最值时间T1，DemandInterval设5分钟，上报周期15分钟， 距离最近T1最近5分钟整点开始计时T2，5分钟后首次上报，5分钟第二次上报 。</t>
  </si>
  <si>
    <t>固定窗口需量，2Element 3 Wire Delta接线，重置需量最值时间T1，DemandInterval设5分钟，上报周期15分钟， 距离最近T1最近5分钟整点开始计时T2，5分钟后首次上报，5分钟第二次上报 。</t>
  </si>
  <si>
    <t>固定窗口需量，3Element 4 Wire Delta接线，重置需量最值时间T1，DemandInterval设5分钟，上报周期15分钟， 距离最近T1最近5分钟整点开始计时T2，5分钟后首次上报，5分钟第二次上报 。</t>
  </si>
  <si>
    <t>Function_AcuRev1320_011_01_case17</t>
  </si>
  <si>
    <t>固定窗口需量，3E3p4w Y接线，设置需量配置参数时间T1，DemandInterval设5分钟， 距离最近T1最近5分钟整点开始计时T2，5分钟后首次上报，改变电压，5分钟第二次上报 (新值大于已存值)。</t>
  </si>
  <si>
    <t>1、Acuview2上位机
2、网线/RTU串口线
3、AcuRev1320电表
4、系统已存在需量最小值比次用例中新产生的需量值小</t>
  </si>
  <si>
    <t>7、则T2+5分钟首次上报，过去的5分钟需量平均值(电流、功率)， 最大值更新正确
9、则T2+10分钟第二次上报，过去的5分钟需量平均值(电流、功率)， 最大值更新正确</t>
  </si>
  <si>
    <t>Sliding window方式需量测量</t>
  </si>
  <si>
    <t>Function_AcuRev1320_011_02_case1</t>
  </si>
  <si>
    <t>5.1 实时需量全部清零0
7、则T2+10分钟首次上报，过去的10分钟需量平均值(电流、功率)
9、则T2+15分钟第二次上报需量，且需量为过去10分钟(前5分钟电流为2A，后五分钟电流为4A)需量平均值(电流、功率)
10、则T2+20分钟第三次上报需量，且需量为过去10分钟(前5分钟电流为4A，后五分钟电流为4A)需量平均值(电流、功率)
11、检查web上demand界面，需量相关数据更新时间及内容准确</t>
  </si>
  <si>
    <t>Function_AcuRev1320_011_02_case2</t>
  </si>
  <si>
    <t>滑块需量，3E3p4w Y接线，电表设置时钟时间T1，DemandInterval设5分钟，上报周期5分钟， 距离最近T1最近5分钟整点开始计时T2，T2+5分钟后首次上报，T2+10分钟第二次上报 ，T2+15分钟第三次上报 。</t>
  </si>
  <si>
    <t>1、设置需量Sliding
2、DemandInterval设5分钟，上报周期5分钟
3、接线方式设置为3E3p4w Y
4、三项电压400V，三项电流2A，压流角120°，
5、电表设置时钟时间，时间记录为T1
5.1 检查实时需量是否全部清零0
6、距离最近T1最近5分钟整点开始计时T2
7、则是否T2+5分钟首次上报，过去的5分钟需量平均值(电流、功率)
8、T2+5时刻，立即改变电流为5A
9、则是否T2+10分钟第二次上报需量，且需量为过去5分钟(后五分钟电流为5A)需量平均值(电流、功率)
10、T2+10时刻，立即改变电流为1A
11、则是否T2+15分钟第三次上报需量，且需量为过去5分钟(后五分钟电流为1A)需量平均值(电流、功率)</t>
  </si>
  <si>
    <t>5.1 实时需量全部清零0
7、则T2+5分钟首次上报，过去的5分钟需量平均值(电流、功率)
9、则T2+10分钟第二次上报需量，且需量为过去5分钟(后五分钟电流为5A)需量平均值(电流、功率)
11、则T2+15分钟第三次上报需量，且需量为过去5分钟(后五分钟电流为1A)需量平均值(电流、功率)</t>
  </si>
  <si>
    <t>Function_AcuRev1320_011_02_case3</t>
  </si>
  <si>
    <t>5.1 实时需量全部清零0
6、距离最近T1最近20分钟整点开始计时T2
7、则T2+20分钟首次上报，过去的20分钟需量平均值(电流、功率)
9、则T2+30分钟第二次上报需量
10、则T2+40分钟第三次上报需量
11、检查web上demand界面，需量相关数据更新时间及内容准确</t>
  </si>
  <si>
    <t>Function_AcuRev1320_011_02_case4</t>
  </si>
  <si>
    <t>滑块需量，3E3p4w Y接线，设置需量配置参数T1，DemandInterval设8分钟，上报周期5分钟， 距离最近T1最近8分钟整倍数开始计时T2，T2+8分钟后首次上报，T2+13分钟第二次上报 ，T2+18分钟第三次上报 。</t>
  </si>
  <si>
    <t>5.1 实时需量全部清零0
7、则T2+8分钟首次上报，过去的8分钟需量平均值(电流、功率)
9、则T2+13分钟第二次上报需量，且需量为过去8分钟(前3分钟电流为2A，后5分钟电流为4A)需量平均值(电流、功率)
10、则T2+18分钟第三次上报需量，且需量为过去8分钟(前3分钟电流为4A，后5分钟电流为4A)需量平均值(电流、功率)</t>
  </si>
  <si>
    <t>Function_AcuRev1320_011_02_case5</t>
  </si>
  <si>
    <t>滑块需量，1Element 2 Wire接线，设置需量配置参数T1，DemandInterval设5分钟，上报周期5分钟， 距离最近T1最近5分钟整点开始计时T2，T2+5分钟后首次上报，T2+10分钟第二次上报 。</t>
  </si>
  <si>
    <t>1、设置需量Sliding
2、DemandInterval设5分钟，上报周期5分钟(固定窗口场景，上报周期不影响上报频率)
3、接线方式设置为1Element 2 Wire
4、Ua电压400V，Ia电流2A，压流角120°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</si>
  <si>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Function_AcuRev1320_011_02_case6</t>
  </si>
  <si>
    <t>滑块需量，2Element 3 Wire 1Phase接线，设置需量配置参数T1，DemandInterval设5分钟，上报周期5分钟， 距离最近T1最近5分钟整点开始计时T2，T2+5分钟后首次上报，T2+10分钟第二次上报 。</t>
  </si>
  <si>
    <t>1、设置需量Sliding
2、DemandInterval设5分钟，上报周期5分钟(固定窗口场景，上报周期不影响上报频率)
3、接线方式设置为2Element 3 Wire 1Phase
4、Ua Ub电压400V，Ia电流2A 3A，压流角210°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</si>
  <si>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7、则T2+5分钟首次上报，过去的5分钟需量平均值(电流、功率)
8、则T2+10分钟第二次上报，过去的5分钟需量平均值(电流、功率)
9、检查web上demand界面，需量相关数据更新时间及内容是否准确</t>
  </si>
  <si>
    <t>Function_AcuRev1320_011_02_case7</t>
  </si>
  <si>
    <t>滑块需量，2Element 3 Wire Network接线，设置需量配置参数T1，DemandInterval设5分钟，上报周期5分钟， 距离最近T1最近5分钟整点开始计时T2，5分钟后首次上报，5分钟第二次上报 。</t>
  </si>
  <si>
    <t>1、设置需量Sliding
2、DemandInterval设5分钟，上报周期5分钟(固定窗口场景，上报周期不影响上报频率)
3、接线方式设置为2Element 3 Wire Network
4、Ua Ub电压400V，Ia电流2A 3A，压流角330°
5、设置需量配置参数，时间记录为T1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</si>
  <si>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1、设置需量Sliding
2、DemandInterval设5分钟，上报周期5分钟(固定窗口场景，上报周期不影响上报频率)
3、接线方式设置为2Element 3 Wire Delta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</si>
  <si>
    <t>Function_AcuRev1320_011_02_case9</t>
  </si>
  <si>
    <t>Function_AcuRev1320_011_02_case10</t>
  </si>
  <si>
    <t>滑块需量，3E3p4w Y接线，重置需量最值时间T1，DemandInterval设5分钟，上报周期5分钟，电压均为9V,  intput1~3电流为5A，距离最近T1最近5分钟整点开始计时T2，5分钟后首次上报，需量值更新为0</t>
  </si>
  <si>
    <t>7、则T2+5分钟首次上报，过去的5分钟需量平均值(电流、功率)为0
备注：电压输入为10V</t>
  </si>
  <si>
    <t>1、设置窗口需量Sliding
2、DemandInterval设4分钟，上报周期5分钟
3、上位机点击提交
4、查看上位机提交是否成功</t>
  </si>
  <si>
    <t>接线配置</t>
  </si>
  <si>
    <t>1e1P2W接线验证</t>
  </si>
  <si>
    <t>Function_AcuRev1320_012_01_case1</t>
  </si>
  <si>
    <t>1e1P2W输电,上位机配1P2W接线，上位机input1只能配置Van，input1对应功率正确，其他input功率为0</t>
  </si>
  <si>
    <t>4、上位机和HMI上input1只能配置Van
5、上位机和HMI上input1对应有功功率0.48kwh，无其他input有功功率</t>
  </si>
  <si>
    <t>Function_AcuRev1320_012_01_case2</t>
  </si>
  <si>
    <t>1 ELEMENT_2_WIRE 接线方式， 上位机与HMI realtime数据中“显示”符合接线方式中的显示规划</t>
  </si>
  <si>
    <t>1、Acuview2上位机
2、网线/RTU串口线
3、AcuRev1320电表
4、1e1P2W接线方式</t>
  </si>
  <si>
    <t>1、连接AcuRev1320电表到Acuview2上，连接状态为connected
2、1e1P2W输电,上位机配1P2W接线，Va为120V, I_in1为4A，压流夹角0°。
3、 根据最新的接线方式说明书检查上位机和HMI上real-time页面显示
4、 根据最新的接线方式上位机显示要求检查上位机的Energy、Demand、MaxDemand、THD页面显示符合预期</t>
  </si>
  <si>
    <t>3、 上位机和HMI上real-time显示与最新的接线方式说明书保持一致
4、 上位机Energy、Demand、MaxDemand、THD显示与最新要求保持一致</t>
  </si>
  <si>
    <t>Function_AcuRev1320_012_01_case3</t>
  </si>
  <si>
    <t>1 ELEMENT_2_WIRE 接线测量5分钟， 切换到2e2P3W phase1接线方式，再次切换到1 ELEMENT_2_WIRE 接线，检查HMI和上位机上能量是否全部被置为0, 电压电流测量正确</t>
  </si>
  <si>
    <t>1、Acuview2上位机
2、网线/RTU串口线
3、AcuRev1320电表
4、3 Element 3 Wire Delta接线方式</t>
  </si>
  <si>
    <t>1、连接AcuRev1320电表到Acuview2上，连接状态为connected
2、1e1P2W输电，上位机配1e1P2W接线，Va为120V, I_in1为4A，压流夹角0°。
3、检查上位机和HMI上input1和user1对应有功功率是否正确，其他user和input功率为0
4、测量5分钟
5、切换到2e2P3W phase1接线方式，选择清除能量
6、检查上位机和HMI上能量是否测量参数全部置为0, 电压电流测量正确</t>
  </si>
  <si>
    <t>6、上位机和HMI上能量测量参数全部置为0, 电压电流测量正确</t>
    <phoneticPr fontId="10" type="noConversion"/>
  </si>
  <si>
    <t>2P3W phase1接线验证</t>
  </si>
  <si>
    <t>Function_AcuRev1320_012_02_case1</t>
  </si>
  <si>
    <t>上位机配2e2P3W phase1接线，压流夹角30°</t>
  </si>
  <si>
    <t>1、连接AcuRev1320电表到Acuview2上，连接状态为connected
2、上位机配2e2P3W phase1接线，
2.1、检查上位机和HMI的默认配置是否为 Va、Vc
2.2、 Va、Vc配置为120V, A、C相电流分别为5A 和5A，压流夹角30°。
3、检查上位机和HMI中A、C相、系统对应功率是否正确，系统的PF是否等于0.866
4、检查系统的平均电流是否为5A。</t>
  </si>
  <si>
    <t>2.1、检查上位机和HMI的默认配置为 Va、Vc
3.上位机和HMI中A、C相、系统对应功率正确，系统的PF等于0.866
7、系统的平均电流是否为5A。</t>
  </si>
  <si>
    <t>Function_AcuRev1320_012_02_case2</t>
  </si>
  <si>
    <t>上位机配2e2P3W phase1接线， 系统功率数据是A、C相数据之和</t>
  </si>
  <si>
    <t>3.系统的平均电流为3A， PhaseC 功率数据与PhaseB功率数据之和等于sys功率</t>
  </si>
  <si>
    <t>2e2P3W phase1接线测量5分钟， 切换到1e1P2W接线方式，检查HMI和上位机上电压，电流，能量、需量是否与1e1P2W接线方式测量数据保持一致，2e2P3W phase1接线测量数据全部重置为0</t>
  </si>
  <si>
    <t>1、连接AcuRev1320电表到Acuview2上，连接状态为connected
2、上位机配2e2P3W phase1接线，
3、2e2P3W phase1接线测量5分钟， 切换到1e1P2W接线方式，
3、检查HMI和上位机上电压，电流，能量、需量是否与1e1P2W接线方式测量数据保持一致</t>
  </si>
  <si>
    <t>2e2P3W phase1接线 切换到2e2P3W delta接线方式，断开交流源检查HMI和上位机上电压，电流，显示是否正常</t>
  </si>
  <si>
    <t>1、连接AcuRev1320电表到Acuview2上，连接状态为connected
2、电源输入220 V、220 V 5A 5A，上位机上从2e2P3W phase1接线 切换到2e2P3W delta接线，
3、关闭交流源输入，
4、上位机相电压的界面还还显示电压是否为0V。</t>
  </si>
  <si>
    <t>4、关闭交流源输入，上位机相电压的界面还还显示电压为”-“。
 V13版本 2025/5/15：上位机相电压的界面还还显示”-“</t>
  </si>
  <si>
    <t>Function_AcuRev1320_012_02_case5</t>
  </si>
  <si>
    <t>2e2P3W phase1接线配置，上位机与HMI realtime数据中“显示”符合接线方式中的显示规划</t>
  </si>
  <si>
    <t>Function_AcuRev1320_012_02_case6</t>
  </si>
  <si>
    <t>2e3W phase1接线配置，验证Va为0时，Vc 相的角度为0，，input的角度为0，电压电流测量正常，功率计算正确</t>
  </si>
  <si>
    <t>1、连接AcuRev1320电表到Acuview2上，连接状态为connected
2、上位机配2e2P3W phase1接线，
2.1、检查上位机和HMI的默认配置是否为 Va、Vc
2.2、 Va、Vc配置为120V, A、C相电流分别为2A 和4A，压流夹角0°。
（Va/Vc角度0、180°，A、C相电流角度0/180°）
3、检查上位机和HMI数据是否正确
4、修改源上Va的幅值为0，检查Va的角度功率均为0、Ia幅值正常，角度功率均为0，Vc和Ic的角度为0，电压电流幅值以及功率维持之前的数值不受影响
5、 从源上关闭输入，再按照关闭前的配置直接打开输入
6、检查Va的角度功率均为0、Ia电流幅值正常，角度功率均为0，Vc和Ic的角度为0，电压电流幅值以及功率维持之前的数值不受影响</t>
  </si>
  <si>
    <t>2.1、检查上位机和HMI的默认配置为 Va、Vc
3、数据正确
4~6、 Va的角度功率均为0、Ia电流幅值正常，角度功率均为0，Vc和Ic的角度为0，电压电流幅值以及功率维持之前的数值不受影响</t>
  </si>
  <si>
    <t>Function_AcuRev1320_012_02_case7</t>
  </si>
  <si>
    <t>2e2P3W phase1接线配置，检查Demand和MaxDemand界面的System的电流计算正常</t>
  </si>
  <si>
    <t>1、连接AcuRev1320电表到Acuview2上，连接状态为connected
2、上位机配2e2P3W phase1接线，
2.1、检查上位机和HMI的默认配置是否为 Va、Vc
2.2、 Va、Vc配置为120V, A、C相电流分别为2A 和4A，压流夹角0°。
（Va/Vc角度0、180°，A、C相电流角度0/180°）
3、 检查Demand和MaxDemand界面的System 电流计算正确</t>
  </si>
  <si>
    <t>3、Demand和MaxDemand页面的System的电流刷新正确</t>
  </si>
  <si>
    <t>2e2P3W delta接线验证</t>
  </si>
  <si>
    <t>Function_AcuRev1320_012_03_case1</t>
  </si>
  <si>
    <t>上位机配2e2P3W delta接线，input1~input2分别配置Vab、Vbc，且无法配置Va/vb/Vcn，user1最多添加两路input， 模拟φuab，φubc，φuca平衡(0° 240° 120° )，input1~2和user1对应功率正确，其他user和input功率为0</t>
  </si>
  <si>
    <t>1、连接AcuRev1320电表到Acuview2上，连接状态为connected
2、源依旧按照Y模式输电（Ua为100V，φua为0°，Ub为100V， 短接连到电表Un，φub为240°，Uc为100V，φuc为120°），上位机配2e2P3W delta接线，（I_in1为4A、0°，I_in2为0A、0°，I_in3为5A、120°），I_in1为4A、0°，I_in2为0A、0°，I_in3为5A、120°同时从源上把电流的input2和input3调换输出位置），上位机测量到的Ia和Ib分别为4A 和5A， 角度φI1~2为330°，90°。【360°，120°】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</si>
  <si>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系统：P=1.350kwh，Q=0.000kvar，S=1.351kva，PF= 1.000
用户：Puser1=1.350kwhkwh，Quser1=0.000kwh，Suser1=1.350kva，PF= 1.000
其他user功率为0，input功率为"-"
备注计算方式：
S = (Uab * Ia + Ubc * Ic) * cos(30)
P = S * cos(压流角)
Q= S^2 - P^2 开根号
压流角： Uab、Ubc、Uca 角度为0°、240°、120°，
Ia、Ic 是330°、90°，换算Iab、Ica是 0°、120°
比较Uab和Iab、Uca和Ica的压流角是0</t>
  </si>
  <si>
    <t>Function_AcuRev1320_012_03_case2</t>
  </si>
  <si>
    <t>上位机配2e2P3W delta接线，input1~input2分别配置Vab、Vbc，且无法配置Va/vb/Vcn，user1最多添加两路input， 模拟φuab，φubc，φuca平衡(0° 240° 120° )，压流夹角为60°，input1~2和user1对应功率正确，其他user和input功率为0</t>
  </si>
  <si>
    <t>1、连接AcuRev1320电表到Acuview2上，连接状态为connected
2、源依旧按照Y模式输电（Ua为100V，φua为0°，Ub短接连到电表Un，φua为240°，Uc为100V，φuc为120°），上位机配2e2P3W delta接线，（I_in1为5A、300°，I_in2为0A、0°，I_in3为5A、60°，同时从源上把电流的input2和input3调换输出位置），上位机测量到的Ia和Ib均为5A， 角度φI1~2为270°，30°。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</si>
  <si>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系统：P=0.75kwh，Q=1.299kvar，S=1.500kva，PF= 0.500
用户：Puser1=0.75kwhkwh，Quser1=1.299kwh，Suser1=1.500kva，PF= 0.500
其他user功率为0，input功率为"-"
备注计算方式：
S = (Uab * Ia + Ubc * Ic) * cos(30)
P = S * cos(压流角)
Q= S^2 - P^2 开根号
压流角： Uab、Ubc、Uca 角度为0°、240°、120°，
Ia、Ic 是270°、30°，换算Iab、Ica是 300°、60°
比较Uab和Iab、Uca和Ica的压流角是60
夹角在第一象限，Q为正数【一二象限为正数、三四象限为负数】</t>
  </si>
  <si>
    <t>Function_AcuRev1320_012_03_case3</t>
  </si>
  <si>
    <t>上位机配2e2P3W delta接线，input1~input2分别配置Vab、Vbc，且无法配置Va/vb/Vcn，user1最多添加两路input， 模拟φuab，φubc，φuca平衡(0° 240° 120° )，压流夹角为120°，input1~2和user1对应功率正确，其他user和input功率为0</t>
  </si>
  <si>
    <t>1、连接AcuRev1320电表到Acuview2上，连接状态为connected
2、源依旧按照Y模式输电（Ua为100V，φua为0°，Ub短接连到电表Un，φua为240°，Uc为100V，φuc为120°），上位机配2e2P3W delta接线，（I_in1为5A、240°，I_in2为0A、0°，I_in3为5A、0°，同时从源上把电流的input2和input3调换输出位置），上位机测量到的Ia和Ib均为5A， 角度φI1~2为210°，330°。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</si>
  <si>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</si>
  <si>
    <t>Function_AcuRev1320_012_03_case4</t>
  </si>
  <si>
    <t>上位机配2e2P3W delta接线，input1~input2分别配置Vab、Vbc，且无法配置Va/vb/Vcn，user1最多添加两路input， 模拟φuab，φubc，φuca平衡(0° 240° 120° )，压流夹角为210°，input1~2和user1对应功率正确，其他user和input功率为0</t>
  </si>
  <si>
    <t>1、连接AcuRev1320电表到Acuview2上，连接状态为connected
2、源依旧按照Y模式输电（Ua为100V，φua为0°，Ub短接连到电表Un，φua为240°，Uc为100V，φuc为120°），上位机配2e2P3W delta接线，（I_in1为5A、150°，I_in2为0A、0°，I_in3为5A、270°，同时从源上把电流的input2和input3调换输出位置），上位机测量到的Ia和Ib均为5A， 角度φI1~2为120°，240°。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</si>
  <si>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系统：P=-1.299kwh，Q=-0.75kvar，S=1.500kva，PF= -0.866
用户：Puser1=-1.299kwhkwh，Quser1=-0.75kwh，Suser1=1.500kva，PF= -0.866
其他user功率为0，input功率为"-"
备注计算方式：
S = (Uab * Ia + Ubc * Ic) * cos(30)
P = S * cos(压流角)
Q= S^2 - P^2 开根号
压流角： Uab、Ubc、Uca 角度为0°、240°、120°，
Ia、Ic 是120°、240°，换算Iab、Ica是 150°、270°
比较Uab和Iab、Uca和Ica的压流角是210
夹角在第三象限，Q为负数【一二象限为正数、三四象限为负数】</t>
  </si>
  <si>
    <t>Function_AcuRev1320_012_03_case5</t>
  </si>
  <si>
    <t>上位机配2e2P3W delta接线，input1~input2分别配置Vab、Vbc，且无法配置Va/vb/Vcn，user1最多添加两路input， 模拟φuab，φubc，φuca平衡(0° 240° 120° )，压流夹角为330°，input1~2和user1对应功率正确，其他user和input功率为0</t>
  </si>
  <si>
    <t>1、连接AcuRev1320电表到Acuview2上，连接状态为connected
2、源依旧按照Y模式输电（Ua为100V，φua为0°，Ub短接连到电表Un，φua为240°，Uc为100V，φuc为120°），上位机配2e2P3W delta接线，（I_in1为5A、30°，I_in2为0A、0°，I_in3为5A、150°，同时从源上把电流的input2和input3调换输出位置），上位机测量到的Ia和Ib均为5A，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</si>
  <si>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系统：P=1.299kwh，Q=-0.75kvar，S=1.500kva，PF= 0.866
用户：Puser1=1.299kwhkwh，Quser1=-0.75kwh，Suser1=1.500kva，PF= 0.866
其他user功率为0，input功率为"-"
备注计算方式：
S = (Uab * Ia + Ubc * Ic) * cos(30)
P = S * cos(压流角)
Q= S^2 - P^2 开根号
压流角： Uab、Ubc、Uca 角度为0°、240°、120°，
Ia、Ic 是0°、120°，换算Iab、Ica是 30°、150°
比较Uab和Iab、Uca和Ica的压流角是330
夹角在第四象限，Q为负数【一二象限为正数、三四象限为负数】</t>
  </si>
  <si>
    <t>2e2P3W delta接线验证</t>
    <phoneticPr fontId="10" type="noConversion"/>
  </si>
  <si>
    <t>Function_AcuRev1320_012_03_case6</t>
  </si>
  <si>
    <t>2e2P3W delta接线测量5分钟， 切换到1e1P2W接线方式，再次切换到2e2P3W delta接线，检查HMI和上位机上能量是否全部被置为0, 电压电流测量正确</t>
  </si>
  <si>
    <t>1、连接AcuRev1320电表到Acuview2上，连接状态为connected
2、源依旧按照Y模式输电（Ua为100V，φua为0°，Ub短接连到电表Un，φua为240°，Uc为100V，φuc为120°），上位机配2e2P3W delta接线，（I_in1为5A、30°，I_in2为0A、0°，I_in3为5A、150°，同时从源上把电流的input2和input3调换输出位置），上位机测量到的Ia和Ib均为5A，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8、测量5分钟
9、切换到1e1P2W接线方式
10、立即切换到2e2P3W delta接线方式
11、检查上位机和HMI上能量是否测量参数全部置为0, 电压电流测量正确
备注: 上位机和HMI显示相角均以Vab为参考，计算电能时候，夹角可以使用线电压的与电流角度直接矢量计算。</t>
  </si>
  <si>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7、上位机和HMI上user1-12和system对应有功功率正确，
用例修改2025/6/27：
系统：P=1.299kwh，Q=-0.75kvar，S=1.500kva，PF= 0.866
用户：Puser1=1.299kwhkwh，Quser1=-0.75kwh，Suser1=1.500kva，PF= 0.866
11、上位机和HMI上能量测量参数全部置为0, 电压电流测量正确</t>
  </si>
  <si>
    <t>2e2P3W delta接线配置，上位机与HMI realtime数据中“显示”符合接线方式中的显示规划</t>
  </si>
  <si>
    <t>1、连接AcuRev1320电表到Acuview2上，连接状态为connected
2、源依旧按照Y模式输电（Ua为100V，φua为0°，Ub短接连到电表Un，φua为240°，Uc为100V，φuc为120°），上位机配2e2P3W delta接线，（I_in1为4A、0°，I_in2为0A、0°，I_in3为5A、120°，同时从源上把电流的input2和input3调换输出位置），上位机测量到的Ia和Ib分别为4A 和5A， 角度φI1~2为330°，90°。
3、 根据最新的接线方式说明书检查上位机和HMI上real-time显示
4、 根据最新的接线方式上位机显示要求检查上位机的Energy、Demand、MaxDemand、THD页面显示符合预期</t>
  </si>
  <si>
    <t>Function_AcuRev1320_012_03_case8</t>
  </si>
  <si>
    <t>2e2P3W delta接线配置，验证Vab为0时，Vbc、Vca 相的角度为0，input的角度为0，电压电流测量正常，功率计算正确</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</si>
  <si>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 检查上位机和HMI上Vab、Vbc、Vca电压是否为173.205V
4、检查上位机和HMI上Vab、Vbc、Vca相角为(0°、240°、120°)
5、检查上位机和HMI上user1和system对应所有功率是否正确，其他A/B/C相和input功率为-，其他user 功率为0
6、修改源上Va的幅值为0，检查Vab的角度功率均为0、input1电流幅值正常，角度功率均为0，Vbc、Vca和Input2的角度为0，电压电流幅值以及功率维持之前的数值不受影响
7、 从源上关闭输入，再按照关闭前的配置直接打开输入
8、 检查Vab的角度功率均为0、input1电流幅值正常，角度功率均为0，Vbc、Vca和Input2的角度为0，电压电流幅值以及功率维持之前的数值不受影响</t>
  </si>
  <si>
    <t>3、上位机和HMI上Vab、Vbc、Vca电压为173.205V
4、上位机和HMI上Vab、Vbc、Vca相角为(0°、240°、120°)
5、上位机和HMI上input1和user1对应有功功率正确，
用例修改2025/6/27：
系统：P=1.350kwh，Q=0.000kvar，S=1.351kva，PF= 1.000
用户：Puser1=1.350kwhkwh，Quser1=0.000kwh，Suser1=1.350kva，PF= 1.000
其他user功率为0，input功率为"-"
6-8、Vab的角度功率均为0、input1电流幅值正常，角度功率均为0，Vbc、Vca和Input2的角度为0，电压电流幅值以及功率维持之前的数值不受影响
备注计算方式：
S = (Uab * Ia + Ubc * Ic) * cos(30)
P = S * cos(压流角)
Q= S^2 - P^2 开根号
压流角： Uab、Ubc、Uca 角度为0°、240°、120°，
Ia、Ic 是330°、90°，换算Iab、Ica是 0°、120°
比较Uab和Iab、Uca和Ica的压流角是0</t>
  </si>
  <si>
    <t>1、连接AcuRev1320电表到Acuview2上，连接状态为connected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 检查上位机Demand和MaxDemand页面的System 的电流显示</t>
  </si>
  <si>
    <t>3、 上位机 Demand和MaxDemand页面的System 的电流显示-</t>
  </si>
  <si>
    <t>2e2p3w network接线验证</t>
  </si>
  <si>
    <t>Function_AcuRev1320_012_04_case1</t>
  </si>
  <si>
    <t>1、连接AcuRev1320电表到Acuview2上，连接状态为connected
2、上位机配2e2p3w network接线，Va、Vb、Vc均为120V, I_in1~2为3A， 4A，压流夹角30°，Va、Vb、Vc相角为(0°、240°、120°)。
3、上位机和HMI上input1~2配置电压Van和Vcn
4、检查上位机和HMI上user1~12是否无法添加三路input
5、检查上位机和HMI上user1添加两路input1-2
6、检查上位机和HMI上input1和user1对应有功功率是否正确，其他user和input功率为0
7、user1的电流是否为3.5A</t>
  </si>
  <si>
    <t>4、上位机和HMI上user1~12无法添加三路input
6、上位机和HMI上input1~2对应有功功率均为
Phase A Active Power	0.31177 	0.31115 	0.31239 
Phase A Reactive Power	0.18000 	0.17964 	0.18036 
Phase A Apparent Power	0.36000 	0.35928 	0.36072 
Phase A Power Factor	0.86603 	0.86429 	0.86776 
Phase C Active Power	0.41569 	0.41486 	0.41652 
Phase C Reactive Power	0.24000 	0.23952 	0.24048 
Phase C Apparent Power	0.48000 	0.47904 	0.48096 
Phase C Power Factor	0.86603 	0.86429 	0.86776 
user1的有功功率0.31177+0.41569kwh，其他user和input有功功率为0
7、user1的电流为3.5A</t>
  </si>
  <si>
    <t>Function_AcuRev1320_012_04_case2</t>
  </si>
  <si>
    <t>上位机配2e2p3w network接线， 系统功率数据是所有通道数据之和</t>
  </si>
  <si>
    <t>1、连接AcuRev1320电表到Acuview2上，连接状态为connected
2、上位机配2e2p3w network接线 
2.1、input2配置Vc，电压为220, 电流2A，压流夹角0°。user1配置input2
2.2、input1配置Va，电压为220, 电流4A，压流夹角0°。input1 不配置任何用户
3、检查上位机和HMI上input1和user1对应有功功率是否正确，
4、用户user1和系统的平均电流是否为2A。
5、PhaseC 功率数据和input2 一致， 系统的总功率为input1和input2之和。</t>
  </si>
  <si>
    <t>3、上位机和HMI上input1和user1对应有功功率正确，
4、用户和系统的平均电流为2A。
5、PhaseC 功率数据和input2 一致， 系统的总功率为input1和input2之和。</t>
  </si>
  <si>
    <t>Function_AcuRev1320_012_04_case3</t>
  </si>
  <si>
    <t>2e2p3w network接线配置，上位机与HMI realtime数据中“显示”符合接线方式中的显示规划</t>
  </si>
  <si>
    <t>1、Acuview2上位机
2、网线/RTU串口线
3、AcuRev1320电表
4、2e2p3w network接线方式</t>
  </si>
  <si>
    <t>1、连接AcuRev1320电表到Acuview2上，连接状态为connected
2、2e2p3w network输电，上位机配2e2p3w network接线，Va、Vb、Vc均为120V, I_in1~2均为4A，压流夹角0°，
3、上位机和HMI上input1~2配置电压Van和Vcn
4、上位机和HMI上user1添加2路input
5、 根据最新的接线方式说明书检查上位机和HMI上real-time显示
6、 根据最新的接线方式上位机显示要求检查上位机的Energy、Demand、MaxDemand、THD页面显示符合预期</t>
  </si>
  <si>
    <t>5、 上位机和HMI上real-time显示与最新的接线方式说明书保持一致
6、 上位机Energy、Demand、MaxDemand、THD显示与最新要求保持一致</t>
  </si>
  <si>
    <t>Function_AcuRev1320_012_04_case4</t>
  </si>
  <si>
    <t>2e2p3w network接线配置，验证Va为0时，Vb、Vc相的角度为0，input的角度为0，电压电流测量正常，功率计算正确</t>
  </si>
  <si>
    <t>4、上位机和HMI上user1~12无法添加三路input
6、上位机和HMI上input1~2对应有功功率均为
Phase A Active Power	0.36000
Phase A Reactive Power	0.00000
Phase A Apparent Power	0.36000 
Phase A Power Factor	1.00000
Phase B Active Power	0.48000 
Phase B Reactive Power	0.00000
Phase B Apparent Power	0.48000 
Phase B Power Factor	1.00000 
user1的有功功率0.36000+0.48000kwh，其他user和input有功功率为0
7、user1的电流为3.5A
8-10、Va的角度功率为0、input1电流幅值正常，角度功率均为0，Vb、Vc和Input2的角度为0，电压电流幅值以及功率维持之前的数值不受影响</t>
  </si>
  <si>
    <t>Function_AcuRev1320_012_04_case5</t>
  </si>
  <si>
    <t>2e2p3w network接线配置，根据最新的接线方式说明书检查上位机和HMI上real-time显示</t>
  </si>
  <si>
    <t>1、Acuview2上位机
2、网线/RTU串口线
3、AcuRev1320电表
4、2 Element 3 Wire Network接线方式</t>
  </si>
  <si>
    <t>1、连接AcuRev1320电表到Acuview2上，连接状态为connected
2、上位机配2e2p3w network接线
3、 根据最新的接线方式说明书检查上位机和HMI上real-time显示
4、 根据最新的接线方式上位机显示要求检查上位机的Energy、Demand、MaxDemand、THD页面显示符合预期</t>
  </si>
  <si>
    <t>3、 没有input channel的user channel，上位机和HMI上real-time显示为-
4、  没有input channel的user channel，上位机和HMI上Energy、Demand、MaxDemand、THD、需分量和不平衡因数显示为-</t>
  </si>
  <si>
    <t>3e3P4W Y型接线验证</t>
  </si>
  <si>
    <t>Function_AcuRev1320_012_05_case1</t>
  </si>
  <si>
    <t>上位机配3P4W Y接线，input1~input3分别配Va、Vb、Vc，user1添加三路input，压流角0°，input1~3和user1对应功率正确，其他user和input功率为0</t>
  </si>
  <si>
    <t>1、连接AcuRev1320电表到Acuview2上，连接状态为connected
2、3P4W Y输电，上位机配3P4W Y接线，
3、user1配置三路负载， Va、Vb、Vc均为120V, I_in1~3均为3A 4A 5A，压流角0°
4、检查上位机和HMI上input1~3和user1对应有功功率是否正确，其他user和input功率为0</t>
  </si>
  <si>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t>
  </si>
  <si>
    <t>Function_AcuRev1320_012_05_case2</t>
  </si>
  <si>
    <t>上位机配3P4W Y接线，压流角120°，Ia、Ib、Ic和sys对应功率正确</t>
  </si>
  <si>
    <t>1、连接AcuRev1320电表到Acuview2上，连接状态为connected
2、3P4W Y输电，上位机配3P4W Y接线，
3、 Va、Vb、Vc均为120V,Ia、Ib、Ic为3A 4A 5A，压流角120°
4、检查上位机和HMI上Ia、Ib、Ic和sys对应有功功率是否正确</t>
  </si>
  <si>
    <t>4.上位机和HMI上Ia、Ib、Ic和sys对应有功功率正确</t>
  </si>
  <si>
    <t>3e3P4W Y型接线验证</t>
    <phoneticPr fontId="10" type="noConversion"/>
  </si>
  <si>
    <t>Function_AcuRev1320_012_05_case3</t>
  </si>
  <si>
    <t>3e3P4W Y型接线接线测量5分钟， 切换到1e1P2W接线方式，再次切换到3e3P4W Y型接线，检查HMI和上位机上能量是否全部被置为0, 电压电流测量正确</t>
  </si>
  <si>
    <t>5、上位机和HMI上user1最多添加三路input
7、上位机和HMI上input1~3对应有功功率均为0.48kwh，user1的有功功率1.44kwh，其他user和input有功功率为0
10、上位机和HMI上能量测量参数全部置为0, 电压电流测量正确0</t>
  </si>
  <si>
    <t>Function_AcuRev1320_012_05_case4</t>
  </si>
  <si>
    <t>3e3P4W Y接线配置，上位机与HMI realtime数据中“显示”符合接线方式中的显示规划</t>
  </si>
  <si>
    <t>1、连接AcuRev1320电表到Acuview2上，连接状态为connected
2、3P4W Y输电，上位机配3P4W Y接线，Va、Vb、Vc均为120V, I_in1~3均为4A，压流夹角0°，Va、Vb、Vc相角为(0°、120°、240°)。
3、上位机和HMI上input1~3配置电压Va、Vb、Vc
5、上位机和HMI上user1添加3路input
6、 根据最新的接线方式说明书检查上位机和HMI上real-time显示
7、 根据最新的接线方式上位机显示要求检查上位机的Energy、Demand、MaxDemand、THD页面显示符合预期</t>
  </si>
  <si>
    <t>6、 上位机和HMI上real-time显示与最新的接线方式说明书保持一致
7、 上位机Energy、Demand、MaxDemand、THD显示与最新要求保持一致</t>
  </si>
  <si>
    <t>Function_AcuRev1320_012_05_case5</t>
  </si>
  <si>
    <t>3e4w y 接线配置，验证Va为0时，Vb、Vc相的角度为0，input的角度为0，电压电流测量正常，功率计算正确</t>
  </si>
  <si>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5-7、Vb的角度功率为0、input1电流幅值正常，角度功率均为0，Vb、Vc和Input2的角度为0，电压电流幅值以及功率维持之前的数值不受影响
</t>
  </si>
  <si>
    <t>3e4W delta接线验证</t>
  </si>
  <si>
    <t>Function_AcuRev1320_012_06_case1</t>
  </si>
  <si>
    <t>上位机配3e4W delta接线，input1、input2、input3分别配置Vab、Vbc，Vca， 模拟φuab，φubc，φuca平衡(0° 240° 120° )，压流夹角为0°sys对应功率正确，</t>
  </si>
  <si>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</si>
  <si>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系统：P=2.0784kw，Q=0kvar，S=2.0784kva，PF=1
备注计算方式：
S = (Uab * Ia + Ubc * Ic) * cos(30)
P = S * cos(压流角)
Q= S^2 - P^2 开根号
Uab、Ubc、Uca 角度为0°、240°、120°
换算：Iab、Ibc、Ica 角度为0°、240°、120°</t>
  </si>
  <si>
    <t>Function_AcuRev1320_012_06_case2</t>
  </si>
  <si>
    <t>上位机配3e4W delta接线，input1、input2、input3分别配置Vab、Vbc，Vca， 模拟φuab，φubc，φuca平衡(0° 240° 120° )，压流夹角为60°sys对应功率正确，</t>
  </si>
  <si>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系统：P=1.0392kw，Q=1.7999kvar，S=2.0784kva，PF=0.5
备注计算方式：
S = (Uab * Ia + Ubc * Ic) * cos(30)
P = S * cos(压流角)
Q= S^2 - P^2 开根号
Uab、Ubc、Uca 角度为0°、240°、120°
换算：Iab、Ibc、Ica 角度为0°、240°、120°</t>
  </si>
  <si>
    <t>Function_AcuRev1320_012_06_case3</t>
  </si>
  <si>
    <t>Function_AcuRev1320_012_06_case4</t>
  </si>
  <si>
    <t>上位机配3e4W delta接线，input1、input2、input3分别配置Vab、Vbc，Vca， 模拟φuab，φubc，φuca平衡(0° 240° 210° )，压流夹角为120°sys对应功率正确，</t>
  </si>
  <si>
    <t>Function_AcuRev1320_012_06_case5</t>
  </si>
  <si>
    <t>上位机配3e4W delta接线，input1、input2、input3分别配置Vab、Vbc，Vca， 模拟φuab，φubc，φuca平衡(0° 240° 210° )，压流夹角为330°sys对应功率正确，</t>
  </si>
  <si>
    <t>Function_AcuRev1320_012_06_case6</t>
  </si>
  <si>
    <t>3e4W delta接线测量5分钟， 切换到1e1P2W接线方式，再次切换到2e2P3W delta接线，检查HMI和上位机上能量是否全部被置为0, 电压电流测量正确</t>
  </si>
  <si>
    <t>Function_AcuRev1320_012_06_case7</t>
  </si>
  <si>
    <t>3e4W delta接线配置，上位机与HMI realtime数据中“显示”符合接线方式中的显示规划</t>
  </si>
  <si>
    <t>3e4W delta接线配置，验证Vab为0时，Vbc、Vca 相的角度为0，电流的角度为0，电压电流测量正常，功率计算正确</t>
  </si>
  <si>
    <t>Function_AcuRev1320_012_06_case9</t>
  </si>
  <si>
    <t>3e4W delta接线配置，检查Demand和MaxDemand界面的System的电流显示为-</t>
  </si>
  <si>
    <t>上位机user and ct 配置</t>
  </si>
  <si>
    <t>Function_AcuRev1320_012_07_case01</t>
  </si>
  <si>
    <t>上位机setting的user and CT 界面，配置CT变比，验证参数配置范围是1~50000；</t>
  </si>
  <si>
    <t>1、Acuview2上位机
2、网线/RTU串口线
3、AcuRev1320电表
4、3 Element 4 Wire Y接线方式</t>
  </si>
  <si>
    <t>1、连接AcuRev1320电表到Acuview2上，连接状态为connected
2、上位机setting的user and ct 页面，配置CT变比为1
3、上位机setting的user and ct 页面，配置CT变比为50000
4、上位机setting的user and ct 页面，配置CT变比为0
5、上位机setting的user and ct 页面，配置CT变比为50001</t>
  </si>
  <si>
    <t>2-3、配置成功
4-5、配置失败</t>
  </si>
  <si>
    <t>Function_AcuRev1320_012_07_case02</t>
  </si>
  <si>
    <t>4、 测量值与源一致，精度符合预期
6、 测量值与源一致，精度符合预期</t>
  </si>
  <si>
    <t>时分用电</t>
  </si>
  <si>
    <t>夏令时DST配置验证</t>
  </si>
  <si>
    <t>Function_AcuRev1320_013_01_case1</t>
  </si>
  <si>
    <t>按照格式一设置DST时间(1.1 00:00 ~ 12.31 00:00)，开启DTS和关闭DST开关，DTS功能正常</t>
  </si>
  <si>
    <t>1、连接AcuRev1320电表到Acuview2上，连接状态为connected
2、按照格式1（固定日期），设置DTS的时间段,：DTS开始时间 1月1日 00:00, DTS结束时间 12月31 00:00
3、检查设置DST时间段是否成功
3.1 设置地当前系统时间在DTS范围内(1.1 00:00 ~ 12.31 00:00）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</si>
  <si>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6、上位机和HMI上检查电表时间无变化
8、设置夏令时DST设置为disable成功
9.上位机和HMI上检查电表时间无变化</t>
  </si>
  <si>
    <t>Function_AcuRev1320_013_01_case2</t>
  </si>
  <si>
    <t>按照格式一设置DST时间(3.1 02:00 ~ 10.31 03:00)，关闭DTS开关，进入和退出DST范围，时间不会改变</t>
  </si>
  <si>
    <t>1、连接AcuRev1320电表到Acuview2上，连接状态为connected
2、按照格式1（固定日期），设置DTS的时间段,：DTS开始时间 3月1日 02:00, DTS结束时间 10月31 03:00
3、检查设置DST时间段是否成功
4、上位机上配置夏令时夏令时DST设置为disable，
5、检查开启夏令时DST设置为disable是否成功
5.1 设置地当前系统时间为2024 3.1 01:55
5.2 等待6分钟
6、上位机和HMI上检查电表时间是否增加1小时
7、设置地当前系统时间为2024 10.31 02:55
8、等待6分钟
9、上位机和HMI上检查电表时间是否减少1小时</t>
  </si>
  <si>
    <t>3、检查设置DST时间段成功
5、检查开启夏令时DST设置为disable成功
6、上位机和HMI上检查电表时间没有变化
9、上位机和HMI上检查电表时间没有变化</t>
  </si>
  <si>
    <t>Function_AcuRev1320_013_01_case3</t>
  </si>
  <si>
    <t>按照格式一设置DST时间(3.1 02:00 ~ 10.31 03:00)，打开DTS开关，掉电情况下进入和退出DST范围，DTS功能正常</t>
  </si>
  <si>
    <t>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设置地当前系统时间为2024 3.1 01：59：00
5.2 掉电等待2分钟
6、上电查看上位机和HMI上检查电表时间是否增加1小时
7、设置地当前系统时间为2024 10.31 02:55
8、掉电等待6分钟
9、上电查看上位机和HMI上检查电表时间是否减少1小时</t>
  </si>
  <si>
    <t>3、检查设置DST时间段成功
5、检查开启夏令时DST设置为enable成功
6、上电查看上位机和HMI上检查电表时间增加1小时
9、上电查看上位机和HMI上检查电表时间减少1小时</t>
  </si>
  <si>
    <t>Function_AcuRev1320_013_01_case4</t>
  </si>
  <si>
    <t>按照格式一设置DST时间(3.1 02:00 ~ 10.31 03:00)，打开DTS开关，多次掉电情况下进入DST范围，DTS功能正常</t>
  </si>
  <si>
    <t xml:space="preserve">3、检查设置DST时间段成功
5、检查开启夏令时DST设置为enable成功
6、上电查看上位机和HMI上检查电表时间增加1小时
8.时钟不会继续增加
</t>
  </si>
  <si>
    <t>Function_AcuRev1320_013_01_case5</t>
  </si>
  <si>
    <t>夏令时start和end设置为相同时间，无法设置成功</t>
  </si>
  <si>
    <t>1、连接AcuRev1320电表到Acuview2上，连接状态为connected
2、设置夏令时的start和end为相同的时间</t>
  </si>
  <si>
    <t>2、无法设置成功</t>
  </si>
  <si>
    <t>Function_AcuRev1320_013_01_case6</t>
  </si>
  <si>
    <t>按照格式一设置DST时间(3.1 02:00 ~ 10.31 03:00)，开启DTS开关，系统时间在DST范围外，时间进入到DTS时间内，DTS功能正常</t>
  </si>
  <si>
    <t>1、Acuview2上位机
2、网线/RTU串口线
3、AcuRev1320电表
4、系统时间不在(3.1 02：00 -10:31 03:00）内。</t>
  </si>
  <si>
    <t>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设置地当前系统时间为3.1 01：55
5.2、等待6分钟，
6、上位机和HMI上检查电表时间是否在第5分钟时候，跳变为03:00
7、设置夏令时DST设置为disable
8、检查设置夏令时DST设置为disable是否成功
9、上位机和HMI上检查电表时间是否立即跳变为02:00</t>
  </si>
  <si>
    <t>3、检查设置DST时间段成功
5、检查开启夏令时DST设置为enable成功
6、上位机和HMI上检查电表时间在第5分钟时候，跳变为03:00
8、设置夏令时DST设置为disable成功
9、上位机和HMI上检查电表时间没有变化，不进行退回</t>
  </si>
  <si>
    <t>Function_AcuRev1320_013_01_case7</t>
  </si>
  <si>
    <t>按照格式一设置DST时间(3.1 02:00 ~ 10.31 03:00)，开启DTS开关，系统时间在DST范围内，时间离开到DTS时间内，DTS功能正常</t>
  </si>
  <si>
    <t>1、Acuview2上位机
2、网线/RTU串口线
3、AcuRev1320电表
4、系统时间在(3.1 02：00 -10:31 03:00）内。</t>
  </si>
  <si>
    <t xml:space="preserve">1、连接AcuRev1320电表到Acuview2上，连接状态为connected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02:55
5.2 观察上位机和HMI上检查电表时间是否立即跳变01:55
5.3、等待6分钟，
6、上位机和HMI上检查电表时间是否在第5分钟时候，跳变为02:00
7、继续等待表计走时钟，待表计下一次走到10.31 03：00是否还会跳变到02：00
</t>
  </si>
  <si>
    <t>3、检查设置DST时间段成功
5、检查开启夏令时DST设置为enable成功
5.2 观察上位机和HMI上检查电表时间不跳变
6、上位机和HMI上检查电表时间在第5分钟时候，跳变为02:00
7.时钟会继续往下走，不会跳变到02：00</t>
  </si>
  <si>
    <t>Function_AcuRev1320_013_01_case8</t>
  </si>
  <si>
    <t>1、连接AcuRev1320电表到Acuview2上，连接状态为connected
2、按照格式1（固定日期），设置DTS的时间段,：DTS开始时间 3月1日 02:00, adjust为1h,DTS结束时间 10月31 03:00 adjust为1min
3、检查设置DST时间段是否成功
4、上位机上配置夏令时夏令时DST设置为enable，
5、检查开启夏令时DST设置为enable是否成功
6.设置地当前系统时间为10.31 02:59
7.等待1min,查看表计时钟是否跳回到02：59
8.等待30s后修改时钟到10.31 02：58
9.等待2min后查看表计时钟是否跳变到02：59</t>
  </si>
  <si>
    <t>3、检查设置DST时间段成功
5、检查开启夏令时DST设置为enable成功
7.时钟跳变到02：59
9.2min后，时钟应该跳变到02:59</t>
  </si>
  <si>
    <t>Function_AcuRev1320_013_01_case9</t>
  </si>
  <si>
    <t>按照格式一设置DST时间(1.1 12:00 ~ 02.29 03:00)，开启DTS开关，系统时间在DST范围外，时间进入到DTS时间内，DTS功能正常</t>
  </si>
  <si>
    <t>1、Acuview2上位机
2、网线/RTU串口线
3、AcuRev1320电表
4、系统时间不在（1.1 12：00 -2.29 31 03:00）内</t>
  </si>
  <si>
    <t>6.跳变为14：00
8.设置成功
9.未跳变为13：00</t>
  </si>
  <si>
    <t>Function_AcuRev1320_013_01_case10</t>
  </si>
  <si>
    <t>按照格式一设置DST时间(1.1 12:00 ~ 02.29 03:00)，开启DTS开关，系统时间在DST范围外，时间进入到DTS时间内，DTS功能正常，adjust time为120</t>
  </si>
  <si>
    <t xml:space="preserve">1、连接AcuRev1320电表到Acuview2上，连接状态为connected
2、按照格式1（固定日期），设置DTS的时间段,：（1.1 12：59 ~ 2.28 03:59），adjust time为120
3、检查设置DST时间段是否成功
4、上位机上配置夏令时夏令时DST设置为enable，
5、检查开启夏令时DST设置为enable是否成功
5.1 设置地当前系统时间为1.1 12：54
5.2、等待5分钟，
6、上位机和HMI上检查电表时间是否在第5分钟时候，跳变为14:59
6.1 等待3分钟，上位机和HMI上观察电表时间是否为15:02分
7、设置夏令时DST设置为disable
8、检查设置夏令时DST设置为disable是否成功
9、上位机和HMI上检查电表时间是否立即跳变为14:02
</t>
  </si>
  <si>
    <t xml:space="preserve">3、检查设置DST时间段成功
5、检查开启夏令时DST设置为enable成功
6、上位机和HMI上检查电表时间在第5分钟时候，跳变为14:59
6.1 等待3分钟，上位机和HMI上观察电表时间为15:02分
8、设置夏令时DST设置为disable成功
9、上位机和HMI上检查电表时间不会跳变为14:02
</t>
  </si>
  <si>
    <t>Function_AcuRev1320_013_01_case11</t>
  </si>
  <si>
    <t>按照格式一设置DST时间(3.1 00：00 -11.29  03:00)，开启DTS开关，系统时间在DST范围外，闰年时间进入到DTS时间内，DTS功能正常</t>
  </si>
  <si>
    <t>1、Acuview2上位机
2、网线/RTU串口线
3、AcuRev1320电表
4、系统时间在（2.29 02：00 -11.29 31 03:00）外。</t>
  </si>
  <si>
    <t>1、连接AcuRev1320电表到Acuview2上，连接状态为connected
2、按照格式1（固定日期），设置DTS的时间段,：(3.1 00：00 -11.29  03:00）
3、检查设置DST时间段是否成功
4、上位机上配置夏令时夏令时DST设置为enable，
5、检查开启夏令时DST设置为enable是否成功
5.1 设置地当前系统时间为2028.2.29 23：55
5.2、等待6分钟，
6、上位机和HMI上检查电表时间是否在第5分钟时候，跳变为:2028 03.01 01：00
7、设置夏令时DST设置为disable
8、检查设置夏令时DST设置为disable是否成功
9、上位机和HMI上检查电表时间是否立即跳变为00:00</t>
  </si>
  <si>
    <t>3、检查设置DST时间段成功
5、检查开启夏令时DST设置为enable成功
6、上位机和HMI上检查电表时间在第5分钟时候，跳变为2028 03.01 01：00
8、设置夏令时DST设置为disable成功
9、上位机和HMI上检查电表时间不会跳变为00:00</t>
  </si>
  <si>
    <t>Function_AcuRev1320_013_01_case12</t>
  </si>
  <si>
    <t>按照格式一设置DST时间(01.01 00:00 -03.01 00：00)，开启DTS开关，系统时间在DST范围外，非闰年时间进入到DTS时间内，DTS功能正常</t>
  </si>
  <si>
    <t>1、连接AcuRev1320电表到Acuview2上，连接状态为connected
2、按照格式1（固定日期），设置DTS的时间段,：(01.01 00:00 -03.01 00：00)
3、检查设置DST时间段是否成功
4、上位机上配置夏令时夏令时DST设置为enable，
5、检查开启夏令时DST设置为enable是否成功
5.1 设置地当前系统时间为2027.2.28 23：55
5.2、等待6分钟，
6、上位机和HMI上检查电表时间是否在第5分钟时候，跳变为:2027.2.28 23：00
7、设置夏令时DST设置为disable
8、检查设置夏令时DST设置为disable是否成功
9、上位机和HMI上检查电表时间是否立即跳变为2027.3.01 00：00</t>
  </si>
  <si>
    <t>3、检查设置DST时间段成功
5、检查开启夏令时DST设置为enable成功
6、上位机和HMI上检查电表时间在第5分钟时候，跳变为2027.2.28 23：00
8、设置夏令时DST设置为disable成功
9、上位机和HMI上检查电表时间不会跳变为2027.3.01 00：00</t>
  </si>
  <si>
    <t>Function_AcuRev1320_013_01_case13</t>
  </si>
  <si>
    <t>按照格式二设置DST时间(1月第1周周1 00:00 ~ 12月第5周周2 23:59)，开启DTS和关闭DST开关，DTS功能正常</t>
  </si>
  <si>
    <t>1、连接AcuRev1320电表到Acuview2上，连接状态为connected
2、按照格式2（固定日期），设置DTS的时间段,：1月第1周周1 00:00 ~ 12月第5周周2 23:59
3、检查设置DST时间段是否成功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</si>
  <si>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Function_AcuRev1320_013_01_case14</t>
  </si>
  <si>
    <t>按照格式二设置DST时间(3月第2周周5 02:00 ~ 6月第2周周1 03:00)，系统时间在DST范围外，开启DTS和关闭DST开关，DTS功能正常</t>
  </si>
  <si>
    <t>1、连接AcuRev1320电表到Acuview2上，连接状态为connected
2、按照格式2（固定日期），设置DTS的时间段,：(3月第2周周5 02:00 ~ 6月第2周周1 03:00)
3、检查设置DST时间段是否成功
3.1 设置地当前系统时间不在DTS范围内，时间为2025.2.1 02：00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</si>
  <si>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3、检查设置DST时间段成功
5、检查开启夏令时DST设置为enable成功
6、上位机和HMI上检查电表时间没有变化
8、设置夏令时DST设置为disable成功
9、上位机和HMI上检查电表时间没有变化</t>
  </si>
  <si>
    <t>Function_AcuRev1320_013_01_case15</t>
  </si>
  <si>
    <t>按照格式二设置DST时间(3月第2周周5 02:00 ~ 6月第2周周1 03:00)，开启DTS开关，系统时间在DST范围外(2024.3.1 01:55)，时间进入到DTS时间内，DTS功能正常</t>
    <phoneticPr fontId="10" type="noConversion"/>
  </si>
  <si>
    <t>1、连接AcuRev1320电表到Acuview2上，连接状态为connected
2、按照格式2（固定日期），设置DTS的时间段,：(3月第2周周5 02:00 ~ 6月第2周周1 03:00)
3、检查设置DST时间段是否成功
4、上位机上配置夏令时夏令时DST设置为enable，
5、检查开启夏令时DST设置为enable是否成功
5.1 设置地当前系统时间为2025.03.14 01：55：00
5.2 等待6分钟
6、上位机和HMI上检查电表时间是否在第5分钟时候，跳变为:2025.03.14 03：00
7、设置夏令时DST设置为disable
8、检查设置夏令时DST设置为disable是否成功
9、上位机和HMI上检查电表时间是否立即跳变为2025.03.14 02：00</t>
  </si>
  <si>
    <t>3、检查设置DST时间段成功
5、检查开启夏令时DST设置为enable成功
6、上位机和HMI上检查电表时间在第5分钟时候，跳变为:2025.03.14 03：00
8、设置夏令时DST设置为disable成功
9、上位机和HMI上检查电表时间不会跳变，时间保持</t>
  </si>
  <si>
    <t>Function_AcuRev1320_013_01_case16</t>
  </si>
  <si>
    <t>按照格式二设置DST时间(3月第1周周5 02:00 ~ 10月第5周周4 03:00)，开启DTS开关，系统时间在DST范围外(2025.3.07 01:55)，时间进入到DTS时间内，DTS功能正常</t>
  </si>
  <si>
    <t>1、连接AcuRev1320电表到Acuview2上，连接状态为connected
2、按照格式2（固定日期），设置DTS的时间段,：(3月第1周周5 02:00 ~ 10月第5周周4 03:00）
3、检查设置DST时间段是否成功
4、上位机上配置夏令时夏令时DST设置为enable，
5、检查开启夏令时DST设置为enable是否成功
5.1 设置地当前系统时间为2025.3.07 01：55
5.2 等待6分钟
6、上位机和HMI上检查电表时间是否在第5分钟时候，跳变为:2025.3.07 03：00
7、设置夏令时DST设置为disable
8、检查设置夏令时DST设置为disable是否成功
9、上位机和HMI上检查电表时间是否立即跳变为2024.3.07 02：00</t>
  </si>
  <si>
    <t>3、检查设置DST时间段成功
5、检查开启夏令时DST设置为enable成功
6、上位机和HMI上检查电表时间在第5分钟时候，跳变为:2025.3.07 03：00
8、设置夏令时DST设置为disable成功
9、上位机和HMI上检查电表时间不会跳变，时间保持</t>
  </si>
  <si>
    <t>Function_AcuRev1320_013_01_case17</t>
  </si>
  <si>
    <t>按照格式二设置DST时间(3月第1周周5 02:00 ~ 12月第5周周1 23:59)，开启DTS开关，表计在掉电情况下进入、退出夏令时</t>
  </si>
  <si>
    <t>1、连接AcuRev1320电表到Acuview2上，连接状态为connected
2、按照格式2（固定日期），设置DTS的时间段,：(3月第1周周5 02:00 ~ 12月第5周周1 23:59)
3、检查设置DST时间段是否成功
4、上位机上配置夏令时夏令时DST设置为enable，
5、检查开启夏令时DST设置为enable是否成功
5.1 设置地当前系统时间为2025.3.07 01：55
5.2 掉电等待6分钟
6、上电查看上位机和HMI上检查电表时间是否跳变为:2025.3.07 03：01
7.1设置地当前系统时间为2025.12.29 23：55
7.2 掉电等待6分钟
8、上电查看上位机和HMI上检查电表时间是否跳变为:2025 12.29 23：01</t>
  </si>
  <si>
    <t>3、检查设置DST时间段成功
5、检查开启夏令时DST设置为enable成功
6、上电查看上位机和HMI上检查电表时间:2027.3.07 03：01
8.上电查看上位机和HMI上检查电表时间跳变为:202712.29 23：01</t>
  </si>
  <si>
    <t>Function_AcuRev1320_013_01_case18</t>
  </si>
  <si>
    <t>按照格式二设置DST时间(3月第1周周5 02:00 ~ 10月第5周周4 03:00)，开启DTS开关，系统时间在DST范围内，时间离开到DTS时间内(2025.10.30 02:54)，DTS功能正常</t>
  </si>
  <si>
    <t>1、连接AcuRev1320电表到Acuview2上，连接状态为connected
2、按照格式2（固定日期），设置DTS的时间段,：(3月第1周周5 00:00 ~ 10月第5周周4 03:00)
3、检查设置DST时间段是否成功
4、上位机上配置夏令时夏令时DST设置为enable，
5、检查开启夏令时DST设置为enable是否成功
5.1 设置地当前系统时间为2025.10.30 02:54
5.2 观察上位机和HMI上检查电表时间是否立即跳变2025.10.30 01:54
5.3、掉电等待6分钟后上电，
6、查看上位机和HMI上检查电表时间是否在第5分钟时候，跳变为2025.10.30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</si>
  <si>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观察上位机和HMI上检查电表时间不会立即跳变
6、上位机和HMI上检查电表时间在第5分钟时候，跳变为2025.10.30 02:00
8、设置夏令时DST设置为disable成功
9、上位机和HMI上检查电表时间未发生变化。</t>
  </si>
  <si>
    <t>Function_AcuRev1320_013_01_case19</t>
  </si>
  <si>
    <t>夏令时设置format2，end设置为6月第一周的周一，正常退出，接着修改end设置为7月第一周的周一，时间是03:00,，adjust time为60，修改电表系统时间为2025年7月7日2:59:50,十秒后时间会回退一小时</t>
  </si>
  <si>
    <t>1、连接AcuRev1320电表到Acuview2上，连接状态为connected
2、夏令时设置format2，，end设置为6月第一周的周一，正常退出，接着修改end设置为7月第一周的周一，时间是03:00,，adjust time为60
3、修改电表系统时间为2025年7月7日2:59:50
4、查看时间是否会回退一小时</t>
  </si>
  <si>
    <t>4、时间回退一小时</t>
  </si>
  <si>
    <t>Function_AcuRev1320_013_01_case20</t>
  </si>
  <si>
    <t>按照格式二设置DST时间(1月第1周周1 02:00 ~ 02月第5周周4 03:00)，开启DTS开关，系统时间在DST范围外(2024.1.1 01：55 闰年)，时间进入到DTS时间内，DTS功能正常</t>
  </si>
  <si>
    <t>1、连接AcuRev1320电表到Acuview2上，连接状态为connected
2、按照格式2（固定日期），设置DTS的时间段,：(1月第1周周1 2:00 ~ 02月第5周周4 03:00)
3、检查设置DST时间段是否成功
4、上位机上配置夏令时夏令时DST设置为enable，
5、检查开启夏令时DST设置为enable是否成功
5.1 设置地当前系统时间为2024.1.1 01：55
5.2 等待6分钟
6、上位机和HMI上检查电表时间是否在第5分钟时候，跳变为:2024.1.01 03：00
7、设置夏令时DST设置为disable
8、检查设置夏令时DST设置为disable是否成功
9、上位机和HMI上检查电表时间是否立即跳变为2024.1.1 02：00</t>
  </si>
  <si>
    <t>3、检查设置DST时间段成功
5、检查开启夏令时DST设置为enable成功
6、上位机和HMI上检查电表时间在第5分钟时候，跳变为:2024.1.1 03：00
8、设置夏令时DST设置为disable成功
9、上位机和HMI上检查电表时间不会跳变为2024.1.1 02：00</t>
  </si>
  <si>
    <t>Function_AcuRev1320_013_01_case21</t>
  </si>
  <si>
    <t>按照格式二设置DST时间(1月第1周周5 02:00 ~ 02月第4周周4 03:00)，开启DTS开关，系统时间在DST范围内非闰年，时间进入到DTS时间内，DTS功能正常</t>
  </si>
  <si>
    <t>1、连接AcuRev1320电表到Acuview2上，连接状态为connected
2、按照格式1（固定日期），设置DTS的时间段,：(1月第1周周1 2:00 ~ 02月第4周周4 03:00)
3、检查设置DST时间段是否成功
4、上位机上配置夏令时夏令时DST设置为enable，
5、检查开启夏令时DST设置为enable是否成功
5.1 设置地当前系统时间为2025.2.27 02：55
5.2 等待6分钟
6、上位机和HMI上检查电表时间是否在第5分钟时候，跳变为:2025.2.27  02：00
7、设置夏令时DST设置为disable
8、检查设置夏令时DST设置为disable是否成功
9、上位机和HMI上检查电表时间是否变化</t>
  </si>
  <si>
    <t>3、检查设置DST时间段成功
5、检查开启夏令时DST设置为enable成功
6、上位机和HMI上检查电表时间在第5分钟时候，跳变为:2025.2.27  02：00
8、设置夏令时DST设置为disable成功
9、上位机和HMI上检查电表时间不变化</t>
  </si>
  <si>
    <t>Function_AcuRev1320_013_01_case22</t>
  </si>
  <si>
    <t>按照格式二设置DST时间(1月第1周周5 02:00 ~ 02月第5周周4 03:00)，开启DTS开关，系统时间在DST范围内，时间离开到DTS时间内(2024.2.29 02:54 闰年)，DTS功能正常</t>
  </si>
  <si>
    <t>1、连接AcuRev1320电表到Acuview2上，连接状态为connected
2、按照格式2（固定日期），设置DTS的时间段,：(1月第1周周5 2:00 ~ 02月第5周周4 03:00)
3、检查设置DST时间段是否成功
4、上位机上配置夏令时夏令时DST设置为enable，
5、检查开启夏令时DST设置为enable是否成功
5.1 设置地当前系统时间为2024.2.29 02:54
5.2 观察上位机和HMI上检查电表时间是否立即跳变01:54
5.3、等待6分钟，
6、上位机和HMI上检查电表时间是否在第5分钟时候，跳变为2024.2.29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</si>
  <si>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6、上位机和HMI上检查电表时间在第5分钟时候，跳变为2024.2.29 02:00
8、设置夏令时DST设置为disable成功
9、上位机和HMI上检查电表时间未发生变化。</t>
  </si>
  <si>
    <t>TOU配置seasion&amp;segment&amp;traffic</t>
  </si>
  <si>
    <t>Function_AcuRev1320_013_02_case1</t>
  </si>
  <si>
    <t>配置1个session, 对应配置1个Schedule Id，对应配置14个segment ID(配置15个segment ID 提示失败)，tariff覆盖(尖sharp、峰peak、谷valley、平normal)，配置功能正常</t>
  </si>
  <si>
    <t xml:space="preserve">1、连接AcuRev1320电表到Acuview2上，连接状态为connected
2、上位机上配置一个Schedule ID，对应配置14个segment ID((覆盖 尖sharp、峰peak、谷valley、平normal))
3、添加一个Season， 并关联步骤二配置Schedule ID.
4、上位机上点击"Update"。
5、检查步骤2-3中的配置是否保存成功。 
6、在步骤2的Schedule ID上，对应配置第15个segment ID
7、检查上位机是否报错， 提示segment ID最大值14.
</t>
  </si>
  <si>
    <t>5、步骤2-3中的配置更新保存成功。 
7、上位机报错，提示segment ID最大值14</t>
  </si>
  <si>
    <t>Function_AcuRev1320_013_02_case2</t>
  </si>
  <si>
    <t>配置2个session, 对应配置2个不同Schedule Id，每个Schedule Id对应配置14个segment ID(配置15个segment ID 提示失败)，tariff覆盖(尖sharp、峰peak、谷valley、平normal)，配置功能正常</t>
  </si>
  <si>
    <t xml:space="preserve">1、连接AcuRev1320电表到Acuview2上，连接状态为connected
2、上位机上配置两个Schedule Id，每个各配置14个segment ID((覆盖 尖sharp、峰peak、谷valley、平normal))
3、添加两个Season， Season1关联步骤二配置Schedule ID1，Season2关联步骤二配置Schedule ID2.
4、上位机上点击"Update"。
5、检查步骤2-3中的配置是否保存成功。 </t>
  </si>
  <si>
    <t xml:space="preserve">5、步骤2-3中的配置更新保存成功。 </t>
  </si>
  <si>
    <t>Function_AcuRev1320_013_02_case3</t>
  </si>
  <si>
    <t>配置12个session(配置13个session ID提示失败),对应配置1个Schedule Id，对应配置1个segment ID，配置功能正常</t>
  </si>
  <si>
    <t>5、步骤2-3中的配置更新保存成功。 
7、上位机报错，提示Season ID最大值12个</t>
  </si>
  <si>
    <t>Function_AcuRev1320_013_02_case4</t>
  </si>
  <si>
    <t>配置12个session, 对应配置12不同个Schedule Id，每个Schedule Id对应配置1个segment ID，tariff覆盖(尖sharp、峰peak、谷valley、平normal)，配置功能正常</t>
  </si>
  <si>
    <t xml:space="preserve">1、连接AcuRev1320电表到Acuview2上，连接状态为connected
2、上位机上配置14个Schedule Id，每个各配置14个segment ID((覆盖 尖sharp、峰peak))
3、添加12个Season， Season1~12按随机顺序关联步骤二配置Schedule ID1~12.
4、上位机上点击"Update"。
5、检查步骤2-3中的配置是否保存成功。 </t>
  </si>
  <si>
    <t>Function_AcuRev1320_013_02_case5</t>
  </si>
  <si>
    <t>删除2个TOU Season(3个)，update 更新保存正常</t>
  </si>
  <si>
    <t>1、Acuview2上位机
2、网线/RTU串口线
3、AcuRev1320电表
4、已经添加3个TOU Season</t>
  </si>
  <si>
    <t>4、检查步骤2-3中的配置保存成功，删除2个TOU Season</t>
  </si>
  <si>
    <t>Function_AcuRev1320_013_02_case6</t>
  </si>
  <si>
    <t>删除一个2个TOU Schedule(3个)，update 更新保存正常</t>
  </si>
  <si>
    <t>1、Acuview2上位机
2、网线/RTU串口线
4、已经添加1个TOU Schedule</t>
  </si>
  <si>
    <t xml:space="preserve">1、连接AcuRev1320电表到Acuview2上，连接状态为connected
2、删除2个TOU Schedule
3、上位机上点击"Update"。
4、检查步骤2-3中的配置是否保存成功。 </t>
  </si>
  <si>
    <t>4、检查步骤2-3中的配置保存成功，删除3个TOU Schedule</t>
  </si>
  <si>
    <t>Function_AcuRev1320_013_02_case7</t>
  </si>
  <si>
    <t>配置tariff 分别为sharp、peak、valley、normal并update，检查創建segment ID時候，分別只能选择sharp、peak、valley、normal</t>
  </si>
  <si>
    <t xml:space="preserve">1、连接AcuRev1320电表到Acuview2上，连接状态为connected
2、上位机上tariff勾选“sharp、peak”
3、上位机上检查segment ID费率是否只能选择“sharp、peak”。
4、上位机上点击"Update"。
5、检查步骤2-3中的配置是否保存成功。 </t>
  </si>
  <si>
    <t xml:space="preserve">3、上位机上segment ID费率只能选择“sharp、peak”。
5、步骤2-3中的配置更新保存成功。 </t>
  </si>
  <si>
    <t>Function_AcuRev1320_013_02_case8</t>
  </si>
  <si>
    <t>创建segment ID時选择sharp、peak、valley、normal并同步成功，tariff栏去勾选任何一个选项，再次update均提示失败。</t>
  </si>
  <si>
    <t xml:space="preserve">1、连接AcuRev1320电表到Acuview2上，连接状态为connected
2、上位机创建segment ID時选择sharp、peak、valley、normal并同步成功
3、上位机上tariff去勾选“normal”
4、上位机上点击"Update"。
5、检查步骤2-3中的配置是否保存成功。 </t>
  </si>
  <si>
    <t xml:space="preserve">3、去勾选时，上位机会提示has been used
5、步骤2-3中的配置更新保存提示失败。 </t>
  </si>
  <si>
    <t>Function_AcuRev1320_013_02_case9</t>
  </si>
  <si>
    <t>删除2个Segment(3个)，update 更新保存正常</t>
  </si>
  <si>
    <t>1、Acuview2上位机
2、网线/RTU串口线
3、AcuRev1320电表
4、已添加3个Segment</t>
  </si>
  <si>
    <t xml:space="preserve">1、连接AcuRev1320电表到Acuview2上，连接状态为connected
2、删除2个Segment
3、上位机上点击"Update"。
4、检查步骤2-3中的配置是否保存成功。 </t>
  </si>
  <si>
    <t>4、检查步骤2-3中的配置保存成功，删除2个Tsegment</t>
  </si>
  <si>
    <t>Function_AcuRev1320_013_02_case10</t>
  </si>
  <si>
    <t>打开和关闭TOU使能开关正常</t>
  </si>
  <si>
    <t>1、连接AcuRev1320电表到Acuview2上，连接状态为connected
2、打开“Enable TOU”开关。
3、上位机上点击"Update"。
4、检查步骤2-3中的配置是否保存成功。
5、关闭“Enable TOU”开关。
6、上位机上点击"Update"。
7、检查步骤5-6中的配置是否成功</t>
  </si>
  <si>
    <t>4、步骤2-3中的配置保存成功。
7、步骤5-6中的配置成功</t>
  </si>
  <si>
    <t>Function_AcuRev1320_013_02_case11</t>
  </si>
  <si>
    <t>修改TOU中各个参数，提交成功侯掉电，查看掉电是否影响参数</t>
  </si>
  <si>
    <t>1、连接AcuRev1320电表到Acuview2上，连接状态为connected
2、打开“Enable TOU”开关。
3、修改上位机TOU中各个参数
4、上位机上点击"Update"。
5、修改成功后掉电
6、上电，连接AcuRev1320电表到Acuview2上，连接状态为connected
7、查看tou中各个参数是否因掉电而变化</t>
  </si>
  <si>
    <t>4、数据更新成功
7、掉电改变已经不会改变已经设置的参数值</t>
  </si>
  <si>
    <t>Function_AcuRev1320_013_02_case12</t>
  </si>
  <si>
    <t>TOU参数恢复出厂设置</t>
  </si>
  <si>
    <t>1、连接AcuRev1320电表到Acuview2上，连接状态为connected
2、打开“Enable TOU”开关。
3、修改上位机TOU中各个参数
4、上位机上点击"Update"。
5、修改完成后查看是否修改成功
6、点击"Reset To Defeault”
7、比对恢复后表计tou参数是否与tou default setting</t>
  </si>
  <si>
    <t>5、修改成功
7.参数一致</t>
  </si>
  <si>
    <t>Function_AcuRev1320_013_02_case13</t>
  </si>
  <si>
    <t>TOU关闭，接入电压电流5分钟，修改时间结束当月电能结算，上位机上不会观察到TOU电能上报。</t>
  </si>
  <si>
    <t xml:space="preserve">1、Acuview2上位机
2、网线/RTU串口线
3、AcuRev1320电表
4、Monthly Billing Mode 设置为 "End Of Month" </t>
  </si>
  <si>
    <t>1、连接AcuRev1320电表到Acuview2上，连接状态为connected。
2、记录上位机上当前月和前一个月的数据TOU电能数据。
3、TOU关闭，接入电压220V，电流4A，等待5分钟。
4、修改系统时间为下个月1号23:58分，触发TOU电能结算。
5、观察上位机上是否有当月和前一个月电能数据变化。</t>
  </si>
  <si>
    <t xml:space="preserve">  5、上位机上没有观察到当月和前一个月TOU电能数据上报或更新。</t>
  </si>
  <si>
    <t>Function_AcuRev1320_013_02_case14</t>
  </si>
  <si>
    <t>TOU打开，1个season配置1个Schedule Id，Schedule ID配置1个segment ID(07:00 peak), 接入电压电流5分钟，修改系统时间13:00接入电压电流5分钟，上位机TOU peak费率电能上报正常。</t>
  </si>
  <si>
    <t>1、Acuview2上位机
2、网线/RTU串口线
3、AcuRev1320电表
4、Enable TOU打开</t>
  </si>
  <si>
    <t>5、观察上位机上当月累计peak电能和新增peak电能数据增加。</t>
  </si>
  <si>
    <t>Function_AcuRev1320_013_02_case15</t>
  </si>
  <si>
    <t>TOU打开，1个season配置1个Schedule Id，Schedule ID配置4个segment ID(07:00 peak，12:00 Valley，16:00 sharp，20:00 Normal),修改系统时间08:00接入电压电流5分钟，修改系统时间13:00接入电压电流5分钟，修改系统时间17:00接入电压电流5分钟, 修改系统时间00:00接入电压电流5分钟, 上位机可观察到TOU peak费率、Valley费率、Normal费率、sharp费率电能上报。</t>
  </si>
  <si>
    <t>1、连接AcuRev1320电表到Acuview2上，连接状态为connected。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备注: 压流角45°，产生EP_Imp 和Eq_Imp电能(modbus地址表中无Eq_Imp电能，故删除)   ---建议保留</t>
  </si>
  <si>
    <t xml:space="preserve">
5、上位机上当月累计peak电能和新增peak电能数据增加, 其他费率电能没有变化。
7、上位机上当月累计Valley电能和新增Valley电能数据增加, 其他费率电能没有变化。
9、上位机上当月累计sharp电能和新增sharp电能数据增加, 其他费率电能没有变化。
9、上位机上当月累计Normal电能和新增Normal电能数据增加, 其他费率电能没有变化。</t>
  </si>
  <si>
    <t>Function_AcuRev1320_013_02_case16</t>
  </si>
  <si>
    <t>TOU打开，配置两个season(03-02, 03-28)分别对应Schedule Id1(07:00 peak，12:00 Valley )和Schedule Id2(16:00 sharp，20:00 Normal))，修改系统时间在03-04 08:00和05:00接入源，修改系统时间在03-29 17:00和20:00 接入源，上位机可观察到TOU Valley、peak、sharp、Normal费率电能上报。</t>
  </si>
  <si>
    <t xml:space="preserve">1、连接AcuRev1320电表到Acuview2上，连接状态为connected。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t>
  </si>
  <si>
    <t>Function_AcuRev1320_013_02_case17</t>
  </si>
  <si>
    <t>TOU打开，配置两个season(03-02,04-02,05-02)分别对应Schedule1(16:00 sharp)和Schedule2(16:00 sharp))，Schedule3(16:00 sharp)),修改系统时间在03-04 17:00 接入源5分钟。修改系统时间在03-31 23:59 接入源5分钟. 修改系统时间在04-30 23:59 接入源5分钟，上位机当月TOU电能和上个月TOU累计电能和新增电能正常。</t>
  </si>
  <si>
    <t xml:space="preserve">1、Acuview2上位机
2、网线/RTU串口线
3、AcuRev1320电表
4、Enable TOU打开
5、Monthly Billing Mode 设置为 "End Of Month" </t>
  </si>
  <si>
    <t xml:space="preserve">1、连接AcuRev1320电表到Acuview2上，连接状态为connected。
2、记录上位机上当前月和前一个月的数据TOU电能数据。
3、添加season1(start time: 03-02)，关联Schedule1，Schedule1配置2个segment(16:00 sharp，20:00 Normal)
3.1、添加season2(start time: 04-02)，关联Schedule2，Schedule2配置2个segment(16:00 sharp，20:00 Normal)
3.2、添加season3(start time: 05-02)，关联Schedule2，Schedule2配置2个segment(16:00 sharp，20:00 Normal)
4、修改系统时间03-04 17:00，接入电压220V，电流4A，等待2分钟
4.1、观察上位机上当月累计sharp电能和新增sharp电能数据是否增加。其他费率电能没有变化。
5、修改系统时间03-31 23:59，接入电压220V，电流4A，等待2分钟
5.1、观察上位机上当月累计sharp电能和新增sharp电能数据是否增加。其他费率电能没有变化，
5.2、观察上位机前一月累计sharp电能和新增sharp电能数据是否为累加3月份数据之后的电能数据。其他费率电能没有变化
6、修改系统时间04-30 23:59，接入电压220V，电流4A，等待2分钟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t>
  </si>
  <si>
    <t>4.1、上位机上当月累计sharp电能和新增sharp电能数据增加。其他费率电能没有变化。
5.1、上位机上当月累计sharp电能和新增sharp电能数据增加。其他费率电能没有变化，
5.2、上位机前一月累计sharp电能和新增sharp电能数据是累加3月份数据之后的电能数据。其他费率电能没有变化
6.1、上位机上当月累计Normal电能和新增Normal电能数据增加。其他费率电能没有变化。
6.2、上位机前一月累计Normal电能和新增Normal电能数据为累加3月和4月份数据之后的电能数据。其他费率电能没有变化</t>
  </si>
  <si>
    <t>TOU 周休配置验证</t>
  </si>
  <si>
    <t>Function_AcuRev1320_013_03_case1</t>
  </si>
  <si>
    <t>TOU Weekends栏，Weekend Selection勾选Sat、Sun，weekday Schedule配置已经添加的TOR Seasons之一，配置成功</t>
  </si>
  <si>
    <t>1、连接AcuRev1320电表到Acuview2上，连接状态为connected。
2、TOU Weekends栏，Weekend Selection勾选Sat、Sun
3、weekday Schedule配置已经添加的TOU scheduls之一
4、上位机上点击"Update"。
5、检查步骤2-3中的配置是否保存成功。</t>
  </si>
  <si>
    <t>5、上位机提示步骤2-3中的配置保存成功。</t>
  </si>
  <si>
    <t>Function_AcuRev1320_013_03_case2</t>
  </si>
  <si>
    <t>Special Weekday Schedule栏，已存在season ID1配置Schedule ID1(勾选Mon、Tue、Wed、Thu、Fri、Sat Sun，Sat）可配置成功，特殊周休配置开关开启和关闭正常</t>
  </si>
  <si>
    <t>1、连接AcuRev1320电表到Acuview2上，连接状态为connected。
2、Special Weekday Schedule栏，已存在season1配置Schedule1(勾选Mon、Tue、Wed、Thu、Fri、Sat Sun，Sat）
3、打开“Enable Special Weekday Schedule”
4、上位机上点击"Update"。
5、检查步骤2-3中的配置是否保存成功。
6、关闭“Enable Special Weekday Schedule”
7、上位机上点击"Update"。
8、检查步骤2-3中的配置是否保存成功。</t>
  </si>
  <si>
    <t>5、上位机提示步骤2-3中的配置保存成功。
8、上位机提示步骤6中的配置保存成功。</t>
  </si>
  <si>
    <t>Function_AcuRev1320_013_03_case3</t>
  </si>
  <si>
    <t>Special Weekday Schedule栏，已存在season ID1配置Schedule ID2(勾选Mon、Tue、Wed、Thu、Fri、Sat Sun，Sat）可配置成功，特殊周休配置开关开启和关闭正常</t>
  </si>
  <si>
    <t>1、连接AcuRev1320电表到Acuview2上，连接状态为connected。
2、Special Weekday Schedule栏，已存在season1配置Schedule2(勾选Mon、Tue、Wed、Thu、Fri、Sat Sun，Sat）
3、打开“Enable Special Weekday Schedule”
4、上位机上点击"Update"。
5、检查步骤2-3中的配置是否保存成功。
6、关闭“Enable Special Weekday Schedule”
7、上位机上点击"Update"。
8、检查步骤2-3中的配置是否保存成功。</t>
  </si>
  <si>
    <t>Function_AcuRev1320_013_03_case4</t>
  </si>
  <si>
    <t>Special Weekday Schedule栏，已存在season ID1配置Schedule ID2(勾选Mon、Tue、Wed、Thu、Fri、Sat Sun，Sat），已存在season ID2配置Schedule ID2(勾选Mon、Tue、Wed、Thu、Fri、Sat Sun，Sat）可配置成功，特殊周休配置开关开启和关闭正常</t>
  </si>
  <si>
    <t>1、连接AcuRev1320电表到Acuview2上，连接状态为connected。
2、Special Weekday Schedule栏，已存在season ID1配置Schedule ID2勾选Mon、Tue、Wed、Thu、Fri、Sat Sun，Sat），已存在season ID2配置Schedule ID2(勾选Mon、Tue、Wed、Thu、Fri、Sat Sun，Sat）
3、打开“Enable Special Weekday Schedule”
4、上位机上点击"Update"。
5、检查步骤2-3中的配置是否保存成功。
6、打开“Enable Special Weekday Schedule”
7、上位机上点击"Update"。
8、检查步骤2-3中的配置是否保存成功。</t>
  </si>
  <si>
    <t>Function_AcuRev1320_013_03_case5</t>
  </si>
  <si>
    <t>Special Weekday Schedule栏，配置添加1个不存在的season ，添加失败或update更新保存失败。</t>
  </si>
  <si>
    <t xml:space="preserve">5、上位机提示步骤2-3中的配置保存失败。
</t>
  </si>
  <si>
    <t>Function_AcuRev1320_013_03_case6</t>
  </si>
  <si>
    <t>Special Weekday Schedule栏，删除2个已添加的season（3个）成功，update保存设置成功。</t>
  </si>
  <si>
    <t>1、连接AcuRev1320电表到Acuview2上，连接状态为connected。
2、Special Weekday Schedule栏，删除2个已添加的season
3、上位机上点击"Update"。
4、检查步骤2-3中的配置是否保存成功。</t>
  </si>
  <si>
    <t xml:space="preserve">5、上位机提示步骤2-3中的配置保存成功
</t>
  </si>
  <si>
    <t>Function_AcuRev1320_013_03_case7</t>
  </si>
  <si>
    <t>未使能TOU Enable，TOU Weekends默认配置失效</t>
  </si>
  <si>
    <t>1、Acuview2上位机
2、网线/RTU串口线
3、AcuRev1320电表
4、未使能TOU Enable</t>
  </si>
  <si>
    <t xml:space="preserve">1、连接AcuRev1320电表到Acuview2上，连接状态为connected。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</si>
  <si>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6.1、上位机上当月累计peak电能和新增peak电能数据没有增加。
6.3、上位机上当月累计peak电能和新增peak电能数据没有增加。
7.1、上位机上当月累计Sharp电能和新增Sharp电能数据没有增加。
7.3、上位机上当月累计peak电能和新增peak电能数据没有增加。</t>
  </si>
  <si>
    <t>Function_AcuRev1320_013_03_case8</t>
  </si>
  <si>
    <t>关闭 “Special Weekday Schedule”,Weekday Schedule栏配置已存在Schedule DI2(勾选Sat、Sun),修改系统时间构造条件触发TOU电能结算，Season ID1和Season ID2的Sat、Sun上报TOU电能费率与Schedule DI2保持一致，Mon-Fri上报费率电能Season ID1和Season ID2各自配置的Schedule 保持一致。</t>
  </si>
  <si>
    <t>1、Acuview2上位机
2、网线/RTU串口线
3、AcuRev1320电表
4、使能TOU Enable</t>
  </si>
  <si>
    <t>1、连接AcuRev1320电表到Acuview2上，连接状态为connected。
2、配置Season1(startDate：03-02)，关联Schedule1(Segment107:00 peak)
3、配置Season2(startDate：03-15)，关联Schedule2(Segment107:00 Sharp)
4、关闭“Special Weekday Schedule”
5、Weekday Schedule栏配置已存在Schedule2(勾选Sat、Sun)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</si>
  <si>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</si>
  <si>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Function_AcuRev1320_013_03_case9</t>
  </si>
  <si>
    <t>关闭 “Special Weekday Schedule”,Weekday Schedule栏配置已存在Schedule DI2(勾选Sat、Sun、Mon、Tue、Wed、Tue、Thu、Fri), 修改系统时间构造条件触发TOU电能结算，Season ID1和Season ID2在Sat、Sun、Mon、Tue、Wed、Tue、Thu、Fri上报TOU电能费率均与Schedule DI2 保持一致。</t>
  </si>
  <si>
    <t xml:space="preserve">1、连接AcuRev1320电表到Acuview2上，连接状态为connected。
2、配置Season1(startDate：03-02)，关联Schedule1(Segment107:00 peak)
3、配置Season2(startDate：03-15)，关联Schedule2(Segment107:00 Sharp)
4、关闭“Special Weekday Schedule”
5、Weekday Schedule栏配置已存在Schedule2(勾选Sat、Sun、Mon、Tue、Wed、Tue、Thu、Fri)
6、修改系统时间为03-05 08:00， 接入接入电压220V，电流4A，等待5分钟
6.1、观察上位机上当月累计sharp电能和新增sharp电能数据是否增加。其他费率电能没有变化，
6.2、修改系统时间为03-07 08:00， 接入接入电压220V，电流4A，等待5分钟
6.3、观察上位机上当月累计sharp电能和新增sharp电能数据是否增加。其他费率电能没有变化，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</si>
  <si>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6.1、上位机上当月累计Sharp电能和新增Sharp电能数据增加，其他费率电能没有变化。
6.3、上位机上当月累计Sharp电能和新增Sharp电能数据增加，其他费率电能没有变化。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</si>
  <si>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Function_AcuRev1320_013_03_case10</t>
  </si>
  <si>
    <t>打开“Special Weekday Schedule”,Special Weekday Schedule栏Season ID1配置Schedule DI2(勾选Sat、Sun),修改系统时间构造条件触发TOU电能结算，Season ID1日期内Sat、Sun上报TOU费率电能和Schedule DI2保持一致， Mon~Fri上报TOU费率电能与Schedule DI1</t>
  </si>
  <si>
    <t>1、连接AcuRev1320电表到Acuview2上，连接状态为connected。
2、配置Season1(startDate：03-02)，关联Schedule1(Segment107:00 peak)
3、配置Season2(startDate：03-15)，关联Schedule2(Segment107:00 Sharp)
4、使能“Special Weekday Schedule"开关
5、Special Weekday Schedule栏Season1配置Schedule2(勾选Sat、Sun)。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压流角45°，产生EP_Imp 和Eq_Imp电能</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</si>
  <si>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</si>
  <si>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Function_AcuRev1320_013_03_case11</t>
  </si>
  <si>
    <t>打开“Special Weekday Schedule”,Special Weekday Schedule栏Season1配置Schedule2(勾选Sat、Sun)、Schedule D3(勾选Mon、Tue)，修改系统时间构造条件触发TOU电能结算，Season ID1日期内TOU电能Sat、Sun与Schedule DI2 保持一致，Mon、Tue与Schedule DI3 保持一致，Wed、Thu、Fri与Schedule DI1保持一致。</t>
  </si>
  <si>
    <t>1、连接AcuRev1320电表到Acuview2上，连接状态为connected。
2、配置Season1(startDate：03-02)，关联Schedule1(Segment10 7:00 peak)
3、配置Schedule2(Segment1 10:00 Sharp)、Schedule3(Segment11  5:00 Normal)
4、使能“Special Weekday Schedule"开关
5、Special Weekday Schedule栏Season1配置Schedule2(勾选Sat、Sun)、Schedule3(勾选Mon、Tue)。
6、修改系统时间为2024.03-05(Tue) 08:00， 接入接入电压220V，电流4A，等待5分钟
6.1、观察上位机上当月累计Normal电能和新增Normal电能数据是否增加。其他费率电能没有变化，
6.2、修改系统时间为2024.03-06(Wed) 08:00， 接入接入电压220V，电流4A，等待5分钟
6.3、观察上位机上当月累计peak电能和新增peak电能数据是否增加。其他费率电能没有变化，
7、修改系统时间为2024.03-09(Sat) 08:00， 接入接入电压220V，电流4A，等待5分钟
7.1、观察上位机上当月累计Sharp电能和新增Sharp电能数据是否增加。其他费率电能没有变化，
备注: 压流角45°，产生EP_Imp 和Eq_Imp电能</t>
  </si>
  <si>
    <t>6.1、遵循Schedule3规则，上位机上当月累计Normal电能和新增Normal电能数据增加，其他费率电能没有变化。
6.3、遵循Schedule1规则，上位机上当月累计peak电能和新增peak电能数据增加，其他费率电能没有变化。
7.1、遵循Schedule2规则，上位机上当月累计Sharp电能和新增Sharp电能数据增加。其他费率电能没有变化。</t>
  </si>
  <si>
    <t>Function_AcuRev1320_013_03_case12</t>
  </si>
  <si>
    <t>未使能TOU Enable，TOU Weekends的Special Weekday Schedule配置失效</t>
  </si>
  <si>
    <t>1、连接AcuRev1320电表到Acuview2上，连接状态为connected。
2、配置Season1(startDate：03-02)，关联Schedule1(Segment107:00 peak)
3、配置Schedule2(Segment1 10:00 Sharp)
4、不使能“Special Weekday Schedule"开关
5、Special Weekday Schedule栏Season1配置Schedule2(勾选Sat、Sun)
6、修改系统时间为2024.03-05(Tue)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</si>
  <si>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6.1、TOU 所有配置均未生效，上位机上当月累计TOU电能和新增TOU电能数据均未发生变化。
7.1、TOU 所有配置均未生效，上位机上当月累计TOU电能和新增TOU电能数据均未发生变化。</t>
  </si>
  <si>
    <t>Function_AcuRev1320_013_03_case13</t>
  </si>
  <si>
    <t>打开 “Special Weekday Schedule”,Special Weekday Schedule栏Season ID1配置Schedule DI2(勾选Sat、Sun、Mon、Tue、Wed、Tue、Thu、Fri),修改系统时间构造条件触发TOU电能结算，Season ID1日期内上位机上报费率电能在Sat、Sun、Mon、Tue、Wed、Tue、Thu、Fri与Schedule DI2保持一致。</t>
  </si>
  <si>
    <t>6.1、遵循Schedule2规则，上位机上当月累计Sharp电能和新增Sharp电能数据增加，其他费率电能没有变化。
7.1、遵循Schedule2规则，上位机上当月累计Sharp电能和新增Sharp电能数据增加。其他费率电能没有变化。</t>
  </si>
  <si>
    <t>TOU 节假日配置验证</t>
  </si>
  <si>
    <t>Function_AcuRev1320_013_04_case1</t>
  </si>
  <si>
    <t>十年节假日配置使能开关，enable和disable保存配置成功</t>
  </si>
  <si>
    <t>1、Acuview2上位机
2、网线/RTU串口线
3、AcuRev1320电表
4、使能TOU Enable
5、使能Ten Years Holiday</t>
  </si>
  <si>
    <t>1、连接AcuRev1320电表到Acuview2上，连接状态为connected。
2、上位机设置Ten Years Holiday为disable
3、上位机上点击"Update"。
4、检查步骤2-3中的配置是否保存成功。
5、上位机设置Ten Years Holiday为Enable
6、上位机上点击"Update"。
7、检查步骤2-3中的配置是否保存成功。</t>
  </si>
  <si>
    <t>4、上位机提示步骤2-3中的配置保存成功。
7、上位机提示步骤2-3中的配置保存成功。</t>
  </si>
  <si>
    <t>Function_AcuRev1320_013_04_case2</t>
  </si>
  <si>
    <t>Disable场景，添加&amp;删除2个节日，配置TOU Schedules中的任两个Schedule ID，update保存配置成功。</t>
  </si>
  <si>
    <t>1、Acuview2上位机
2、网线/RTU串口线
3、AcuRev1320电表
4、使能TOU Enable
5、未使能Ten Years Holiday</t>
  </si>
  <si>
    <t>1、连接AcuRev1320电表到Acuview2上，连接状态为connected。
2、上位机TOU Holidays栏，添加Holiday1(05-10, Schedule1)，Holiday2(08-10, Schedule2)，
3、上位机上点击"Update"。
4、检查步骤2-3中的配置是否保存成功。
5、上位机TOU Holidays栏，删除Holiday2(08-10, Schedule2)。
6、上位机上点击"Update"。
7、检查步骤2-3中的配置是否保存成功。</t>
  </si>
  <si>
    <t>2、上位机提示步骤2-3中的配置保存成功。
7、上位机提示步骤2-3中的配置保存成功。</t>
  </si>
  <si>
    <t>Function_AcuRev1320_013_04_case3</t>
  </si>
  <si>
    <t>Disable场景，添加&amp;删除30个节日(创建第31个失败)，配置TOU Schedules 中的对应的Schedule ID，update保存配置成功。</t>
  </si>
  <si>
    <t>1、连接AcuRev1320电表到Acuview2上，连接状态为connected。
2、上位机TOU Holidays栏，添加Holiday1~30
2.1 上位机TOU Holidays栏，添加Holiday31
2.2  上位机是否提示添加Holiday31失败。
3、上位机上点击"Update"。
4、检查步骤2-3中的配置是否保存成功。
5、上位机TOU Holidays栏，删除Holiday1~31
6、上位机上点击"Update"。
7、检查步骤5中的配置是否保存成功。</t>
  </si>
  <si>
    <t>2.2  上位机提示添加Holiday31失败。
4、上位机提示步骤2-3中的配置保存成功。
7、上位机提示步骤5中的配置保存成功。</t>
  </si>
  <si>
    <t>Function_AcuRev1320_013_04_case4</t>
  </si>
  <si>
    <t>Disable场景，Season1(起始日期4月1号，00:00 Normal费率)，Season2(起始日期6月5号，00:00开始 peak费率), TOU Holidays配置一个节日4月5号，则4月份的费率新增peak费率电能。</t>
  </si>
  <si>
    <t>1、连接AcuRev1320电表到Acuview2上，连接状态为connected。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6、修改系统时间为2024-04-04 23:55后掉电，掉电到2024-04-05 00：01再上电接入接入电压220V，电流4A，等待5分钟
6.1、观察上位机上当月累计sharp电能和新增sharp电能数据是否增加。其他费率电能没有变化。
7、修改系统时间为2024-04-06 03:00，接入接入电压220V，电流4A，等待5分钟
7.1、观察上位机上当月累计Normal电能和新增Normal电能数据是否增加。其他费率电能没有变化。
备注: 压流角45°，产生EP_Imp 和Eq_Imp电能</t>
  </si>
  <si>
    <t xml:space="preserve">5.1上位机上当月累计Normal电能和新增Normal电能数据增加。其他费率电能没有变化。
6.1、观察上位机上当月累计sharp电能和新增sharp电能数据增加。其他费率电能没有变化。
7.1上位机上当月累计Normal电能和新增Normal电能数据增加。其他费率电能没有变化。
</t>
  </si>
  <si>
    <t>Function_AcuRev1320_013_04_case5</t>
  </si>
  <si>
    <t>Disable场景，Season1(起始日期4月1号，00:00 Normal费率)，Season2(起始日期6月5号，00:00开始 peak费率), Season3(起始日期8月5号，00:00开始 Valley费率)，TOU Holidays配置两个节日4月5号和4月7号，则4月份的费率新增peak和Valley费率电能。</t>
  </si>
  <si>
    <t>1、连接AcuRev1320电表到Acuview2上，连接状态为connected。
2、设置Season1(04-01)，关联Schedule1(00:00 Normal费率)
3、设置Season2(06-05)，关联Schedule2(00:00 sharp费率)
4、设置Season2(08-05)，关联Schedule3(00:00 Valley费率)
5、上位机TOU Holidays栏，添加Holiday1(04-05, Schedule3)
5.1、上位机TOU Holidays栏，添加Holiday2(06-07, Schedule1)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6.1、观察上位机上当月累计Valley电能和新增Valley电能数据是否增加。其他费率电能没有变化。
7、修改系统时间为2024-06-06 03:00，接入接入电压220V，电流4A，等待5分钟
7.1、观察上位机上当月累计sharp电能和新增sharp电能数据是否增加。其他费率电能没有变化。
8、修改系统时间为2024-06-07 03:00，接入接入电压220V，电流4A，等待5分钟
8.1、观察上位机上6月当月累计Normal电能和新增Normal电能数据是否增加。其他费率电能没有变化。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</si>
  <si>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6.1、遵循Schedule3规则，上位机上当月累计Valley电能和新增Valley电能数据增加。其他费率电能没有变化。
7.1、遵循Schedule2规则，上位机上当月累计sharp电能和新增sharp电能数据增加。其他费率电能没有变化。
8.1、遵循Schedule1规则，观察上位机上当月累计Normal电能和新增Normal电能数据增加。其他费率电能没有变化。</t>
  </si>
  <si>
    <t>Function_AcuRev1320_013_04_case6</t>
  </si>
  <si>
    <t>未使能TOU Enable，TOU Holidays的默认配置失效</t>
  </si>
  <si>
    <t xml:space="preserve">1、连接AcuRev1320电表到Acuview2上，连接状态为connected。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6.1、观察上位机上当月累计sharp电能和新增sharp电能数据是否增加。其他费率电能没有变化。
备注: 压流角225°，产生EP_Exp 和Eq_Exp电能 </t>
  </si>
  <si>
    <t>5.1、TOU 所有配置均未生效，上位机上当月累计TOU电能和新增TOU电能数据均未发生变化。
6.1、TOU 所有配置均未生效，上位机上当月累计TOU电能和新增TOU电能数据均未发生变化。</t>
  </si>
  <si>
    <t>Function_AcuRev1320_013_04_case7</t>
  </si>
  <si>
    <t>Enable场景，第1年手动添加&amp;删除2个节日，配置TOU Schedules 中的任两个Schedule ID，update保存配置成功。</t>
  </si>
  <si>
    <t>1、连接AcuRev1320电表到Acuview2上，连接状态为connected。
2、上位机上手动添加第一年Holiday1(06-01)，关联Schedule1，Holiday2(07-02)，关联Schedule2
3、上位机上点击"Update"。
4、检查步骤2中的配置是否保存成功。
5、上位机上删除加第一年Holiday2、
6、上位机上点击"Update"。
7、检查步骤5中的配置是否保存成功。</t>
  </si>
  <si>
    <t>4、步骤2中的配置保存成功。
7、步骤5中的配置保存成功。</t>
  </si>
  <si>
    <t>Function_AcuRev1320_013_04_case8</t>
  </si>
  <si>
    <t>Enable场景，第1年手动添加删除30个节日(创建第31个失败)，配置TOU Schedules 中的对应的Schedule ID，update保存配置成功。</t>
  </si>
  <si>
    <t>1、连接AcuRev1320电表到Acuview2上，连接状态为connected。
2、上位机上手动添加第一年Holiday1~30，随机关联已存在Schedule。
2.1上位机上手动添加第一年Holiday31，是否添加失败，提示最大个数为30个Holiday。
3、上位机上点击"Update"。
4、检查步骤2中的配置是否保存成功。
5、上位机上删除加第一年Holiday1~30
6、上位机上点击"Update"。
7、检查步骤5中的配置是否保存成功。</t>
  </si>
  <si>
    <t>2.1上位机上手动添加第一年Holiday31，添加失败，提示最大个数为30个Holiday。
4、步骤2中的配置保存成功。
7、步骤5中的配置保存成功。</t>
  </si>
  <si>
    <t>Function_AcuRev1320_013_04_case9</t>
  </si>
  <si>
    <t>Enable场景，第1和第2年，设置相同年份，update保存设置失败。</t>
  </si>
  <si>
    <t>1、连接AcuRev1320电表到Acuview2上，连接状态为connected。
2、第1和第2年，设置相同年份
3、上位机上点击"Update"。
4、检查上位机上是否提示无效设置， 或设置更新失败。</t>
  </si>
  <si>
    <t>4、检查上位机上是否提示无效设置， 或设置更新失败。</t>
  </si>
  <si>
    <t>Function_AcuRev1320_013_04_case10</t>
  </si>
  <si>
    <t>Enable场景，第1和第2年，设置倒序年份，update保存设置成功。</t>
  </si>
  <si>
    <t>1、连接AcuRev1320电表到Acuview2上，连接状态为connected。
2、第1年设置2025， 第二年设置2024
3、上位机上点击"Update"。
4、检查配置是否保存成功。</t>
  </si>
  <si>
    <t>4、检查配置是Holiday年设置成功。</t>
  </si>
  <si>
    <t>Function_AcuRev1320_013_04_case11</t>
  </si>
  <si>
    <t>Enable场景，第1年手动添加1个节日，配置TOU Schedules 之外的Schedule ID，update保存配置失败。</t>
  </si>
  <si>
    <t>1、连接AcuRev1320电表到Acuview2上，连接状态为connected。
2、上位机上手动添加第1年设置2025，配置TOU Schedules 之外的Schedule。
3、上位机上点击"Update"。
4、检查配置是否保存成功。</t>
  </si>
  <si>
    <t>4、检查配置是Holiday年设置失败。</t>
  </si>
  <si>
    <t>Function_AcuRev1320_013_04_case12</t>
  </si>
  <si>
    <t>Enable场景，Season1(起始日期5月1号，00:00 sharp费率)，Season2(起始日期8月5号，00:00开始 peak费率), Ten years Holidays栏第1年手动添加一个节日2024.5月5号（Schedule2），则2024.5月份的费率新增peak费率电能。</t>
  </si>
  <si>
    <t>1、连接AcuRev1320电表到Acuview2上，连接状态为connected。
2、设置Season1(04-01)，关联Schedule1(00:00 Normal费率)
3、设置Season2(06-05)，关联Schedule2(00:00 sharp费率)
4、上位机上手动添加第一年Holiday1(2024 05-05)，关联Schedule2(00:00 sharp费率)
4.1、上位机上第二年无Holiday配置。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7、修改系统时间2024.05.06 08:00，接入接入电压220V，电流4A，等待5分钟
7.1、观察上位机上当月累计Normal电能和新增Normal电能数据是否增加。其他费率电能没有变化。
8、修改系统时间2025.05.05 08:00，接入接入电压220V，电流4A，等待5分钟
8.1、观察上位机上当月累计Normal电能和新增Normal电能数据是否增加。其他费率电能没有变化。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</si>
  <si>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
8.1、遵循Schedule1规则，上位机上当月累计Normal电能和新增Normal电能数据增加。其他费率电能没有变化。</t>
  </si>
  <si>
    <t>Function_AcuRev1320_013_04_case13</t>
  </si>
  <si>
    <t>Enable场景，Season1(起始日期5月1号，00:00 sharp费率)，Season2(起始日期8月5号，00:00开始 peak费率), Ten years Holidays栏第2年手动添加一个节日2024.6月5号（Schedule ID2），则2024.6月份的费率新增peak费率电能。</t>
  </si>
  <si>
    <t xml:space="preserve">1、连接AcuRev1320电表到Acuview2上，连接状态为connected。
2、设置Season1(04-01)，关联Schedule1(00:00 Normal费率)
3、设置Season2(06-10)，关联Schedule2(00:00 sharp费率)
4、上位机上手动添加第二年Holiday1(2024 06-05)，关联Schedule2(00:00 sharp费率)
4.1、上位机上第三年无Holiday配置。
5、修改系统时间2024.05.04 08:00，接入接入电压220V，电流4A，等待5分钟
5.1、观察上位机上当月累计Normal电能和新增Normal电能数据是否增加。其他费率电能没有变化。
6、修改系统时间2024.06.05 08:00，接入接入电压220V，电流4A，等待5分钟
6.1、观察上位机上当月累计sharp电能和新增sharp电能数据是否增加。其他费率电能没有变化。
7、修改系统时间2025.06.06 08:00，接入接入电压220V，电流4A，等待5分钟
7.1、观察上位机上当月累计Normal电能和新增Normal电能数据是否增加。其他费率电能没有变化。
备注: 压流角225°，产生EP_Exp 和Eq_Exp电能 </t>
  </si>
  <si>
    <t>5.1、遵循Schedule1规则，上位机上当月累计Normal电能和新增Normal电能数据增加。其他费率电能没有变化。
6.1、遵循Schedule2规则，上位机上当月累计sharp电能和新增sharp电能数据增加。其他费率电能没有变化。
7.1、遵循Schedule1规则，上位机上当月累计Normal电能和新增Normal电能数据增加。其他费率电能没有变化。</t>
  </si>
  <si>
    <t>Function_AcuRev1320_013_04_case14</t>
  </si>
  <si>
    <t>Enable场景，Season1(起始日期4月1号，00:00 Normal费率)，Season2(起始日期6月10号，00:00开始 sharp费率), Schedule ID3(起始日期10月5号，00:00开始 Valley费率), Ten years Holidays栏第10年手动添加两个节日2034.6月5号（Schedule ID2）和2034.6月6号(Schedule ID3)</t>
  </si>
  <si>
    <t>1、连接AcuRev1320电表到Acuview2上，连接状态为connected。
2、设置Season1(04-01)，关联Schedule1(00:00 Normal费率)
3、设置Season2(06-10)，关联Schedule2(00:00 sharp费率)
4、上位机上手动添加第10年
Holiday1(2034 06-05)，关联Schedule2(00:00 sharp费率)，
Holiday2(2034 06-05)，关联Schedule3(00:00 Valley费率)
5.查看上位机能否设置成功
6.修改Holiday2(2034 06-06)，关联Schedule3(00:00 Valley费率)
7.设置电表时钟为2034-06-04 23：55接入电压电流走字，查看电表当前月新增tou电量是否在Normal费率中记录
8.等待5Min后查看表计当前月新增tou电量是否在sharp费率中记录
9.修改时钟到2034-06-05 23：55，查看5min后表计表当前月新增tou电量是否在Valley费率中记录</t>
  </si>
  <si>
    <t>5.设置失败
7.设置电表时钟为2034-06-04 23：55接入电压电流走字，查看电表当前月新增tou电量在Normal费率中记录
8.等待5Min后查看表计当前月新增tou电量在sharp费率中记录
9.修改时钟到2034-06-05 23：55，查看5min后表计表当前月新增tou电量在Valley费率中记录</t>
  </si>
  <si>
    <t>Function_AcuRev1320_013_04_case15</t>
  </si>
  <si>
    <t>当EndYear减去StartYear 等于9，上位机上设置EndYear和StartYear，update保存设置成功</t>
  </si>
  <si>
    <t>1、连接AcuRev1320电表到Acuview2上，连接状态为connected。
2、上位机上设置EndYear、StartYear， EndYear减去StartYear 等于9
3、上位机上点击"Update"。
4、检查配置是否保存成功。</t>
  </si>
  <si>
    <t>4、配置保存成功。</t>
  </si>
  <si>
    <t>Function_AcuRev1320_013_04_case16</t>
  </si>
  <si>
    <t>当EndYear减去StartYear 等于10，上位机上设置EndYear和StartYear，update保存设置失败</t>
  </si>
  <si>
    <t>1、连接AcuRev1320电表到Acuview2上，连接状态为connected。
2、上位机上设置EndYear、StartYear， EndYear减去StartYear 等于10
3、上位机上点击"Update"。
4、检查配置是否保存成功。</t>
  </si>
  <si>
    <t>4、配置保存失败。</t>
  </si>
  <si>
    <t>Function_AcuRev1320_013_04_case17</t>
  </si>
  <si>
    <t>Enable场景，使用“Generate Holidays”给10年每年添加1个节日，配置TOU Schedules 中任一Schedule ID， update保存配置成功。</t>
  </si>
  <si>
    <t>1、连接AcuRev1320电表到Acuview2上，连接状态为connected。
2、上位机上使用“Generate Holidays”给10年每年添加1个节日
3、上位机上点击"Update"。
4、检查是否每年1个Holiday配置且保存成功。</t>
  </si>
  <si>
    <t>4、每年1个Holiday配置且保存成功。</t>
  </si>
  <si>
    <t>Function_AcuRev1320_013_04_case18</t>
  </si>
  <si>
    <t>Enable场景，使用“Generate Holidays”给10年每年添加30个节日(创建第31个失败)，配置TOU Schedules 中的对应的Schedule ID，update保存配置成功。</t>
  </si>
  <si>
    <t>1、连接AcuRev1320电表到Acuview2上，连接状态为connected。
2、上位机上使用“Generate Holidays”给10年每年添加30个节日
2.1 上位机上使用“Generate Holidays”给10年每年添加31个节日， 是否添加失败。
3、上位机上点击"Update"。
4、检查是否每年30个Holiday配置且保存成功。</t>
  </si>
  <si>
    <t>2.1 上位机上使用“Generate Holidays”给10年每年添加31个节日，添加失败。
4、每年30个Holiday配置且保存成功。</t>
  </si>
  <si>
    <t>Function_AcuRev1320_013_04_case19</t>
  </si>
  <si>
    <t>Enable场景，使用“Generate Holidays”给10年每年添加,7个节日，“Holiday codeexplanation”依次配置0~6，配置TOU Schedules 中的任一Schedule ID， update保存配置成功， 且日期设置满足0~6的解释设定。</t>
  </si>
  <si>
    <t>1、连接AcuRev1320电表到Acuview2上，连接状态为connected。
2、上位机上使用“Generate Holidays”给10年每年添加7个节日， “Holiday codeexplanation”依次配置0~6
3、上位机上点击"Update"。
4、检查是否每年7个Holiday配置且保存成功。
5、检查设定节日日期设置满足0~6的解释设定。</t>
  </si>
  <si>
    <t>4、每年7个Holiday配置且保存成功。
5、设定节日日期设置满足0~6的解释设定。</t>
  </si>
  <si>
    <t>Function_AcuRev1320_013_04_case20</t>
  </si>
  <si>
    <t>Enable场景，使用“Generate Holidays”给10年每年添加1个节日Holiday1【05-05，Schedule2(Segment：00:00 sharp)】， 则第一年节节日当月新增和累计电能费率上报正常。</t>
  </si>
  <si>
    <t>1、连接AcuRev1320电表到Acuview2上，连接状态为connected。
2、设置Season1(04-01)，关联Schedule1(00:00 Normal费率)
4、上位机上使用“Generate Holidays”给10年每年添加1个节日Holiday1【05-05，Schedule2(Segment：00:00 sharp)】
5、修改系统时间2024.05.04 08:00，接入接入电压220V，电流4A，等待5分钟。 
5.1、观察上位机上当月累计Normal电能和新增Normal电能数据是否增加。其他费率电能没有变化。
6、修改系统时间2024.05.04 23:55后掉电，掉电到2024-05-05 00：01再上电接入电压220V，电流4A，等待5分钟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</si>
  <si>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6.1、遵循Schedule2规则，上位机上当月累计sharp电能和新增sharp电能数据增加。其他费率电能没有变化。
9.1、遵循Schedule3规则，上位机上当月累计peak电能和新增peak电能数据增加。其他费率电能没有变化。</t>
  </si>
  <si>
    <t>Function_AcuRev1320_013_04_case21</t>
  </si>
  <si>
    <t>Enable场景，使用“Generate Holidays”给10年每年添加3个节日Holiday1【05-05，Schedule2(Segment：00:00 sharp)】，【Holiday2(07-01，Schedule2（00:00 Valley)】，【Holiday3(08-05，Schedule2（00:00 peak)】, 则第一年节日当月新增和累计电能费率上报正常。</t>
  </si>
  <si>
    <t xml:space="preserve">1、连接AcuRev1320电表到Acuview2上，连接状态为connected。
2、设置Season1(04-01)，关联Schedule1(00:00 Normal费率)
4、上位机上使用“Generate Holidays”给10年每年添加3个节日Holiday1【05-05，Schedule2(Segment：00:00 sharp)】，【Holiday2(07-01，Schedule2（00:00 Valley)】，【Holiday3(08-05，Schedule2（00:00 peak)】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7、修改系统时间2024.07.01 08:00，接入接入电压220V，电流4A，等待5分钟
7.1、观察上位机上当月累计Valley电能和新增Valley电能数据是否增加。其他费率电能没有变化。
8、修改系统时间2024.08.05 08:00，接入接入电压220V，电流4A，等待5分钟
8.1、观察上位机上当月累计peak电能和新增peak电能数据是否增加。其他费率电能没有变化。
9、修改系统时间2024.09.5 08:00，接入接入电压220V，电流4A，等待5分钟
9.1、观察上位机上当月累计Normal电能和新增Normal电能数据是否增加。其他费率电能没有变化。
备注: 压流角225°，产生EP_Exp 和Eq_Exp电能 </t>
  </si>
  <si>
    <t>5.1、遵循Schedule1规则，上位机上当月累计Normal电能和新增Normal电能数据增加。其他费率电能没有变化。
6.1、遵循Schedule2规则，上位机上当月累计sharp电能和新增sharp电能数据增加。其他费率电能没有变化。
7.1、遵循Schedule3规则，上位机上当月累计Valley电能和新增Valley电能数据增加。其他费率电能没有变化。
8.1、遵循Schedule3规则，上位机上当月累计Normal电能和新增Normal电能数据增加。其他费率电能没有变化。
9.1、遵循Schedule3规则，上位机上当月累计peak电能和新增peak电能数据增加。其他费率电能没有变化。</t>
  </si>
  <si>
    <t>Function_AcuRev1320_013_04_case22</t>
  </si>
  <si>
    <t>相同时间，节日TOU的配置优先级高于周末，周末用TOU配置优先级高于普通TOU Season。</t>
  </si>
  <si>
    <t>1、连接AcuRev1320电表到Acuview2上，连接状态为connected。
2、设置Season1(04-01)，关联Schedule1(00:00 Normal费率)
4、上位机上手动添加1个节日Holiday1【05-08，Schedule2(Segment：00:00 sharp)】
4.1 上位机设置TOU Weekends：Weekend Selection为Mon~Friday，Weekend Schedule为1。
5、修改系统时间2024.05.04 08:00，接入接入电压220V，电流4A，等待5分钟
5.1、观察上位机上当月累计Normal电能和新增Normal电能数据是否增加。其他费率电能没有变化。
6、修改系统时间2024.05.08 08:00，接入接入电压220V，电流4A，等待5分钟
6.1、观察上位机上当月累计sharp电能和新增sharp电能数据是否增加。其他费率电能没有变化。</t>
  </si>
  <si>
    <t xml:space="preserve">5.1、遵循Schedule1规则，上位机上当月累计Normal电能和新增Normal电能数据增加。其他费率电能没有变化。
6.1、Holiday配置优先级最高，遵循Schedule2规则，上位机上当月累计sharp电能和新增sharp电能数据增加。其他费率电能没有变化。
</t>
  </si>
  <si>
    <t>TOU 每月计费时间验证</t>
  </si>
  <si>
    <t>Function_AcuRev1320_013_04_case23</t>
  </si>
  <si>
    <t>Monthly Billing Mode设置为"10日 00：00" ，修改系统时间为下个月9号23:58分， 上位机TOU reading界面在每月10号00:00更新上个月累计Valley电能和新增Valley电能数据</t>
  </si>
  <si>
    <t>1、连接AcuRev1320电表到Acuview2上，连接状态为connected。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13、观察上位机上当月(7月份)新增Valley电能数为0
14、观察上位机上前一个月(6月份)累计Valley电能为5月份累计的Valley电能加上6月份累计电能之和(P_import _累计约0.1466KWH)，前一个月(6月份)新增Valley电能没有改变(P_import _累计约0.0733KWH)</t>
  </si>
  <si>
    <t>6、上位机上当月累计Valley电能和新增Valley电能数据增加(P_import _累计 约0.0733KWH)。其他费率电能没有变化。
8、上位机上当月(6月份)新增Valley电能数全部为0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13、上位机上当月(7月份)新增Valley电能数为0
14、观察上位机上前一个月(6月份)累计Valley电能为5月份累计的Valley电能加上6月份累计电能之和(P_import _累计约0.1466KWH)，前一个月(6月份)新增Valley电能没有改变(P_import _累计约0.0733KWH)</t>
  </si>
  <si>
    <t>Function_AcuRev1320_013_05_case1</t>
  </si>
  <si>
    <t>Monthly Billing Mode设置为"End Of Month" ，查看掉电过结算点，重新上电需要补一条结算</t>
  </si>
  <si>
    <t xml:space="preserve">2、设置成功
3、设置成功
5、读表计各个tou电量寄存器数据如下：
当前月累计tou电量 a
上一月累计tou电量 b
当前月新增tou电量 c
上一月新增tou电量 d
7、掉电结算后读表计各个tou电量寄存器数据如下：
当前月累计tou电量  a+c   a
上一月累计tou电量  a    b+c
当前月新增tou电量  0    没加源当月c变为0
上一月新增tou电量  d+a   c
</t>
  </si>
  <si>
    <t>Function_AcuRev1320_013_05_case2</t>
  </si>
  <si>
    <t>Monthly Billing Mode设置为"End Of Month" ，查看掉电过结算点，重新上电需要补一条结算，掉电15天后后上电（2025-02-04 00：10：00），查看表计各个tou电量寄存器数据</t>
  </si>
  <si>
    <t>1、连接AcuRev1320电表到Acuview2上，连接状态为connected。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01：00，持续走电量20min后去掉电量
5、去掉电流，读表计各个tou电量寄存器数据
6、修改时钟到2025-01-20 13：58：00后掉电
7、掉电15天后后上电（2025-02-04 00：10：00），查看表计各个tou电量寄存器数据</t>
  </si>
  <si>
    <t xml:space="preserve">2、设置成功
3、设置成功
5、读表计各个tou电量寄存器数据如下：
当前月累计tou电量 a
上一月累计tou电量 b
当前月新增tou电量 c
上一月新增tou电量 d
7、掉电结算后读表计各个tou电量寄存器数据如下：
当前月累计tou电量  a+c
上一月累计tou电量  a
当前月新增tou电量  0
上一月新增tou电量  d+a
</t>
  </si>
  <si>
    <t>Function_AcuRev1320_013_05_case3</t>
  </si>
  <si>
    <t>Monthly Billing Mode设置为"Assign" ，At time设置为“01 00:00:00”， 系统加载输入源5分钟，修改系统时间下个月01号23:58分，上位机TOU reading界面在每月1号00:00更新上个月累计电能和新增电能数据</t>
  </si>
  <si>
    <t>1、连接AcuRev1320电表到Acuview2上，连接状态为connected。
2、Monthly Billing Mode 设置为 "Assign"，At time设置为“01 00:00:00"
3、设置TOU Season1(04-02), 关联Schedule1(Segment 08:00 Valley)
4、清除TOU Weekends 日期配置 和 TOU Holiday 日期配置， 清除系统上电能数据。
5、修改系统时间2024-05-31 23:50，接入接入电压220V，电流4A，等待5分钟， 断开输入源
6、观察上位机上当月累计Valley电能和新增Valley电能数据是否增加。其他费率电能没有变化。
7、修改系统时间2024-05-31 23:59 等待1分钟
8、观察上位机上当月(6月份)新增Valley电能数为0,累计当月累计Valley电能为多少
9、观察上位机上前一个月(5月份)累计Valley电能和新增Valley电能数为5月份新增和累计的电能(P_import 约0.0733KWH)</t>
  </si>
  <si>
    <t xml:space="preserve">6、上位机上当月累计Valley电能和新增Valley电能数据增加(P_import _累计 约0.0733KWH)。其他费率电能没有变化。
8、上位机上当月(6月份)新增Valley电能数为0，累计当月累计Valley电能为约0.0733KWH
9、上位机上前一个月(5月份)累计Valley电能和新增Valley电能数为5月份新增和累计的电能(P_import 约0.0733KWH)
</t>
  </si>
  <si>
    <t>Function_AcuRev1320_013_05_case4</t>
  </si>
  <si>
    <t>Monthly Billing Mode设置为"Assign" ，At time设置为“25 00:00:00” ，系统加载输入源5分钟，修改系统时间下个月25号23:58分，上位机TOU reading界面在每月25号00:00更新上个月累计电能和新增电能数据</t>
  </si>
  <si>
    <t>1、连接AcuRev1320电表到Acuview2上，连接状态为connected。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7、修改系统时间2024-05-24 23:55， 等待5分钟
8、观察上位机上当月(5月份)新增Peak电能数为0，累计Peak电能为多少；上月(5月份)新增Peak电能数为0.0733
10、接入接入电压220V，电流4A，等待5分钟，断开输入源
11、观察上位机上当月累计Peak电能和新增Peak电能数据是否增加((P_import 约0.0733KWH)。其他费率电能没有变化。
12、修改系统时间2024-06-24 23:55， 等待5分钟
13、观察上位机上当月(6月份)新增Peak电能数为0
14、观察上位机上前一个月(5月份)累计Peak电能为4月份累计的Peak电能加上5月份累计电能之和(P_import _累计约0.1466KWH)，前一个月(5月份)新增Peak电能没有改变(P_import _累计约0.0733KWH)</t>
  </si>
  <si>
    <t>6、上位机上当月累计Peak电能和新增Peak电能数据增加(P_import _累计 约0.0733KWH)。其他费率电能没有变化。
8.观察上位机上当月新增Peak电能数为0，累计Peak电能为0.0733KWH,上一月累计peak电能和是0.0733KWH，上一月新增peak电能是0.0733KWH
11、观察上位机上当月累计Peak电能和新增Peak电能数据均增加((P_import 约0.0733KWH)。其他费率电能没有变化。
13.观察上位机上当月新增Peak电能数为0，累计Peak电能为0.1466KWH,上一月累计peak电能和是0.1466KWH，上一月新增peak电能是0.0733KWH</t>
  </si>
  <si>
    <t>Function_AcuRev1320_013_05_case5</t>
  </si>
  <si>
    <t>Monthly Billing Mode设置为"Assign" ，At time设置为“31 00:00:00” ，系统加载输入源5分钟，修改系统时间下个月31号23:58分(31号存在)，上位机TOU reading界面在每月31号00:00更新上个月累计电能和新增电能数据</t>
  </si>
  <si>
    <t>1、连接AcuRev1320电表到Acuview2上，连接状态为connected。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5、修改系统时间2024-05-31 00:00，接入接入电压220V，电流4A，等待5分钟， 断开输入源
6、观察上位机上当月累计Sharp电能和新增Sharp电能数据是否增加。其他费率电能没有变化。
7、修改系统时间2024-05-31 23:55， 等待5分钟
8、观察上位机上当月(5月份)新增Sharp电能数是否为0，累计Sharp电能和是多少
9.观察上位机上一月累计Sharp电能和是多少，上一月新增Sharp电能是多少</t>
  </si>
  <si>
    <t>6、上位机上当月累计Sharp电能和新增Sharp电能数据增加(P_import _累计 约0.0733KWH)。其他费率电能没有变化。
8、上位机上当月(5月份)累计Sharp电能为0.0733kWh   ，新增Sharp电能数为0
9、观察上位机上一月累计Sharp电能和是0.0733kWh，上一月新增Sharp电能是0.0733kWh</t>
  </si>
  <si>
    <t>Function_AcuRev1320_013_05_case6</t>
  </si>
  <si>
    <t>Monthly Billing Mode设置为"Assign" ，At time设置为“31 00:00:00” ，系统加载输入源5分钟，修改系统时间下个月31号23:58分(31号不存在)，上位机TOU reading界面不会再30号00:00更新上个月累计电能和新增电能数据</t>
  </si>
  <si>
    <t>1、连接AcuRev1320电表到Acuview2上，连接状态为connected。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 2024-06-03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</si>
  <si>
    <t xml:space="preserve">6、上位机上当月累计Sharp电能和新增Sharp电能数据增加(P_import _累计 约0.0733KWH)。其他费率电能没有变化。
8、上位机上当月累计Sharp电能和新增Sharp电能数全部为(P_import 约0.0733KWH)
9、上位机上前一个月累计Sharp电能和新增Sharp电能数没有变化全为0
</t>
  </si>
  <si>
    <t>Function_AcuRev1320_013_05_case7</t>
  </si>
  <si>
    <t>Monthly Billing Mode设置为"Assign" ，At time设置为“31 00:00:00” ，系统加载输入源5分钟，修改系统时间下个月29号23:58分(29号不存在)，上位机TOU reading界面在28号(非闰年2月份)00:00不会更新上个月累计电能和新增电能数</t>
  </si>
  <si>
    <t>1、连接AcuRev1320电表到Acuview2上，连接状态为connected。
2、Monthly Billing Mode 设置为 "Assign"，At time设置为“29 00:00:00"
3、设置TOU Season1(04-02), 关联Schedule1(Segment 08:00 Sharp)
4、清除TOU Weekends 日期配置 和 TOU Holiday 日期配置， 清除系统上电能数据。
5、修改系统时间2025-01-30 00:00 2025-02-3 00:00，接入接入电压220V，电流4A，等待5分钟， 断开输入源
6、观察上位机上当月累计Sharp电能和新增Sharp电能数据是否增加。其他费率电能没有变化。
7、修改系统时间2025-02-28 23:55， 等待5分钟
8、观察上位机上当月累计Sharp电能和新增Sharp电能数是否没有变化
9、观察上位机上前一个月累计Sharp电能和新增Sharp电能数是否没有变化。</t>
  </si>
  <si>
    <t>Function_AcuRev1320_013_05_case8</t>
  </si>
  <si>
    <t>tou优先级测试</t>
  </si>
  <si>
    <t>2、设置成功
3、设置成功
4、设置成功
5、设置成功
6、设置成
7、修改时钟成功，tou电能量在valley费率下累加
8、修改时钟成功，tou电能量在peak费率下累加
9、由步骤7可得出优先级最高的为节假日，由步骤8得知优先级最低的的season，且special weekday优先级高于weekday，故整个优先级排序为节假日&gt;special weekday&gt;weekday&gt;season
备注：ten tou holiday目前做法还需确认，优先级待添加</t>
  </si>
  <si>
    <t>Function_AcuRev1320_013_05_case9</t>
  </si>
  <si>
    <t>tou与夏令时进入及退出相结合测试</t>
  </si>
  <si>
    <t>1、连接AcuRev1320电表到Acuview2上，连接状态为connected。
2、Monthly Billing Mode 设置为 ""End Of Month""
3、设置TOU Season1(04-01), 关联Schedule1(Segment 00:00 sharp)，
TOU Season1(10-01), 关联Schedule2(Segment 00:00 normal)；
4、设置夏令时进入时间为04-01，00：00，adjust time：60min;退出时间为10-01，00：00，adjust time：60min;
5.清除tou电量
6.修改电脑时间为2025-03-31 23：55：00，给表施加220V,10A进行走字，查看此时表计是否在normal下正常累加电量
7.持续走字5min后，检查表计时钟，检查表计tou电量当前在哪个费率下走字
8.修改电脑时间为2025-09-30 23：55：00，继续给表施加220V,10A进行走字，查看此时表计是否在sharp下正常累加电量
9.持续走字5min后，检查表计时钟，检查表计tou电量是否被清零，当前在哪个费率下走字，1h后检查表计tou电量是否被清零，当前在哪个费率下走字.</t>
  </si>
  <si>
    <t>5.电量被清掉
6.此时表计在normal下正常累加电量
7.持续走字5min后，表计时钟为2025-04-01 00：00，表计tou电量当前在sharp下走字
8.此时表计在sharp下正常累加电量
9.持续走字5min后，表计时钟2025-09-30 23:00:00，表计tou电量不被清零，当前在sharp下走字，1h后表计tou电量被清零，当前在normal下走字.</t>
  </si>
  <si>
    <t>tou Max Demand</t>
  </si>
  <si>
    <t>Function_AcuRev1320_013_06_case1</t>
  </si>
  <si>
    <t>查看当前月tou</t>
  </si>
  <si>
    <t>Function_AcuRev1320_013_06_case2</t>
  </si>
  <si>
    <t xml:space="preserve">查看电表发生结算后，上一月tou Max Demand及当前月tou Max Demand，Monthly Billing Mode设置为"End Of Month" </t>
  </si>
  <si>
    <t>6、查看5min后，当前月tou Max Demand为0
7、查看上一月tou Max Demand与5中记录的Max Demand数据一致</t>
  </si>
  <si>
    <t>Function_AcuRev1320_013_06_case3</t>
  </si>
  <si>
    <t>电能质量事件</t>
  </si>
  <si>
    <t>电能质量事件记录验证</t>
  </si>
  <si>
    <t>Function_AcuRev1320_014_01_case1</t>
  </si>
  <si>
    <t>最多200个电能质量事件记录，先进先出</t>
  </si>
  <si>
    <t>1、连接AcuRev1320电表到Acuview2上，连接状态为connected。
2、使用电能质量测试仪构造条件触发电能质量事件，并记录触发的顺序
3、观察是Event log是否最大值200，超过200条后，满足先进先出存储规则。</t>
  </si>
  <si>
    <t>3、Event log最大值200，超过200条后，满足先进先出存储规则。</t>
  </si>
  <si>
    <t>Function_AcuRev1320_014_01_case2</t>
  </si>
  <si>
    <t>事件保存功能</t>
  </si>
  <si>
    <t>1、连接AcuRev1320电表到Acuview2上，连接状态为connected。
2、使用电能质量测试仪构造条件触发电能质量事件多条
3.点击save to file保存数据
4.比对保存的数据与页面展示数据是否一致</t>
  </si>
  <si>
    <t>3.保存成功
4.保存数据与页面数据一致</t>
  </si>
  <si>
    <t>Function_AcuRev1320_014_01_case3</t>
  </si>
  <si>
    <t>event log数据读取范围</t>
  </si>
  <si>
    <t>1、连接AcuRev1320电表到Acuview2上，连接状态为connected。
2、使用电能质量测试仪构造条件触发电能质量事件多条并记录
3.上位机选择读最近20条数据
4.查看数据是否准确
5.上位机选择读最近60条数据
6.查看数据是否准确
7上位机选择读200条数据
8.查看数据是否准确</t>
  </si>
  <si>
    <t>4.数据准确
6.数据准确
8.数据准确</t>
  </si>
  <si>
    <t>Function_AcuRev1320_014_01_case4</t>
  </si>
  <si>
    <t>HMI上读event log数据</t>
  </si>
  <si>
    <t>1、连接AcuRev1320电表到Acuview2上，连接状态为connected。
2、使用电能质量测试仪构造条件触发电能质量事件多条
3.上位机读所产生的所有数据
4.HMI点击logs查看event log数据
5.比对上位机与电表HMI中event log条数与内容是否一致</t>
  </si>
  <si>
    <t>3.上位机读产生的数据成功
5.上位机与电表HMI中event log条数与内容一致</t>
  </si>
  <si>
    <t>Function_AcuRev1320_014_01_case5</t>
  </si>
  <si>
    <t>event log数据清除功能</t>
  </si>
  <si>
    <t>1、连接AcuRev1320电表到Acuview2上，连接状态为connected。
2、使用电能质量测试仪构造条件触发电能质量事件多条并记录
3.上位机、HMI点击清除event log
4.读记录的事件条数及内容是否均被清掉</t>
  </si>
  <si>
    <t>3.清除成功
4.记录的事件条数及内容均被清掉</t>
  </si>
  <si>
    <t>Function_AcuRev1320_014_01_case6</t>
  </si>
  <si>
    <t>event log参数修改功能</t>
  </si>
  <si>
    <t>1、连接AcuRev1320电表到Acuview2上，连接状态为connected。
2、修改电压骤降、骤升、中断、电流骤升、录波等参数
3.修改后查看是否能立即生效</t>
  </si>
  <si>
    <t>3.所有参数修改后应该能立即生效</t>
  </si>
  <si>
    <t>Function_AcuRev1320_014_01_case7</t>
  </si>
  <si>
    <t>产生多条pq event log与waveform log，event log 与 Waveform有关电压骤降的事件一致</t>
  </si>
  <si>
    <t>1.设置录波采样类型"Waveform Sampling Type" 设置32 points
2.设置事件前波形个数(Number of recorded waves before the event occurred)为10与事件后的波形个数(Number of recorded waves after the event occurred)为10
3.配置阈值和抖动参数(阈值：50%，抖动：5%), 额定电压设置230V，使用电能质量仪触发电压骤降(Voltage Sag), U小于(10%-10%)*230，
4.打开电压骤降录波功能，多次进行电压骤降及骤降结束，查看event log 与 Waveform log有关电压骤降的事件</t>
  </si>
  <si>
    <t xml:space="preserve">4.查看event log 与 Waveform log有关电压骤降的事件一致
</t>
  </si>
  <si>
    <t>Function_AcuRev1320_014_01_case8</t>
  </si>
  <si>
    <t>电压骤降(Voltage Sag)，配置阈值和抖动参数(阈值：10%，抖动：1%)，触发&amp;结束事件成功，记录事件成功(时间戳，持续时间，事件类型，用户通道各相的最大值，最小值)。</t>
  </si>
  <si>
    <t>1、连接AcuRev1320电表到Acuview2上，连接状态为connected。
2、配置阈值和抖动参数(阈值：10%，抖动：1%), 额定电压设置230V
3、使用电能质量仪触发电压骤降(Voltage Sag), U小于(10%-1%)*230V
4、检查上位机上是否会出现电压骤降(Voltage Sag)的Event log。
5、使用电能质量仪触发电压骤降(Voltage Sag), U大于(10%+1%)*230V
6、检查上位机上是否会出现电压骤降(Voltage Sag)的结束的Event log。</t>
  </si>
  <si>
    <t>4、上位机上会出现电压骤降(Voltage Sag)的Event log。
6、上位机上会出现电压骤降(Voltage Sag)的结束的Event log。</t>
  </si>
  <si>
    <t>Function_AcuRev1320_014_01_case9</t>
  </si>
  <si>
    <t>电压骤降(Voltage Sag)，配置阈值和抖动参数(阈值：90%，抖动：10%)，触发&amp;结束事件成功，记录事件成功(时间戳，持续时间，事件类型，用户通道各相的最大值，最小值)。</t>
  </si>
  <si>
    <t>1、连接AcuRev1320电表到Acuview2上，连接状态为connected。
2、配置阈值和抖动参数(阈值：90%，抖动：10%), 额定电压设置230V
3、使用电能质量仪触发电压骤降(Voltage Sag), U小于(90%-10%)*230V
4、检查上位机上是否会出现电压骤降(Voltage Sag)的Event log。
5、使用电能质量仪触发电压骤降(Voltage Sag), U大于(90%+10%)*230V
6、检查上位机上是否会出现电压骤降(Voltage Sag)的结束的Event log。</t>
  </si>
  <si>
    <t>Function_AcuRev1320_014_01_case10</t>
  </si>
  <si>
    <t>电压骤降(Voltage Sag)，配置阈值和抖动参数(阈值：50%，抖动：10%)，触发&amp;结束事件成功，记录事件成功(时间戳，持续时间，事件类型，用户通道各相的最大值，最小值)。</t>
  </si>
  <si>
    <t>1、连接AcuRev1320电表到Acuview2上，连接状态为connected。
2、配置阈值和抖动参数(阈值：50%，抖动：10%), 额定电压设置230V
3、使用电能质量仪触发电压骤降(Voltage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</si>
  <si>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Function_AcuRev1320_014_01_case11</t>
  </si>
  <si>
    <t>电压骤降(Voltage Sag)，配置阈值和抖动参数(阈值：50%，抖动：10%)，三相电压中某一相满足条件触发&amp;三相电压满足恢复结束事件成功，记录事件成功(时间戳，持续时间，事件类型，用户通道各相的最大值，最小值)。</t>
  </si>
  <si>
    <t>4、上位机上会出现A相电压骤降(Voltage Sag)的Event log。
6、上位机上会出现电压骤降(Voltage Sag)的结束的Event log。</t>
  </si>
  <si>
    <t>Function_AcuRev1320_014_01_case12</t>
  </si>
  <si>
    <t>4、上位机上会出现B相电压骤降(Voltage Sag)的Event log。
6、上位机上会出现电压骤降(Voltage Sag)的结束的Event log。</t>
  </si>
  <si>
    <t>Function_AcuRev1320_014_01_case13</t>
  </si>
  <si>
    <t>4、上位机上会出现C相电压骤降(Voltage Sag)的Event log。
6、上位机上会出现电压骤降(Voltage Sag)的结束的Event log。</t>
  </si>
  <si>
    <t>Function_AcuRev1320_014_01_case14</t>
  </si>
  <si>
    <t>电压骤降(Voltage Sag)，配置阈值和抖动参数(阈值：50%，抖动：10%)，三相电压中某一相满足条件触发&amp;其中一相或两电压满足恢复结束事件成功，记录事件成功(时间戳，持续时间，事件类型，用户通道各相的最大值，最小值)。</t>
  </si>
  <si>
    <t>4、上位机上会出现电压骤降(Voltage Sag)的Event log。
6、上位机上不会出现电压骤降(Voltage Sag)的结束的Event log。
7.上位机上会出现电压骤降(Voltage Sag)的Event log。
10、上位机上不会出现电压骤降(Voltage Sag)的结束的Event log。</t>
  </si>
  <si>
    <t>Function_AcuRev1320_014_01_case15</t>
  </si>
  <si>
    <t>电压骤降设置如下：阈值50%，抖动10%，normal voltage：230；将台体电压设置到90V,电压骤降发生，之后将表计电压降为0V，一段时间后将电压升高到200V，结束电压骤降事件</t>
  </si>
  <si>
    <t>1、连接AcuRev1320电表到Acuview2上，连接状态为connected。
2、配置阈值和抖动参数(阈值：50%，抖动：10%), 额定电压设置230V
3、使用电能质量仪触发三相电压骤降(Voltage Sag), U小于(50%-10%)*230V，90V
4、检查上位机上是否会出现电压骤降(Voltage Sag)的Event log。
5.将表计电压降为0V，一段时间后将电压升高到200V
6、检查上位机上是否会出现电压骤降(Voltage Sag)的结束的Event log。
7.检查结束事件中事件持续时间与理论值（事件结束时间戳-事件开始时间戳）是否相等</t>
  </si>
  <si>
    <t>4.表计触发电压骤降，并记录电压骤降开始事件
6.表计触发电压骤降结束，并记录电压骤降结束事件
7.结束事件中事件持续时间与理论值（事件结束时间戳-事件开始时间戳）应该相等</t>
  </si>
  <si>
    <t>Function_AcuRev1320_014_01_case16</t>
  </si>
  <si>
    <t>电压骤降(Voltage Sag)，配置范围外阈值和抖动参数失败。范围外阈值：0%、5%、9%、91%、100%,范围外抖动值：0%、0.5%、11%、50%</t>
  </si>
  <si>
    <t>1、连接AcuRev1320电表到Acuview2上，连接状态为connected。
2、配置电压骤降(Voltage Sag)阈值参数分别为0%、5%、9%、91%、100%, 额定电压设置400V
3、检查上位机是否可以配置并保存成功
5、配置电压骤降(Voltage Sag)抖动参数分别为0%、11%、20%、91%、100%
6、检查上位机是否可以配置并保存成功</t>
  </si>
  <si>
    <t>3、上位机配置并保存失败
6、上位机配置并保存失败</t>
  </si>
  <si>
    <t>Function_AcuRev1320_014_01_case17</t>
  </si>
  <si>
    <t>电压骤升(Voltage Swell)，配置阈值和抖动参数(阈值：150%，抖动：10%)，触发&amp;结束事件成功，记录事件成功(时间戳，持续时间，事件类型，用户通道各相的最大值，最小值)。</t>
  </si>
  <si>
    <t>1、连接AcuRev1320电表到Acuview2上，连接状态为connected。
2、配置阈值和抖动参数(阈值：150%，抖动：10%), 额定电压设置69V
3、使用电能质量仪触发电压骤升(Voltage Swell), U大于(150%+10%)*69
4、检查上位机上是否会出现电压骤升(Voltage Swell)的Event log。
5、使用电能质量仪触发电压骤升(Voltage Swell), U小于(150%-10%)*69
6、检查上位机上是否会出现电压骤升(Voltage Swell)的结束的Event log。</t>
  </si>
  <si>
    <t>4、上位机上会出现电压骤升(Voltage Swell)的Event log。
6、上位机上会出现电压骤升(Voltage Swell)的结束的Event log。</t>
  </si>
  <si>
    <t>Function_AcuRev1320_014_01_case18</t>
  </si>
  <si>
    <t>电压骤升(Voltage Swell)，配置阈值和抖动参数(阈值：110%，抖动：10%)，触发&amp;结束事件成功，记录事件成功(时间戳，持续时间，事件类型，用户通道各相的最大值，最小值)。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</si>
  <si>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额定电压设置69V
3、使用电能质量仪触发电压骤升(Voltage Swell), U大于(110%+10%)*69
4、检查上位机上是否会出现电压骤升(Voltage Swell)的Event log。
5、使用电能质量仪触发电压骤升(Voltage Swell), U小于(110%-10%)*69
6、检查上位机上是否会出现电压骤升(Voltage Swell)的结束的Event log。</t>
  </si>
  <si>
    <t>Function_AcuRev1320_014_01_case19</t>
  </si>
  <si>
    <t>电压骤升(Voltage Swell)，配置阈值和抖动参数(阈值：110%，抖动：10%)，三相电压中某一相满足条件触发&amp;三相电压满足恢复结束事件成功，记录事件成功(时间戳，持续时间，事件类型，用户通道各相的最大值，最小值)。</t>
  </si>
  <si>
    <t>Function_AcuRev1320_014_01_case20</t>
  </si>
  <si>
    <t>Function_AcuRev1320_014_01_case21</t>
  </si>
  <si>
    <t>Function_AcuRev1320_014_01_case22</t>
  </si>
  <si>
    <t>1、连接AcuRev1320电表到Acuview2上，连接状态为connected。
2、配置阈值和抖动参数(阈值：110%，抖动：10%), 额定电压设置69
3、使用电能质量仪触发ABC相电压骤升(Voltage Swell), U大于(110%+10%)*69
4、检查上位机上是否会出现电压骤升(Voltage Swell)的Event log。
5、使用电能质量仪触发B相电压骤升结束(Voltage Swell), U小于(110%-10%)*69
6、检查上位机上是否会出现电压骤升(Voltage Swell）的结束的Event log。
7、使用电能质量仪触发ABC相电压骤升(Voltage Swell), U大于(110%-10%)*69
8、检查上位机上是否会出现电压骤升(Voltage Swell)的Event log。
9、使用电能质量仪触发B、C相电压骤升(Voltage Swell),  U小于(110%+10%)*69
10、检查上位机上是否会出现电压骤升(Voltage Swell)的结束的Event log。</t>
  </si>
  <si>
    <t>4、上位机上会出现B相电压骤升(Voltage Swell)的Event log。
6、上位机上不会出现电压骤升(Voltage Swell)的结束的Event log。
7.上位机上会出现C相电压骤升(Voltage Swell)的Event log。
10、上位机上不会出现电压骤升(Voltage Swell)的结束的Event log。</t>
  </si>
  <si>
    <t>Function_AcuRev1320_014_01_case23</t>
  </si>
  <si>
    <t>电压骤升(Voltage Swell)，配置阈值和抖动参数(阈值：120%，抖动：5%)，触发&amp;结束事件成功，记录事件成功(时间戳，持续时间，事件类型，用户通道各相的最大值，最小值)。</t>
  </si>
  <si>
    <t>Function_AcuRev1320_014_01_case24</t>
  </si>
  <si>
    <t>电压骤升(Voltage Swell)，配置范围外阈值和抖动参数失败。范围外阈值：0%、100%、109%、151%、160%，范围外抖动值：0%、0.5%、11%、100%</t>
  </si>
  <si>
    <t>1、连接AcuRev1320电表到Acuview2上，连接状态为connected。
2、配置电压骤升(Voltage Swell)阈值参数分别为0%、100%、109%、151%、160% 额定电压设置220V
3、检查上位机是否可以配置并保存成功
5、配置电压骤升(Voltage Swell)抖动参数分别为0%、0.5%、11%、100%
6、检查上位机是否可以配置并保存成功</t>
  </si>
  <si>
    <t>Function_AcuRev1320_014_01_case25</t>
  </si>
  <si>
    <t>电压中断(Voltage Interruption),配置阈值和抖动参数(阈值：5%，抖动：1%)，触发&amp;结束事件成功，记录事件成功(时间戳，持续时间，事件类型，用户通道各相的最大值，最小值)。</t>
  </si>
  <si>
    <t>4、上位机上会出现电压中断(Voltage Interruption)的Event log。
6、上位机上会出现电压中断(Voltage Interruption)的结束的Event log。</t>
  </si>
  <si>
    <t>Function_AcuRev1320_014_01_case26</t>
  </si>
  <si>
    <t>电压中断(Voltage Interruption),配置阈值和抖动参数(阈值：20%，抖动：10%)，触发&amp;结束事件成功，记录事件成功(时间戳，持续时间，事件类型，用户通道各相的最大值，最小值)。</t>
  </si>
  <si>
    <t>1、连接AcuRev1320电表到Acuview2上，连接状态为connected。
2、配置阈值和抖动参数(阈值：20%，抖动：10%), 额定电压设置220V
3、使用电能质量仪触发电压中断(Voltage Interruption), 三相电压均小于(20%-10%)*220V, 
4、检查上位机上是否会出现电压中断(Voltage Interruption)的Event log。
5、使用电能质量仪触发电压中断(Voltage Interruption), 三相电压有一个大于(20%+10%)*220,  
6、检查上位机上是否会出现电压骤升(Voltage Interruption)的结束的Event log。</t>
  </si>
  <si>
    <t>Function_AcuRev1320_014_01_case27</t>
  </si>
  <si>
    <t>电压中断(Voltage Interruption),配置阈值和抖动参数(阈值：20%，抖动：1%)，A相电压中某一相满足条件触发&amp;三相电压满足恢复结束事件成功，记录事件成功(时间戳，持续时间，事件类型，用户通道各相的最大值，最小值)。</t>
  </si>
  <si>
    <t>Function_AcuRev1320_014_01_case28</t>
  </si>
  <si>
    <t>电压中断(Voltage Interruption),配置阈值和抖动参数(阈值：20%，抖动：1%)，B相电压中某一相满足条件触发&amp;B,C相电压满足恢复结束事件成功，记录事件成功(时间戳，持续时间，事件类型，用户通道各相的最大值，最小值)。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</si>
  <si>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B电压大于(20%+1%)*220
6、检查上位机上是否会出现电压骤升(Voltage Interruption)的结束的Event log。</t>
  </si>
  <si>
    <t>Function_AcuRev1320_014_01_case29</t>
  </si>
  <si>
    <t>电压中断(Voltage Interruption),配置阈值和抖动参数(阈值：20%，抖动：1%)，C相电压中某一相满足条件触发&amp;A、B相电压满足恢复结束事件成功，记录事件成功(时间戳，持续时间，事件类型，用户通道各相的最大值，最小值)。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</si>
  <si>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Interruption),ABC相电压小于(20%-1%)*220
4、检查上位机上是否会出现电压骤升(Voltage Interruption)的Event log。
5、使用电能质量仪触发电压中断(Voltage Interruption), C相电压大于(20%+1%)*220
6、检查上位机上是否会出现电压骤升(Voltage Interruption)的结束的Event log。</t>
  </si>
  <si>
    <t>4、上位机上会出现电压中断(Voltage Interruption)的Event log。
6、上位机上会出现电压中断(Voltage Interruption)的结束的Event log</t>
  </si>
  <si>
    <t>Function_AcuRev1320_014_01_case30</t>
  </si>
  <si>
    <t>电压中断(Voltage Interruption),配置阈值和抖动参数(阈值：20%，抖动：1%)，A相电压中某一相满足条件触发&amp;A相电压满足恢复结束事件成功，记录事件成功(时间戳，持续时间，事件类型，用户通道各相的最大值，最小值)。</t>
  </si>
  <si>
    <t>1、连接AcuRev1320电表到Acuview2上，连接状态为connected。
2、配置阈值和抖动参数(阈值：20%，抖动：1%), 额定电压设置220V
3、使用电能质量仪触发电压中断(Voltage Interruption), A相电压小于(20%-1%)*220，BC相正常施加220V
4、检查上位机上是否会出现电压骤升(Voltage Interruption)的Event log。
5、使用电能质量仪触发电压中断(Voltage Interruption), A电压大于(20%+1%)*220
6、检查上位机上是否会出现电压骤升(Voltage Interruption)的结束的Event log。</t>
  </si>
  <si>
    <t>4、上位机上不会出现电压中断(Voltage Interruption)的Event log。
6、上位机上不会出现电压中断(Voltage Interruption)的结束的Event log。</t>
  </si>
  <si>
    <t>Function_AcuRev1320_014_01_case31</t>
  </si>
  <si>
    <t>电压中断(Voltage Interruption),配置阈值和抖动参数(阈值：10%，抖动：5%)，触发&amp;结束事件成功，记录事件成功(时间戳，持续时间，事件类型，用户通道各相的最大值，最小值)。</t>
  </si>
  <si>
    <t>1、连接AcuRev1320电表到Acuview2上，连接状态为connected。
2、配置阈值和抖动参数(阈值：10%，抖动：5%), 额定电压设置220V
3、使用电能质量仪触发电压中断(Voltage Interruption), 三相电压均小于(10%-5%)*220
4、检查上位机上是否会出现电压骤升(Voltage Interruption)的Event log。
5、使用电能质量仪触发电压中断(Voltage Interruption), 三相电压三个大于(10%+5%)*220
6、检查上位机上是否会出现电压骤升(Voltage Interruption)的结束的Event log。</t>
  </si>
  <si>
    <t>Function_AcuRev1320_014_01_case32</t>
  </si>
  <si>
    <t>电压中断(Voltage Interruption),配置阈值和抖动参数(阈值：10%，抖动：5%)，单项电压，触发&amp;结束事件成功，记录事件成功(时间戳，持续时间，事件类型，用户通道各相的最大值，最小值)。</t>
  </si>
  <si>
    <t>1、连接AcuRev1320电表到Acuview2上，连接状态为connected。
2、配置阈值和抖动参数(阈值：10%，抖动：5%), 额定电压设置220V
3、使用电能质量仪触发电压中断(Voltage Interruption), 单相电压小于(10%-5%)*220
4、检查上位机上是否会出现电压骤升(Voltage Interruption)的Event log。
5、使用电能质量仪触发电压中断(Voltage Interruption), 三相电压大于(10%+5%)*220
6、检查上位机上是否会出现电压骤升(Voltage Interruption)的结束的Event log。</t>
  </si>
  <si>
    <t>Function_AcuRev1320_014_01_case33</t>
  </si>
  <si>
    <t>电压中断(Voltage Interruption),配置阈值和抖动参数(阈值：5%，抖动：5%)，配置无法配置或者保存失败</t>
  </si>
  <si>
    <t xml:space="preserve">1、连接AcuRev1320电表到Acuview2上，连接状态为connected。
2、配置阈值和抖动参数(阈值：5%，抖动：5%), 额定电压设置220V, 
3、检查配置是否无法配置或者保存失败
</t>
  </si>
  <si>
    <t>3、配置无法配置或者保存失败</t>
  </si>
  <si>
    <t>Function_AcuRev1320_014_01_case34</t>
  </si>
  <si>
    <t>电压中断(Voltage Interruption),配置阈值和抖动参数(阈值：5%，抖动：10%)，配置无法配置或者保存失败</t>
  </si>
  <si>
    <t xml:space="preserve">1、连接AcuRev1320电表到Acuview2上，连接状态为connected。
2、配置阈值和抖动参数(阈值：5%，抖动：10%), 额定电压设置220V, 
3、检查配置是否无法配置或者保存失败
</t>
  </si>
  <si>
    <t>Function_AcuRev1320_014_01_case35</t>
  </si>
  <si>
    <t>电压中断(Voltage Interruption),配置范围外阈值和抖动参数失败。范围外阈值：0%、3%、4%、21%，50%、抖动：0%、0.5%、11%、50%。</t>
  </si>
  <si>
    <t>1、连接AcuRev1320电表到Acuview2上，连接状态为connected。
2、配置电压中断(Voltage Interruption)阈值参数分别为0%、3%、4%、21%、50% 额定电压设置220V
3、检查上位机是否可以配置并保存成功
5、配置电压中断(Voltage Interruption)抖动参数分别为0%、0.5%、11%、50%
6、检查上位机是否可以配置并保存成功</t>
  </si>
  <si>
    <t>Function_AcuRev1320_014_01_case36</t>
  </si>
  <si>
    <t>通过降源为0的方式模拟电压中断事件</t>
  </si>
  <si>
    <t xml:space="preserve">1.表计电压中断配置如下：Rated voltage：69；threshold：10，jitter：1；
2.给表施加100V
3.给表降源到0V后，
4.升源到200V后
</t>
  </si>
  <si>
    <t>3.记录电压中断事件 
4.记录电压中断结束事件</t>
  </si>
  <si>
    <t>电流骤升(Current Swell), 配置阈值和抖动参数(阈值：150%，抖动：10%)，触发&amp;结束事件成功，记录事件成功(时间戳，持续时间，事件类型，用户通道各相的最大值，最小值)。</t>
  </si>
  <si>
    <t>1、连接AcuRev1320电表到Acuview2上，连接状态为connected。
2、配置阈值和抖动参数(阈值：150%，抖动：10%), 额定电压设置3A
3、使用电能质量仪触发电流骤升(Current Swell), I大于(150%+10%)*3A
4、检查上位机上是否会出现电流骤升(Current Swell)的Event log。
5、使用电能质量仪触发电流骤升(Current Swell), 三路I均小于(150%-10%)*3A
6、检查上位机上是否会出现电流骤升(Current Swell)的结束的Event log。</t>
  </si>
  <si>
    <t>4、上位机上会出现电流骤升(Current Swell)的Event log。
6、上位机上会出现电流骤升(Current Swell)的结束的Event log。</t>
  </si>
  <si>
    <t>Function_AcuRev1320_014_01_case38</t>
  </si>
  <si>
    <t>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</si>
  <si>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额定电压设置3A
3、使用电能质量仪触发电流骤升(Current Swell), I大于(110%+10%)*3A
4、检查上位机上是否会出现电流骤升(Current Swell)的Event log。
5、使用电能质量仪触发电流骤升(Current Swell), 三路I均小于(110%-10%)*3A
6、检查上位机上是否会出现电流骤升(Current Swell)的结束的Event log。</t>
  </si>
  <si>
    <t>Function_AcuRev1320_014_01_case39</t>
  </si>
  <si>
    <t>电流骤升(Current Swell), 配置阈值和抖动参数(阈值：120%，抖动：5%)，触发&amp;结束事件成功，记录事件成功(时间戳，持续时间，事件类型，用户通道各相的最大值，最小值)。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</si>
  <si>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</si>
  <si>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Function_AcuRev1320_014_01_case40</t>
  </si>
  <si>
    <t>电流骤升(Current Swell), 配置阈值和抖动参数(阈值：120%，抖动：5%)，三路电流中第一路满足条件触发&amp;三路电流满足恢复结束事件成功，记录事件成功(时间戳，持续时间，事件类型，用户通道各相的最大值，最小值)。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</si>
  <si>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Swell),第一路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</si>
  <si>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Function_AcuRev1320_014_01_case41</t>
  </si>
  <si>
    <t>电流骤升(Current Swell), 配置阈值和抖动参数(阈值：120%，抖动：5%)，三路电流中第二路满足条件触发&amp;三路电流满足恢复结束事件成功，记录事件成功(时间戳，持续时间，事件类型，用户通道各相的最大值，最小值)。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</si>
  <si>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Swell),第二路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</si>
  <si>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Function_AcuRev1320_014_01_case42</t>
  </si>
  <si>
    <t>电流骤升(Current Swell), 配置阈值和抖动参数(阈值：120%，抖动：5%)，三路电流中第三路满足条件触发&amp;三路电流满足恢复结束事件成功，记录事件成功(时间戳，持续时间，事件类型，用户通道各相的最大值，最小值)。</t>
  </si>
  <si>
    <t>1、连接AcuRev1320电表到Acuview2上，连接状态为connected。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三路I均小于小于(120%-5%)*3A
6、检查上位机上是否会出现电流骤升(Current Swell)的结束的Event log。</t>
  </si>
  <si>
    <t>Function_AcuRev1320_014_01_case43</t>
  </si>
  <si>
    <t>电流骤升(Current Swell), 配置阈值和抖动参数(阈值：120%，抖动：5%)，三路电流中第三路满足条件触发&amp;其中任意一路或两路电流满足恢复结束事件</t>
  </si>
  <si>
    <t>1、连接AcuRev1320电表到Acuview2上，连接状态为connected。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第一、二路I均小于小于(120%-5%)*3A
6、检查上位机上是否会出现电流骤升(Current Swell)的结束的Event log。</t>
  </si>
  <si>
    <t>4、上位机上出现电流骤升(Current Swell)的Event log。
6、上位机上不会出现电流骤升(Current Swell)的结束的Event log。</t>
  </si>
  <si>
    <t>Function_AcuRev1320_014_01_case44</t>
  </si>
  <si>
    <t>接线方式选为3e4w delta
电流骤升(Current Swell), 配置阈值和抖动参数(阈值：110%，抖动：10%)，触发&amp;结束事件成功，记录事件成功(时间戳，持续时间，事件类型，用户通道各相的最大值，最小值)。</t>
  </si>
  <si>
    <t>4、上位机上会出现电流骤升(Current Swell)的Event log。
6、上位机上会出现电流骤升(Current Swell)的结束的Event log。
7、查看录波正常</t>
  </si>
  <si>
    <t>接线方式选为2e3w delta
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</si>
  <si>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额定电压设置3A
2.1、设置录波采样类型"Waveform Sampling Type" 设置32 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两路I均小于(110%-10%)*3A
6、检查上位机上是否会出现电流骤升(Current Swell)的结束的Event log。
7、查看录波是否正常</t>
    <phoneticPr fontId="10" type="noConversion"/>
  </si>
  <si>
    <t>Function_AcuRev1320_014_01_case46</t>
  </si>
  <si>
    <t>接线方式选为2e3w network
电流骤升(Current Swell), 配置阈值和抖动参数(阈值：110%，抖动：10%)，触发&amp;结束事件成功，记录事件成功(时间戳，持续时间，事件类型，用户通道各相的最大值，最小值)。</t>
  </si>
  <si>
    <t>1、连接AcuRev1320电表到Acuview2上，连接状态为connected。
2、配置阈值和抖动参数(阈值：110%，抖动：10%), 额定电压设置5A
2.1、设置录波采样类型"Waveform Sampling Type" 设置64points
2.2、设置事件前波形个数(Number of recorded waves before the event occurred)为10与事件后的波形个数(Number of recorded waves after the event occurred)为10
3、使用电能质量仪触发电流骤升(Current Swell), 任意一路电流I大于(110%+10%)*5A
4、检查上位机上是否会出现电流骤升(Current Swell)的Event log。
5、使用电能质量仪触发电流骤升(Current Swell), 两路I均小于(110%-10%)*5A
6、检查上位机上是否会出现电流骤升(Current Swell)的结束的Event log。
7、查看录波是否正常</t>
  </si>
  <si>
    <t>1、连接AcuRev1320电表到Acuview2上，连接状态为connected。
2、配置阈值和抖动参数(阈值：110%，抖动：10%), 额定电压设置3A
2.1、设置录波采样类型"Waveform Sampling Type" 设置128points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两路I均小于(110%-10%)*3A
6、检查上位机上是否会出现电流骤升(Current Swell)的结束的Event log。
7、查看录波是否正常</t>
  </si>
  <si>
    <t>接线方式选为1e2w 
电流骤升(Current Swell), 配置阈值和抖动参数(阈值：110%，抖动：10%)，触发&amp;结束事件成功，记录事件成功(时间戳，持续时间，事件类型，用户通道各相的最大值，最小值)。</t>
  </si>
  <si>
    <t>Function_AcuRev1320_014_01_case49</t>
  </si>
  <si>
    <t>电流骤升(Current Swell)，配置范围外阈值和抖动参数失败。范围外阈值：0%、100%、109%、151%、160%，范围外抖动值：0%、0.5%、11%、100%</t>
  </si>
  <si>
    <t>Function_AcuRev1320_014_01_case50</t>
  </si>
  <si>
    <t>电压不平衡
接线方式选为三相四线Y
配置阈值和抖动参数(阈值：30%，抖动：5%)，当不平衡电压大于（阈值+抖动）时，事件触发 ；当不平衡电压小于（阈值-抖动）时，事件结束</t>
  </si>
  <si>
    <t>1、连接AcuRev1320电表到Acuview2上，连接状态为connected。
2、配置阈值和抖动参数(阈值：30%，抖动：5%)
3、使用电能质量仪模拟电压不平衡，且满足不平衡电压大于35%
4、检查上位机上是否会出现电压不平衡发生的Event log。
5、使用电能质量仪模拟电压不平衡，且满足不平衡电压小于25%
6、检查上位机上是否会出现电压不平衡结束的Event log。
备注：不平衡电压如何计算？</t>
  </si>
  <si>
    <t>4.电压不平衡触发，事件记录发生；
6.电压不平衡消失，事件记录结束；</t>
  </si>
  <si>
    <t>Function_AcuRev1320_014_01_case51</t>
  </si>
  <si>
    <t>电压不平衡
接线方式选为三相四线Y
配置阈值和抖动参数(阈值：50%，抖动：10%)，当不平衡电压大于（阈值+抖动）时，事件触发 ；当不平衡电压小于（阈值-抖动）时，事件结束</t>
  </si>
  <si>
    <t>1、连接AcuRev1320电表到Acuview2上，连接状态为connected。
2、配置阈值和抖动参数(阈值：50%，抖动：10%)
3、使用电能质量仪模拟电压不平衡，且满足不平衡电压大于60%
4、检查上位机上是否会出现电压不平衡发生的Event log。
5、使用电能质量仪模拟电压不平衡，且满足不平衡电压小于40%
6、检查上位机上是否会出现电压不平衡结束的Event log。</t>
  </si>
  <si>
    <t>Function_AcuRev1320_014_01_case52</t>
  </si>
  <si>
    <t>电压不平衡
接线方式选为三相四线Y
配置阈值和抖动参数(阈值：5%，抖动：1%)，当不平衡电压大于（阈值+抖动）时，事件触发 ；当不平衡电压小于（阈值-抖动）时，事件结束</t>
  </si>
  <si>
    <t>1、连接AcuRev1320电表到Acuview2上，连接状态为connected。
2、配置阈值和抖动参数(阈值：5%，抖动：1%)
3、使用电能质量仪模拟电压不平衡，且满足不平衡电压大于6%
4、检查上位机上是否会出现电压不平衡发生的Event log。
5、使用电能质量仪模拟电压不平衡，且满足不平衡电压小于4%
6、检查上位机上是否会出现电压不平衡结束的Event log。</t>
  </si>
  <si>
    <t>电压不平衡
接线方式选为三相四线Y
配置阈值和抖动参数(阈值：5%，抖动：5%)，当不平衡电压大于（阈值+抖动）时，事件触发 ；当不平衡电压小于（阈值-抖动）时，事件结束</t>
  </si>
  <si>
    <t xml:space="preserve">1、连接AcuRev1320电表到Acuview2上，连接状态为connected。
2、配置阈值和抖动参数(阈值：5%，抖动：5%)
3、使用电能质量仪模拟电压不平衡，且满足不平衡电压大于0%
4、检查上位机上是否会出现电压不平衡发生的Event log。
</t>
  </si>
  <si>
    <t>2.上位机提示写入失败</t>
  </si>
  <si>
    <t>Function_AcuRev1320_014_01_case54</t>
  </si>
  <si>
    <t>电压不平衡
接线方式选为3e4w delta
配置阈值和抖动参数(阈值：10%，抖动：5%)，当不平衡电压大于（阈值+抖动）时，事件触发 ；当不平衡电压小于（阈值-抖动）时，事件结束</t>
  </si>
  <si>
    <t>Function_AcuRev1320_014_01_case55</t>
  </si>
  <si>
    <t>电压不平衡
接线方式选为2e3w 1phase
配置阈值和抖动参数(阈值：50%，抖动：10%)，当不平衡电压大于（阈值+抖动）时，事件触发 ；当不平衡电压小于（阈值-抖动）时，事件结束</t>
  </si>
  <si>
    <t>4.电压不平衡触发，事件记录发生；
6.电压不平衡消失，事件记录结束；
7、查看录波正常</t>
  </si>
  <si>
    <t>Function_AcuRev1320_014_01_case56</t>
  </si>
  <si>
    <t>Function_AcuRev1320_014_01_case57</t>
  </si>
  <si>
    <t>Function_AcuRev1320_014_01_case58</t>
  </si>
  <si>
    <t>电压不平衡，配置范围外阈值和抖动参数失败。范围外阈值：0%、4%、51%，范围外抖动值：0%、0.5%、11%</t>
  </si>
  <si>
    <t>1、连接AcuRev1320电表到Acuview2上，连接状态为connected。
2、配置电压不平衡阈值参数分别为0%、4%、51%
3、检查上位机是否可以配置并保存成功
5、配置电压不平衡抖动参数分别为0%、0.5%、11%
6、检查上位机是否可以配置并保存成功</t>
  </si>
  <si>
    <t>Function_AcuRev1320_014_01_case59</t>
  </si>
  <si>
    <t>电流不平衡
接线方式选为三相四线Y
配置阈值和抖动参数(阈值：30%，抖动：5%)，当不平衡电流大于（阈值+抖动）时，事件触发 ；当不平衡电流小于（阈值-抖动）时，事件结束</t>
  </si>
  <si>
    <t>1、连接AcuRev1320电表到Acuview2上，连接状态为connected。
2、配置阈值和抖动参数(阈值：30%，抖动：10%)
3、使用电能质量仪模拟电流不平衡，且满足不平衡电流大于35%
4、检查上位机上是否会出现电流不平衡发生的Event log。
5、使用电能质量仪模拟电流不平衡，且满足不平衡电流小于25%
6、检查上位机上是否会出现电流不平衡结束的Event log。
备注：不平衡电流如何计算？</t>
  </si>
  <si>
    <t>4.电流不平衡触发，事件记录发生；
6.电流不平衡消失，事件记录结束；</t>
  </si>
  <si>
    <t>Function_AcuRev1320_014_01_case60</t>
  </si>
  <si>
    <t>电流不平衡
接线方式选为三相四线Y
配置阈值和抖动参数(阈值：50%，抖动：10%)，当不平衡电流大于（阈值+抖动）时，事件触发 ；当不平衡电流小于（阈值-抖动）时，事件结束</t>
  </si>
  <si>
    <t>1、连接AcuRev1320电表到Acuview2上，连接状态为connected。
2、配置阈值和抖动参数(阈值：50%，抖动：10%)
3、使用电能质量仪模拟电流不平衡，且满足不平衡电流大于60%
4、检查上位机上是否会出现电流不平衡发生的Event log。
5、使用电能质量仪模拟电流不平衡，且满足不平衡电流小于40%
6、检查上位机上是否会出现电流不平衡结束的Event log。
备注：不平衡电流如何计算？</t>
  </si>
  <si>
    <t>Function_AcuRev1320_014_01_case61</t>
  </si>
  <si>
    <t>电流不平衡
接线方式选为三相四线Y
配置阈值和抖动参数(阈值：5%，抖动：1%)，当不平衡电流大于（阈值+抖动）时，事件触发 ；当不平衡电流小于（阈值-抖动）时，事件结束</t>
  </si>
  <si>
    <t>1、连接AcuRev1320电表到Acuview2上，连接状态为connected。
2、配置阈值和抖动参数(阈值：5%，抖动：1%)
3、使用电能质量仪模拟电流不平衡，且满足不平衡电流大于6%
4、检查上位机上是否会出现电流不平衡发生的Event log。
5、使用电能质量仪模拟电流不平衡，且满足不平衡电流小于4%
6、检查上位机上是否会出现电流不平衡结束的Event log。
备注：不平衡电流如何计算？</t>
  </si>
  <si>
    <t>Function_AcuRev1320_014_01_case62</t>
  </si>
  <si>
    <t>电流不平衡
接线方式选为三相四线Y
配置阈值和抖动参数(阈值：5%，抖动：5%)，当不平衡电流大于（阈值+抖动）时，事件触发 ；当不平衡电流小于（阈值-抖动）时，事件结束</t>
  </si>
  <si>
    <t>Function_AcuRev1320_014_01_case63</t>
  </si>
  <si>
    <t>电流不平衡
接线方式选为3e4w delta
配置阈值和抖动参数(阈值：10%，抖动：5%)，当不平衡电流大于（阈值+抖动）时，事件触发 ；当不平衡电流小于（阈值-抖动）时，事件结束</t>
  </si>
  <si>
    <t>4.电流不平衡触发，事件记录发生；
6.电流不平衡消失，事件记录结束；
7、录波数据正常</t>
  </si>
  <si>
    <t>Function_AcuRev1320_014_01_case64</t>
  </si>
  <si>
    <t>电流不平衡
接线方式选为2e3w 1phase
配置阈值和抖动参数(阈值：50%，抖动：10%)，当不平衡电流大于（阈值+抖动）时，事件触发 ；当不平衡电流小于（阈值-抖动）时，事件结束</t>
  </si>
  <si>
    <t>1、连接AcuRev1320电表到Acuview2上，连接状态为connected。
2、配置阈值和抖动参数(阈值：50%，抖动：10%)
3、使用电能质量仪模拟电流不平衡，且满足不平衡电流大于60%
4、检查上位机上是否会出现电流不平衡发生的Event log。
5、使用电能质量仪模拟电流不平衡，且满足不平衡电流小于40%
6、检查上位机上是否会出现电流不平衡结束的Event log。</t>
  </si>
  <si>
    <t>Function_AcuRev1320_014_01_case65</t>
  </si>
  <si>
    <t>电流不平衡
接线方式选为2e3w delta
配置阈值和抖动参数(阈值：30%，抖动：8%)，当不平衡电流大于（阈值+抖动）时，事件触发 ；当不平衡电流小于（阈值-抖动）时，事件结束</t>
  </si>
  <si>
    <t>1、连接AcuRev1320电表到Acuview2上，连接状态为connected。
2、配置阈值和抖动参数(阈值：30%，抖动：8%)
2.1、设置录波采样类型"Waveform Sampling Type" 设置128points
2.2、设置事件前波形个数(Number of recorded waves before the event occurred)为10与事件后的波形个数(Number of recorded waves after the event occurred)为10
3、使用电能质量仪模拟电流不平衡，且满足不平衡电流大于38%
4、检查上位机上是否会出现电流不平衡发生的Event log。
5、使用电能质量仪模拟电流不平衡，且满足不平衡电流小于22%
6、检查上位机上是否会出现电流不平衡结束的Event log。
7、录波是否正常</t>
  </si>
  <si>
    <t>4.电流不平衡触发，事件记录发生；
6.电流不平衡消失，事件记录结束；
7、录波正常</t>
  </si>
  <si>
    <t>电流不平衡
接线方式选为2e3w network
配置阈值和抖动参数(阈值：40%，抖动：10%)，当不平衡电流大于（阈值+抖动）时，事件触发 ；当不平衡电流小于（阈值-抖动）时，事件结束</t>
  </si>
  <si>
    <t>1、连接AcuRev1320电表到Acuview2上，连接状态为connected。
2、配置阈值和抖动参数(阈值：40%，抖动：10%)
3、使用电能质量仪模拟电流不平衡，且满足不平衡电流大于50%
4、检查上位机上是否会出现电流不平衡发生的Event log。
5、使用电能质量仪模拟电流不平衡，且满足不平衡电流小于30%
6、检查上位机上是否会出现电流不平衡结束的Event log。</t>
  </si>
  <si>
    <t>Function_AcuRev1320_014_01_case67</t>
  </si>
  <si>
    <t>电流不平衡，配置范围外阈值和抖动参数失败。范围外阈值：0%、4%、51%，范围外抖动值：0%、0.5%、11%</t>
  </si>
  <si>
    <t>1、连接AcuRev1320电表到Acuview2上，连接状态为connected。
2、配置电流不平衡阈值参数分别为0%、4%、51%
3、检查上位机是否可以配置并保存成功
5、配置电流不平衡抖动参数分别为0%、0.5%、11%
6、检查上位机是否可以配置并保存成功</t>
  </si>
  <si>
    <t>电能质量曲线报告</t>
  </si>
  <si>
    <t>Function_AcuRev1320_014_02_case01</t>
  </si>
  <si>
    <t>电压骤升
电压骤升(Voltage Swell)，配置阈值和抖动参数(阈值：150%，抖动：10%)</t>
  </si>
  <si>
    <t xml:space="preserve">1、连接AcuRev1320电表到Acuview2上，连接状态为connected。
2、配置阈值和抖动参数(阈值：150%，抖动：10%), 额定电压设置69V,清电能质量事件
3、使用电能质量仪触发电压骤升(Voltage Swell), U大于(150%+10%)*69
4、持续1000ms
5、使用电能质量仪触发电压骤升(Voltage Swell), U小于(150%-10%)*69
6、查看ITIC/CBEMA Curve图像显示
</t>
  </si>
  <si>
    <t>6.ITIC/CBEMA Curve图像显示正确
7.该点位上数据显示正确</t>
  </si>
  <si>
    <t>Function_AcuRev1320_014_02_case02</t>
  </si>
  <si>
    <t>电压骤升
电压骤升(Voltage Swell)，配置阈值和抖动参数(阈值：110%，抖动：5%)</t>
  </si>
  <si>
    <t xml:space="preserve">1、连接AcuRev1320电表到Acuview2上，连接状态为connected。
2、配置阈值和抖动参数(阈值：110%，抖动：5%), 额定电压设置120V,清电能质量事件
3、使用电能质量仪触发电压骤升(Voltage Swell), U大于115%*120
4、持续10000ms
5、使用电能质量仪触发电压骤升(Voltage Swell), U小于105%*120
6、查看ITIC/CBEMA Curve图像显示
</t>
  </si>
  <si>
    <t>Function_AcuRev1320_014_02_case03</t>
  </si>
  <si>
    <t>电压骤升
电压骤升(Voltage Swell)，配置阈值和抖动参数(阈值：130%，抖动：10%)</t>
  </si>
  <si>
    <t>1、连接AcuRev1320电表到Acuview2上，连接状态为connected。
2、配置阈值和抖动参数(阈值：130%，抖动：10%), 额定电压设置347V,清电能质量事件
3、使用电能质量仪触发电压骤升(Voltage Swell), U大于140%*347
4、分别持续1ms、15ms、105ms、1111ms、5min
5、查看ITIC/CBEMA Curve图像显示</t>
  </si>
  <si>
    <t>6.ITIC/CBEMA Curve图像显示正确</t>
  </si>
  <si>
    <t>Function_AcuRev1320_014_02_case04</t>
  </si>
  <si>
    <t>电压骤降
电压骤升(Voltage Swell)，配置阈值和抖动参数(阈值：90%，抖动：10%)</t>
  </si>
  <si>
    <t>1、连接AcuRev1320电表到Acuview2上，连接状态为connected。
2、配置阈值和抖动参数(阈值：90%，抖动：10%), 额定电压设置69V,清电能质量事件
3、使用电能质量仪触发电压骤升(Voltage Swell), U小于80%*69
4、持续10ms
5、使用电能质量仪触发电压骤升(Voltage Swell), U大于100%*69
6、查看ITIC/CBEMA Curve图像显示</t>
  </si>
  <si>
    <t>Function_AcuRev1320_014_02_case05</t>
  </si>
  <si>
    <t>电压骤降
电压骤升(Voltage Swell)，配置阈值和抖动参数(阈值：50%，抖动：5%)</t>
  </si>
  <si>
    <t>1、连接AcuRev1320电表到Acuview2上，连接状态为connected。
2、配置阈值和抖动参数(阈值：50%，抖动：5%), 额定电压设置120V,清电能质量事件
3、使用电能质量仪触发电压骤升(Voltage Swell), U小于45%*120
4、持续1000ms
5、使用电能质量仪触发电压骤升(Voltage Swell), U大于55%*120
6、查看ITIC/CBEMA Curve图像显示</t>
  </si>
  <si>
    <t>Function_AcuRev1320_014_02_case06</t>
  </si>
  <si>
    <t>1、连接AcuRev1320电表到Acuview2上，连接状态为connected。
2、配置阈值和抖动参数(阈值：50%，抖动：5%), 额定电压设置347V,清电能质量事件
3、使用电能质量仪触发电压骤升(Voltage Swell), U小于45%*347
4、分别持续1ms、15ms、105ms、1111ms、5min，然后模拟事件结束
5、查看ITIC/CBEMA Curve图像显示</t>
  </si>
  <si>
    <t>Function_AcuRev1320_014_02_case07</t>
  </si>
  <si>
    <t>模拟电表多条电压骤降、骤升、中断、电流骤升、电压不平衡、电流不平衡共计200条</t>
  </si>
  <si>
    <t>5.两组数据中电压骤升、骤降事件条数相同
7.两组数据中电压骤升、骤降事件条数相同</t>
  </si>
  <si>
    <t>Function_AcuRev1320_014_02_case08</t>
  </si>
  <si>
    <t>模拟电表多条电压骤降、骤升共计200条</t>
  </si>
  <si>
    <t>1、连接AcuRev1320电表到Acuview2上，连接状态为connected。
2、模拟电表多条电压骤降、骤升共计200条
3、分别查看电能质量事件中电压骤降与电压骤升的事件条数与内容
4、分别查看电能质量曲线报告中记录的电压骤降及电压骤升数据
5、比对两组数据的数据条数及内容是否一致
6、继续模拟电压骤降、电压中断共5条电能质量事件
7、重复3~5的操作</t>
  </si>
  <si>
    <t>5.两组数据中电压骤升、骤降事件条数相同
7.两组数据中电压骤升、骤降事件条数相同，电能质量事件报告中total events数据准确</t>
  </si>
  <si>
    <t>Function_AcuRev1320_014_03_case01</t>
  </si>
  <si>
    <t xml:space="preserve">1.接线方式选择1e2w，给表接入A、B、C三相电压
2.打开表计电流骤升PQ EVENT使能
3.模拟表计电压UA 骤降、中断、骤升事件，查看pq event记录及waveform波形图
4.模拟表计电压UB和UC 骤降、中断、骤升事件，查看pq event记录
</t>
  </si>
  <si>
    <t xml:space="preserve">3、查看pq event 记录中存在对应的电压骤降、中断、骤升事件，读取对应的waveform log，绘制对应的波形图
4、 不触发电压骤降、中断、骤升事件
</t>
  </si>
  <si>
    <t xml:space="preserve">1.接线方式选择2e3w1phase，给表接入A、B、C三相电压
2.打开表计电流骤升PQ EVENT使能
3.模拟表计电压UA、UC 骤降、中断、骤升事件，查看pq event记录及waveform波形图
4.模拟表计电压UB 骤降、中断、骤升事件，查看pq event记录
</t>
  </si>
  <si>
    <t xml:space="preserve">
3、查看pq event 记录中存在对应的电压骤降、中断、骤升事件，读取对应的waveform log，绘制对应的波形图
4、 不触发电压骤降、中断、骤升事件
</t>
  </si>
  <si>
    <t xml:space="preserve">1.接线方式选择2e3w delta，给表接入A、B、C三相电压，其中B相电压接入电表的N相
2.打开表计电流骤升PQ EVENT使能
3.模拟表计电压UAB、UBC、UCA骤降、中断、骤升事件，查看pq event记录及waveform波形图
</t>
  </si>
  <si>
    <t xml:space="preserve">3、查看pq event 记录中存在对应的电压骤降、中断、骤升事件，读取对应的waveform log，绘制对应的波形图
</t>
  </si>
  <si>
    <t>接线方式选择2e3w1 network，分别模拟电压骤降，中断，骤升事件，电流骤升，查看记录是否正常</t>
  </si>
  <si>
    <t xml:space="preserve">1.接线方式选择2e3w1 network，给表接入A、B、C三相电压
2.打开表计电流骤升PQ EVENT使能
3.模拟表计电压UA、UB、UC骤降、中断、骤升事件，查看pq event记录及waveform波形图
</t>
  </si>
  <si>
    <t>Function_AcuRev1320_014_03_case05</t>
  </si>
  <si>
    <t>接线方式选择3e4w delta，分别模拟电压骤降，中断，骤升事件，电流骤升，查看记录是否正常</t>
  </si>
  <si>
    <t xml:space="preserve">
电压骤降事件发生触发DO1</t>
  </si>
  <si>
    <t>1、连接AcuRev1320电表到Acuview2上，连接状态为connected。
2、配置阈值和抖动参数(阈值：50%，抖动：10%), 额定电压设置230V
3、配置电压骤降事件发生触发DO1
4、使用电能质量仪触发三相电压骤降(Voltage Sag), U小于(50%-10%)*230V
5、检查上位机上是否会出现电压骤降(Voltage Sag)的Event log。
6、检测DO1口是否有高电平产生
7、使用电能质量仪触发三相电压骤降(Voltage Sag), U大于(50%+10%)*230V
8、检查上位机上是否会出现电压骤降(Voltage Sag)的结束的Event log。
9、检测DO1口是否变为低电平</t>
  </si>
  <si>
    <t>6、检测DO1有高电平产生
9、检测DO1变为低电平</t>
  </si>
  <si>
    <t>Function_AcuRev1320_014_03_case07</t>
  </si>
  <si>
    <t>告警事件与pq event事件同时产生，共同配置相同DO，同时触发告警、pq event事件产生，查看DO情况，结束其中一个事件，查看DO情况，同时结束两种事件，查看DO情况</t>
  </si>
  <si>
    <t>1、连接AcuRev1320电表到Acuview2上，连接状态为connected。
2、配置阈值和抖动参数(阈值：110%，抖动：10%), 额定电压设置3A
2.1配置电流骤升事件发生触发DO1
3.配置告警通道1中参数1.2逻辑与关系，参数分别为电压A,电压B，规则均为大于120V事件触发；小于110V，事件结束；
3.1配置通道1关联DO1打开
4、使用电能质量仪给表三相施加130V,4A；
5、检查上位机上是否会出现电流骤升的Event log及通道1的告警
5.1、检测DO1口是否有高电平产生
6、使用电能质量仪给表三相电流降低到2.5A，电压保持130V
7、检查上位机上是否会出现电流骤升结束的Event log。
8、检测DO1口是否变为低电平
9.使用电能质量仪给表三相电压降低到100V,电流保持2.5A
10.检测DO1口是否变为低电平
11.给表施加三相电流4A,电压100V
12.检测DO1口是否变为高电平</t>
  </si>
  <si>
    <t>5.均有事件产生
5.1、DO1口均有高电平产生
7.有电流骤升结束事件产生
8.DO1口均保持高电平输出
10.DO1口均变为低电平
12.DO1均变为高电平</t>
  </si>
  <si>
    <t>同时打开pq event与waveform，多次模拟事件产生，表计能正常工作</t>
  </si>
  <si>
    <t xml:space="preserve">1.电表接24负载,3e4w Y，表计上电；
2.打开表计电流骤升PQ EVENT使能开关及录波功能
3.模拟表计多次发生、结束电流骤升事件
4.观察表计液晶显示
</t>
  </si>
  <si>
    <t>3.表计正常产生多条录波事件
4.表计显示正常</t>
  </si>
  <si>
    <t>Function_AcuRev1320_014_03_case09</t>
  </si>
  <si>
    <t>表计打开/关闭电压骤降waveform功能,模拟电压骤降,pq event事件中waveform id正确</t>
  </si>
  <si>
    <t xml:space="preserve">1.表计打开电压骤降waveform功能
2.模拟电压骤降事件，查看pq event事件中waveform id是否正确
3.关闭电压骤降waveform功能
4.模拟电压骤降事件，查看pq event事件中waveform id是否正确
</t>
  </si>
  <si>
    <t xml:space="preserve">
4.关闭电压骤降waveform功能后，pq event事件持续发生，waveform id不应该累加</t>
  </si>
  <si>
    <t>Function_AcuRev1320_014_03_case10</t>
    <phoneticPr fontId="10" type="noConversion"/>
  </si>
  <si>
    <t>1、Acuview2上位机
2、网线/RTU串口线
3、AcuRev1320电表
4、Independent input channel 使能，</t>
    <phoneticPr fontId="10" type="noConversion"/>
  </si>
  <si>
    <t>Function_AcuRev1320_014_03_case11</t>
  </si>
  <si>
    <t>2e3w 1phase 接线方式，Independent input channel 使能，验证电压骤升、骤降、中断、电压不平衡事件</t>
    <phoneticPr fontId="10" type="noConversion"/>
  </si>
  <si>
    <t>3、查看pq event 记录中存在对应的电压骤降、中断、骤升、不平衡事件，日志中包含独立模式enable 标识；
读取对应的waveform log，绘制A相和C相电压的波形图
4、 不触发电压骤降、中断、骤升事件</t>
    <phoneticPr fontId="10" type="noConversion"/>
  </si>
  <si>
    <t>Function_AcuRev1320_014_03_case12</t>
  </si>
  <si>
    <t>Function_AcuRev1320_014_03_case13</t>
  </si>
  <si>
    <t>3、查看pq event 记录中存在对应的电压骤降、中断、骤升、不平衡事件，日志中包含独立模式enable 标识；
读取对应的waveform log，绘制三个线电压的波形图</t>
    <phoneticPr fontId="10" type="noConversion"/>
  </si>
  <si>
    <t>Function_AcuRev1320_014_03_case14</t>
  </si>
  <si>
    <t>1.接线方式选择3e4w delta，给表接入A、B、C三相电压
2.打开表计PQ EVENT使能,waveform 使能
3.模拟表计电压UAB、UBC、UCA骤降、中断、骤升事以及电压不平衡事件，查看pq event记录</t>
    <phoneticPr fontId="10" type="noConversion"/>
  </si>
  <si>
    <t>1.接线方式选择3e4w y，给表接入A、B、C三相电压
2.打开表计PQ EVENT使能,waveform 使能
3.模拟表计电压UA、UB、UC骤降、中断、骤升事以及电压不平衡事件，查看pq event记录</t>
    <phoneticPr fontId="10" type="noConversion"/>
  </si>
  <si>
    <t>3、查看pq event 记录中存在对应的电压骤降、中断、骤升、不平衡事件，日志中包含独立模式enable 标识；
读取对应的waveform log，绘制三相电压的波形图</t>
    <phoneticPr fontId="10" type="noConversion"/>
  </si>
  <si>
    <t>Function_AcuRev1320_014_03_case16</t>
  </si>
  <si>
    <t>录波验证</t>
  </si>
  <si>
    <t>Function_AcuRev1320_014_04_case01</t>
  </si>
  <si>
    <t>采样点个数最长不超过2560个</t>
    <phoneticPr fontId="10" type="noConversion"/>
  </si>
  <si>
    <t>2、设置录波采样类型"Waveform Sampling Type" 最大设置128 points
2.1 前波形个数(Number of recorded waves before the event occurred)与事件后的波形个数(Number of recorded waves after the event occurred)之和小于等于20.
5、上位机上会出现电压骤升(Current Swell)的Event log。
6、上位机上检查录波采样点数最多为2560个(excel导出采样点，记录2560个)</t>
  </si>
  <si>
    <t>Function_AcuRev1320_014_04_case02</t>
  </si>
  <si>
    <t>电压骤降事件(Voltage Sag)，采样评率设置为16 sample/cycle，触发录波(Ua,Ub,Uc)正常</t>
  </si>
  <si>
    <t>1、连接AcuRev1320电表到Acuview2上，连接状态为connected。
1.1、设置录波采样类型"Waveform Sampling Type" 设置16 points
1.2、设置事件前波形个数(Number of recorded waves before the event occurred)为1与事件后的波形个数(Number of recorded waves after the event occurred)为159
2、配置阈值和抖动参数(阈值：50%，抖动：5%), 额定电压设置230V
3、使用电能质量仪触发电压骤降(Voltage Sag), U小于(50%-5%)*230
4、检查上位机上是否会出现电压骤降(Voltage Sag)的Event log。
5、点击Voltage Sag生成的Event log是否生成对应录波
6、上位机上检查录波采样点数是否为2560个(excel导出采样点，记录统计采样个数)</t>
  </si>
  <si>
    <t>4、上位机上会出现电压骤降(Voltage Sag)的Event log。
5、点击Voltage Sag生成的Event log生成对应录波
6、上位机上录波采样点数为2560个(excel导出采样点，记录统计采样个数)</t>
  </si>
  <si>
    <t>Function_AcuRev1320_014_04_case03</t>
  </si>
  <si>
    <t>电压骤降事件(Voltage Sag)，采样评率设置为32 sample/cycle，触发录波(Ua,Ub,Uc)正常</t>
  </si>
  <si>
    <t>1、连接AcuRev1320电表到Acuview2上，连接状态为connected。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6、上位机上检查录波采样点数是否为640个(excel导出采样点，记录统计采样个数)</t>
  </si>
  <si>
    <t>4、上位机上会出现电压骤降(Voltage Sag)的Event log。
5、点击Voltage Sag生成的Event log生成对应录波
6、上位机上录波采样点数为640个(excel导出采样点，记录统计采样个数)</t>
  </si>
  <si>
    <t>Function_AcuRev1320_014_04_case04</t>
  </si>
  <si>
    <t>电压骤降事件(Voltage Sag)，采样评率设置为64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</si>
  <si>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6、上位机上检查录波采样点数是否为1280个(excel导出采样点，记录统计采样个数)</t>
  </si>
  <si>
    <t>4、上位机上会出现电压骤降(Voltage Sag)的Event log。
5、点击Voltage Sag生成的Event log生成对应录波
6、上位机上录波采样点数为1280个(excel导出采样点，记录统计采样个数)</t>
  </si>
  <si>
    <t>Function_AcuRev1320_014_04_case05</t>
  </si>
  <si>
    <t>电压骤降事件(Voltage Sag)，采样评率设置为128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</si>
  <si>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6、上位机上检查录波采样点数是否为2560个(excel导出采样点，记录统计采样个数)</t>
  </si>
  <si>
    <t>Function_AcuRev1320_014_04_case06</t>
  </si>
  <si>
    <t>电压骤升(Voltage Swell)，采样评率设置为16 sample/cycle，触发录波(Ua,Ub,Uc)正常</t>
  </si>
  <si>
    <t>1、连接AcuRev1320电表到Acuview2上，连接状态为connected。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额定电压设置69V
3、使用电能质量仪触发电压骤升(Voltage Swell), U大于(120%+10%)*69V
4、检查上位机上是否会出现电压骤升(Voltage Swell)的Event log。
5、点击Voltage Swell生成的Event log是否生成对应录波
6、上位机上检查录波采样点数是否为320个(excel导出采样点，记录统计采样个数)</t>
  </si>
  <si>
    <t>4、上位机上会出现电压骤降(Voltage Swell)的Event log。
5、点击Voltage Swell生成的Event log生成对应录波
6、上位机上录波采样点数为320个(excel导出采样点，记录统计采样个数)</t>
  </si>
  <si>
    <t>Function_AcuRev1320_014_04_case07</t>
  </si>
  <si>
    <t>电压骤升(Voltage Swell)，采样评率设置为32 sample/cycle，触发录波(Ua,Ub,Uc)正常</t>
  </si>
  <si>
    <t>1、连接AcuRev1320电表到Acuview2上，连接状态为connected。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6、上位机上检查录波采样点数是否为640个(excel导出采样点，记录统计采样个数)</t>
  </si>
  <si>
    <t>4、上位机上会出现电压骤降(Voltage Swell)的Event log。
5、点击Voltage Swell生成的Event log生成对应录波
6、上位机上录波采样点数为640个(excel导出采样点，记录统计采样个数)</t>
  </si>
  <si>
    <t>Function_AcuRev1320_014_04_case08</t>
  </si>
  <si>
    <t>电压骤升(Voltage Swell)，采样评率设置为64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</si>
  <si>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6、上位机上检查录波采样点数是否为1280个(excel导出采样点，记录统计采样个数)</t>
  </si>
  <si>
    <t>4、上位机上会出现电压骤降(Voltage Swell)的Event log。
5、点击Voltage Swell生成的Event log生成对应录波
6、上位机上录波采样点数为1280个(excel导出采样点，记录统计采样个数)</t>
  </si>
  <si>
    <t>Function_AcuRev1320_014_04_case09</t>
  </si>
  <si>
    <t>电压骤升(Voltage Swell)，采样评率设置为128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</si>
  <si>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t>
  </si>
  <si>
    <t>4、上位机上会出现电压骤降(Voltage Swell)的Event log。
5、点击Voltage Swell生成的Event log生成对应录波
6、上位机上录波采样点数为2560个(excel导出采样点，记录统计采样个数)</t>
  </si>
  <si>
    <t>Function_AcuRev1320_014_04_case10</t>
  </si>
  <si>
    <t>电压骤升(Voltage Swell)，采样评率设置为256 sample/cycle，触发录波(Ua,Ub,Uc)正常</t>
  </si>
  <si>
    <t>Function_AcuRev1320_014_04_case11</t>
  </si>
  <si>
    <t>电压骤升(Voltage Swell)，采样评率设置为512 sample/cycle，触发录波(Ua,Ub,Uc)正常</t>
  </si>
  <si>
    <t>1、连接AcuRev1320电表到Acuview2上，连接状态为connected。
1.1、设置录波采样类型"Waveform Sampling Type" 设置512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t>
  </si>
  <si>
    <t>Function_AcuRev1320_014_04_case12</t>
  </si>
  <si>
    <t>电压中断(Voltage Interruption)，采样评率设置为16 sample/cycle，触发录波(Ua,Ub,Uc)正常</t>
  </si>
  <si>
    <t>1、连接AcuRev1320电表到Acuview2上，连接状态为connected。
1.1、设置录波采样类型"Waveform Sampling Type" 设置 16points
1.2、设置事件前波形个数(Number of recorded waves before the event occurred)为10与事件后的波形个数(Number of recorded waves after the event occurred)为10
2、配置阈值和抖动参数(阈值：20%，抖动：10%), 额定电压设置220V
3、使用电能质量仪触发电压中断(Voltage Interruption), U小于(20%-10%)*220
4、检查上位机上是否会出现电压骤升(Voltage Interruption)的Event log。
5、点击Voltage Interruption生成的Event log是否生成对应录波
6、上位机上检查录波采样点数是否为320(excel导出采样点，记录统计采样个数)</t>
  </si>
  <si>
    <t>4、上位机上会出现电压骤降(Voltage Interruption)的Event log。
5、点击Voltage Interruption生成的Event log生成对应录波
6、上位机上录波采样点数为320个(excel导出采样点，记录统计采样个数)</t>
  </si>
  <si>
    <t>Function_AcuRev1320_014_04_case13</t>
  </si>
  <si>
    <t>电压中断(Voltage Interruption)，采样评率设置为32 sample/cycle，触发录波(Ua,Ub,Uc)正常</t>
  </si>
  <si>
    <t>4、上位机上会出现电压骤降(Voltage Interruption)的Event log。
5、点击Voltage Interruption生成的Event log生成对应录波
6、上位机上录波采样点数为640个(excel导出采样点，记录统计采样个数)</t>
  </si>
  <si>
    <t>Function_AcuRev1320_014_04_case14</t>
  </si>
  <si>
    <t>电压中断(Voltage Interruption)，采样评率设置为64 sample/cycle，触发录波(Ua,Ub,Uc)正常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</si>
  <si>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2、配置阈值和抖动参数(阈值：20%，抖动：10%), 额定电压设置230V
3、使用电能质量仪触发电压中断(Voltage Interruption), U小于(20%-10%)*230
4、检查上位机上是否会出现电压中断(Voltage Interruption)的Event log。
5、点击Voltage Interruption生成的Event log是否生成对应录波
6、上位机上检查录波采样点数是否为1280个(excel导出采样点，记录统计采样个数)</t>
  </si>
  <si>
    <t>4、上位机上会出现电压骤降(Voltage Interruption)的Event log。
5、点击Voltage Interruption生成的Event log生成对应录波
6、上位机上录波采样点数为1280个(excel导出采样点，记录统计采样个数)</t>
  </si>
  <si>
    <t>Function_AcuRev1320_014_04_case15</t>
  </si>
  <si>
    <t>电压中断(Voltage Interruption)，采样评率设置为128 sample/cycle，触发录波(Ua,Ub,Uc)正常</t>
  </si>
  <si>
    <t>1、连接AcuRev1320电表到Acuview2上，连接状态为connected。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6、上位机上检查录波采样点数是否为2560个(excel导出采样点，记录统计采样个数)</t>
  </si>
  <si>
    <t>4、上位机上会出现电压骤降(Voltage Interruption)的Event log。
5、点击Voltage Interruption生成的Event log生成对应录波
6、上位机上录波采样点数为2560个(excel导出采样点，记录统计采样个数)</t>
  </si>
  <si>
    <t>Function_AcuRev1320_014_04_case16</t>
  </si>
  <si>
    <t>电流骤升(Current Swell)，采样评率设置为16 sample/cycle，触发录波(Ia,Ib,Ic)正常</t>
  </si>
  <si>
    <t>1、连接AcuRev1320电表到Acuview2上，连接状态为connected。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额定电流设置3A
3、使用电能质量仪触发电流骤升(Current Swell), U大于(120%+10%)*3A
4、检查上位机上是否会出现电流骤升(Current Swell)的Event log。
5、点击Current Swell生成的Event log是否生成对应录波
6、上位机上检查录波采样点数是否为320个(excel导出采样点，记录统计采样个数)</t>
  </si>
  <si>
    <t>4、上位机上会出现电流骤升(Current Swell)的Event log。
6、上位机上会出现电流骤升(Current Swell)的结束的Event log。(excel导出采样点，记录统计采样个数)</t>
  </si>
  <si>
    <t>Function_AcuRev1320_014_04_case17</t>
  </si>
  <si>
    <t>电流骤升(Current Swell)，采样评率设置为32 sample/cycle，触发录波(Ia,Ib,Ic)正常</t>
  </si>
  <si>
    <t>1、连接AcuRev1320电表到Acuview2上，连接状态为connected。
1.1、设置录波采样类型"Waveform Sampling Type" 设置32 points
1.2、设置事件前波形个数(Number of recorded waves before the event occurred)为20与事件后的波形个数(Number of recorded waves after the event occurred)为20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6、上位机上检查录波采样点数是否为640个(excel导出采样点，记录统计采样个数)</t>
  </si>
  <si>
    <t>Function_AcuRev1320_014_04_case18</t>
  </si>
  <si>
    <t>电流骤升(Current Swell)，采样评率设置为64 sample/cycle，触发录波(Ia,Ib,Ic)正常</t>
  </si>
  <si>
    <t>1、连接AcuRev1320电表到Acuview2上，连接状态为connected。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6、上位机上检查录波采样点数是否为1280个(excel导出采样点，记录统计采样个数)</t>
  </si>
  <si>
    <t>Function_AcuRev1320_014_04_case19</t>
  </si>
  <si>
    <t>电流骤升(Current Swell)，采样评率设置为128 sample/cycle，触发录波(Ia,Ib,Ic)正常</t>
  </si>
  <si>
    <t>1、连接AcuRev1320电表到Acuview2上，连接状态为connected。
1.1、设置录波采样类型"Waveform Sampling Type" 设置128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</si>
  <si>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Function_AcuRev1320_014_04_case20</t>
  </si>
  <si>
    <t>电流骤升(Current Swell)，采样评率设置为256 sample/cycle，触发录波(Ia,Ib,Ic)正常</t>
  </si>
  <si>
    <t>1、连接AcuRev1320电表到Acuview2上，连接状态为connected。
1.1、设置录波采样类型"Waveform Sampling Type" 设置256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</si>
  <si>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Function_AcuRev1320_014_04_case21</t>
  </si>
  <si>
    <t>电流骤升(Current Swell)，采样评率设置为512 sample/cycle，触发录波(Ia,Ib,Ic)正常</t>
  </si>
  <si>
    <t>1、连接AcuRev1320电表到Acuview2上，连接状态为connected。
1.1、设置录波采样类型"Waveform Sampling Type" 设置512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</si>
  <si>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Function_AcuRev1320_014_04_case22</t>
  </si>
  <si>
    <t>1、连接AcuRev1320电表到Acuview2上，连接状态为connected。
1.1、设置录波采样类型"Waveform Sampling Type" 设置16points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</si>
  <si>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4、上位机上会出现电压不平衡发生的Event log。
6、上位机上检查录波采样点数为2560个(excel导出采样点，记录统计采样个数)，录波正常</t>
  </si>
  <si>
    <t>Function_AcuRev1320_014_04_case23</t>
  </si>
  <si>
    <t>电压不平衡，采样评率设置为32 sample/cycle，触发录波(Ua、Ub、Uc)正常</t>
  </si>
  <si>
    <t>1、连接AcuRev1320电表到Acuview2上，连接状态为connected。
1.1、设置录波采样类型"Waveform Sampling Type" 设置32points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</si>
  <si>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Function_AcuRev1320_014_04_case24</t>
  </si>
  <si>
    <t>电压不平衡，采样评率设置为64 sample/cycle，触发录波(Ua、Ub、Uc)正常</t>
  </si>
  <si>
    <t>1、连接AcuRev1320电表到Acuview2上，连接状态为connected。
1.1、设置录波采样类型"Waveform Sampling Type" 设置64points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</si>
  <si>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Function_AcuRev1320_014_04_case25</t>
  </si>
  <si>
    <t>电压不平衡，采样评率设置为128 sample/cycle，触发录波(Ua、Ub、Uc)正常</t>
  </si>
  <si>
    <t>1、连接AcuRev1320电表到Acuview2上，连接状态为connected。
1.1、设置录波采样类型"Waveform Sampling Type" 设置128points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</si>
  <si>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Function_AcuRev1320_014_04_case26</t>
  </si>
  <si>
    <t>电压不平衡，采样评率设置为256 sample/cycle，触发录波(Ua、Ub、Uc)正常</t>
  </si>
  <si>
    <t>1、连接AcuRev1320电表到Acuview2上，连接状态为connected。
1.1、设置录波采样类型"Waveform Sampling Type" 设置256points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</si>
  <si>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Function_AcuRev1320_014_04_case27</t>
  </si>
  <si>
    <t>电压不平衡，采样评率设置为512 sample/cycle，触发录波(Ua、Ub、Uc)正常</t>
  </si>
  <si>
    <t>1、连接AcuRev1320电表到Acuview2上，连接状态为connected。
1.1、设置录波采样类型"Waveform Sampling Type" 设置512points
2、配置阈值和抖动参数(阈值：10%，抖动：5%)
3、使用电能质量仪模拟电压不平衡，且满足不平衡电压大于15%
4、检查上位机上是否会出现电压不平衡发生的Event log。
5、点击电压不平衡生成的Event log是否生成对应录波
6、上位机上检查录波采样点数是否为2560个(excel导出采样点，记录统计采样个数)</t>
  </si>
  <si>
    <t>Function_AcuRev1320_014_04_case28</t>
  </si>
  <si>
    <t>电流不平衡，采样评率设置为16 sample/cycle，触发录波(Ua、Ub、Uc)正常</t>
  </si>
  <si>
    <t>1、连接AcuRev1320电表到Acuview2上，连接状态为connected。
1.1、设置录波采样类型"Waveform Sampling Type" 设置16points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</si>
  <si>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4、上位机上会出现电流不平衡发生的Event log。
6、上位机上检查录波采样点数为2560个(excel导出采样点，记录统计采样个数)，录波正常</t>
  </si>
  <si>
    <t>Function_AcuRev1320_014_04_case29</t>
  </si>
  <si>
    <t>电流不平衡，采样评率设置为32 sample/cycle，触发录波(Ua、Ub、Uc)正常</t>
  </si>
  <si>
    <t>1、连接AcuRev1320电表到Acuview2上，连接状态为connected。
1.1、设置录波采样类型"Waveform Sampling Type" 设置32points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</si>
  <si>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Function_AcuRev1320_014_04_case30</t>
  </si>
  <si>
    <t>电流不平衡，采样评率设置为64 sample/cycle，触发录波(Ua、Ub、Uc)正常</t>
  </si>
  <si>
    <t>1、连接AcuRev1320电表到Acuview2上，连接状态为connected。
1.1、设置录波采样类型"Waveform Sampling Type" 设置64points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</si>
  <si>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Function_AcuRev1320_014_04_case31</t>
  </si>
  <si>
    <t>电流不平衡，采样评率设置为128 sample/cycle，触发录波(Ua、Ub、Uc)正常</t>
  </si>
  <si>
    <t>1、连接AcuRev1320电表到Acuview2上，连接状态为connected。
1.1、设置录波采样类型"Waveform Sampling Type" 设置128points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</si>
  <si>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Function_AcuRev1320_014_04_case32</t>
  </si>
  <si>
    <t>电流不平衡，采样评率设置为256 sample/cycle，触发录波(Ua、Ub、Uc)正常</t>
  </si>
  <si>
    <t>1、连接AcuRev1320电表到Acuview2上，连接状态为connected。
1.1、设置录波采样类型"Waveform Sampling Type" 设置256points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</si>
  <si>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Function_AcuRev1320_014_04_case33</t>
  </si>
  <si>
    <t>电流不平衡，采样评率设置为512 sample/cycle，触发录波(Ua、Ub、Uc)正常</t>
  </si>
  <si>
    <t>1、连接AcuRev1320电表到Acuview2上，连接状态为connected。
1.1、设置录波采样类型"Waveform Sampling Type" 设置512points
2、配置阈值和抖动参数(阈值：20%，抖动：10%)，
3、使用电能质量仪模拟电流不平衡，且满足不平衡电流大于30%
4、检查上位机上是否会出现电流不平衡发生的Event log。
5、点击电流不平衡生成的Event log是否生成对应录波
6、上位机上检查录波采样点数是否为2560个(excel导出采样点，记录统计采样个数)</t>
  </si>
  <si>
    <t>Function_AcuRev1320_014_04_case34</t>
  </si>
  <si>
    <t>1、连接AcuRev1320电表到Acuview2上，连接状态为connected。
2、打开录波，使用电能质量测试仪构造条件触发waveform log多条
3.点击save to file保存数据
4.比对保存的数据与页面展示数据是否一致</t>
  </si>
  <si>
    <t>Function_AcuRev1320_014_04_case35</t>
  </si>
  <si>
    <t>waveform log数据读取范围</t>
  </si>
  <si>
    <t>Function_AcuRev1320_014_04_case36</t>
  </si>
  <si>
    <t>HMI上读waveform log数据</t>
  </si>
  <si>
    <t>1、连接AcuRev1320电表到Acuview2上，连接状态为connected。
2、打开录波，使用电能质量测试仪构造条件触发waveform log多条
3.上位机读所产生的所有数据
4.HMI点击logs查看waveform log数据
5.比对上位机与电表HMI中waveform log条数与内容是否一致</t>
  </si>
  <si>
    <t>3.上位机读产生的数据成功
5.上位机与电表HMI中waveform log条数与内容一致</t>
  </si>
  <si>
    <t>Function_AcuRev1320_014_04_case37</t>
  </si>
  <si>
    <t>waveform log数据清除功能</t>
  </si>
  <si>
    <t>1、连接AcuRev1320电表到Acuview2上，连接状态为connected。
2、打开录波，使用电能质量测试仪构造条件触发waveform log多条
3.上位机点击清除waveform log
4.读记录的事件条数及内容是否均被清掉</t>
  </si>
  <si>
    <t>构造超过200个waveform log，并随机读取其中几个waveform log 的波形，均可以读取成功</t>
  </si>
  <si>
    <t>3、 全部读取成功</t>
  </si>
  <si>
    <t>Function_AcuRev1320_014_04_case39</t>
  </si>
  <si>
    <t xml:space="preserve">上位机“DI Trigger Waveform Capture”栏， 设置DI1 Trigger 、DI2 Trigger、DI3Trigger为0，mannul Trigger 为0
</t>
  </si>
  <si>
    <t xml:space="preserve">1、连接AcuRev1320电表到Acuview2上，连接状态为connected。
1.1、设置录波采样类型"Waveform Sampling Type" 设置64 points，num of rec before、num of rec after分别为20
2、上位机“DI1 Trigger Waveform Capture”栏， 设置DI1 Trigger 、DI2 Trigger、DI3Trigger为0，mannul Trigger 为0
3.表计分别模拟DI1、DI2、DI3事件录波
4、检查上位机上是否会出现DI状态变化的waveform log。
5、点击waveform log，录波界面是否对应录波生成
</t>
  </si>
  <si>
    <t>4、上位机上不会出现DI状态变化的waveform log。
5、录波界面没有对应录波生成</t>
  </si>
  <si>
    <t>Function_AcuRev1320_014_04_case40</t>
  </si>
  <si>
    <t>上位机“DI Trigger Waveform Capture”栏， 设置DI1 Trigger 为1、DI2 Trigger、DI3 Trigger为0，mannul Trigger 为0</t>
  </si>
  <si>
    <t xml:space="preserve">1、连接AcuRev1320电表到Acuview2上，连接状态为connected。
1.1、设置录波采样类型"Waveform Sampling Type" 设置64 points，num of rec before、num of rec after分别为10
2、上位机“DI1 Trigger Waveform Capture”栏， 设置DI1 Trigger 为1、DI2 Trigger、DI3 Trigger为0，mannul Trigger 为0
3.表计模拟DI1事件录波
4、检查上位机上是否会出现DI状态变化的waveform log。
5、点击waveform log，录波界面是否对应录波生成
</t>
  </si>
  <si>
    <t>4、检查上位机上会出现DI状态变化的waveform log。
5、点击waveform log，录波界面有对应录波生成</t>
  </si>
  <si>
    <t>Function_AcuRev1320_014_04_case41</t>
  </si>
  <si>
    <t>上位机“DI Trigger Waveform Capture”栏， 设置DI2 Trigger 为1、DI1Trigger、DI3 Trigger为0，mannul Trigger 为0</t>
  </si>
  <si>
    <t>1、连接AcuRev1320电表到Acuview2上，连接状态为connected。
1.1、设置录波采样类型"Waveform Sampling Type" 设置32 points，num of rec before、num of rec after分别为15
2、上位机“DI2 Trigger Waveform Capture”栏， 设置DI2 Trigger 为1、DI1Trigger、DI3 Trigger为0，mannul Trigger 为0
3.表计模拟DI2事件录波
4、检查上位机上是否会出现DI状态变化的waveform log。
5、点击waveform log，录波界面是否对应录波生成</t>
  </si>
  <si>
    <t>Function_AcuRev1320_014_04_case42</t>
  </si>
  <si>
    <t>上位机“DI Trigger Waveform Capture”栏， 设置DI3 Trigger 为1、DI1Trigger、DI2 Trigger，mannul Trigger 为0</t>
  </si>
  <si>
    <t>1、连接AcuRev1320电表到Acuview2上，连接状态为connected。
1.1、设置录波采样类型"Waveform Sampling Type" 设置16 points，num of rec before、num of rec after分别为10
2、上位机“DI3 Trigger Waveform Capture”栏， 设置DI3 Trigger 为1、DI1Trigger、DI2 Trigger为0，mannul Trigger 为0
3.表计模拟DI3事件录波
4、检查上位机上是否会出现DI状态变化的waveform log。
5、点击waveform log，录波界面是否对应录波生成</t>
  </si>
  <si>
    <t>Function_AcuRev1320_014_04_case43</t>
  </si>
  <si>
    <t>上位机“DI Trigger Waveform Capture”栏，设置mannul Trigger 为1（打开手动Trigger ）</t>
  </si>
  <si>
    <t>1、连接AcuRev1320电表到Acuview2上，连接状态为connected。
1.1、设置录波采样类型"Waveform Sampling Type" 设置16 points，num of rec before、num of rec after分别为10
2、上位机“mannul Trigger”栏， 设置DI1Trigger、DI2 Trigger、DI3 Trigger为0，mannul Trigger 为1
3、检查上位机上是否会出现mannul Trigger状态变化的waveform log。
4、点击waveform log，录波界面是否对应录波生成</t>
  </si>
  <si>
    <t>4、检查上位机上会出现mannul Trigger状态变化的waveform log。
5、点击waveform log，录波界面有对应录波生成</t>
  </si>
  <si>
    <t>Function_AcuRev1320_014_04_case44</t>
  </si>
  <si>
    <t>上位机“DI Trigger Waveform Capture”栏，设置mannul Trigger 为1（打开手动Trigger ）、DI1Trigger为1</t>
    <phoneticPr fontId="10" type="noConversion"/>
  </si>
  <si>
    <t>1、连接AcuRev1320电表到Acuview2上，连接状态为connected。
1.1、设置录波采样类型"Waveform Sampling Type" 设置32 points，num of rec before、num of rec after分别为10
2、上位机“mannul Trigger”栏， 设置DI1Trigger为1、DI2 Trigger、DI3 Trigger 为0，mannul Trigger 为1
3、表计模拟DI1事件录波3次
4、检查上位机上是否会出现mannul Trigger、DI1Trigger状态变化的waveform log。
5、点击waveform log，录波界面是否对应录波生成</t>
  </si>
  <si>
    <t>4、检查上位机上会出现mannul Trigger、DI1 Trigger状态变化的waveform log。
5、点击waveform log，mannul Trigger、DI1 Trigger录波界面有对应录波生成</t>
  </si>
  <si>
    <t>Function_AcuRev1320_014_04_case45</t>
  </si>
  <si>
    <t>多次触发手动录波，数据能立即准确读出，无延时</t>
  </si>
  <si>
    <t>1、连接AcuRev1320电表到Acuview2上，连接状态为connected。
1.1、设置录波采样类型"Waveform Sampling Type" 设置32 points，num of rec before、num of rec after分别为10
2.表计连续触发3~4次手动录波，读录波内容</t>
  </si>
  <si>
    <t>2.触发结束后录波能立即读出来</t>
  </si>
  <si>
    <t>上位机“DI Trigger Waveform Capture”栏，设置mannul Trigger 为0，DI1Trigger为1、DI2Trigger为2、DI3Trigger为3、DI4Trigger为4</t>
  </si>
  <si>
    <t>1、连接AcuRev1320电表到Acuview2上，连接状态为connected。
1.1、设置录波采样类型"Waveform Sampling Type" 设置32 points，num of rec before、num of rec after分别为10
2、上位机“mannul Trigger”栏， 设置DI1Trigger为1、DI2 Trigger为2、DI3 Trigger为3，mannul Trigger 为0
3、表计模拟DI1-3事件录波同时触发
4、检查上位机上是否会出现mannul Trigger、DI1-3Trigger状态变化的waveform log。
5、点击waveform log，录波界面是否对应录波生成</t>
  </si>
  <si>
    <t>4、检查上位机上会出现DI1-3 Trigger状态变化的waveform log。
5、点击waveform log录波界面有对应录波生成</t>
  </si>
  <si>
    <t>告警功能</t>
  </si>
  <si>
    <t>告警公共功能验证</t>
  </si>
  <si>
    <t>Function_AcuRev1320_015_01_case1</t>
  </si>
  <si>
    <t>上位机最多配置20个Alarm monitors，告警功能均正常</t>
    <phoneticPr fontId="10" type="noConversion"/>
  </si>
  <si>
    <t>1、连接AcuRev1320电表到Acuview2上，连接状态为connected。
2、检查上位机配置20条Alarm monitors，点击“update， 
3、检查上位机告警配置是否成功，且无弹窗报错。</t>
  </si>
  <si>
    <t>3、检查上位机告警配置成功，无弹窗报错。</t>
  </si>
  <si>
    <t>Function_AcuRev1320_015_01_case2</t>
  </si>
  <si>
    <t>1、连接AcuRev1320电表到Acuview2上，连接状态为connected。
2、设置告警条件，使用电能质量测试仪构造条件触发alarm log多条
3.点击save to file保存数据
4.比对保存的数据与页面展示数据是否一致</t>
  </si>
  <si>
    <t>Function_AcuRev1320_015_01_case3</t>
  </si>
  <si>
    <t>alarm log数据读取范围</t>
    <phoneticPr fontId="10" type="noConversion"/>
  </si>
  <si>
    <t>1、连接AcuRev1320电表到Acuview2上，连接状态为connected。
2、设置告警条件，使用电能质量测试仪构造条件触发alarm log多条
3.上位机选择读最近20条数据
4.查看数据是否准确
5.上位机选择读最近60条数据
6.查看数据是否准确
7上位机选择读200条数据
8.查看数据是否准确</t>
  </si>
  <si>
    <t>Function_AcuRev1320_015_01_case4</t>
  </si>
  <si>
    <t>HMI上读alarm log数据</t>
    <phoneticPr fontId="10" type="noConversion"/>
  </si>
  <si>
    <t>1、连接AcuRev1320电表到Acuview2上，连接状态为connected。
2、设置告警条件，使用电能质量测试仪构造条件触发alarm log多条
3.上位机读所产生的所有数据
4.HMI点击logs查看alarm log数据
5.比对上位机与电表HMI中alarm log条数与内容是否一致</t>
  </si>
  <si>
    <t>3.上位机读产生的数据成功
5.上位机与电表HMI中alarm log条数与内容一致</t>
  </si>
  <si>
    <t>1、连接AcuRev1320电表到Acuview2上，连接状态为connected。
2、设置告警条件，使用电能质量测试仪构造条件触发alarm log多条
3.上位机、HMI点击清除alarm log
4.读记录的事件条数及内容是否均被清掉</t>
  </si>
  <si>
    <t>Function_AcuRev1320_015_01_case6</t>
  </si>
  <si>
    <t>alarm  log修改告警参数</t>
    <phoneticPr fontId="10" type="noConversion"/>
  </si>
  <si>
    <t>1、连接AcuRev1320电表到Acuview2上，连接状态为connected。
2、设置一条告警
3.模拟产生该告警对应的告警事件，未结束
4.修改该告警</t>
  </si>
  <si>
    <t>3.告警发生
4.修改参数要将当前通道修改前的告警结束掉，要记录结束log,但是结束log不是记录end,而是最好能结束，记录log,但状态不是off，而是配置变化 (Configuration change)</t>
  </si>
  <si>
    <t>Function_AcuRev1320_015_01_case7</t>
    <phoneticPr fontId="10" type="noConversion"/>
  </si>
  <si>
    <t>Alarm Log Setting 页面，配置告警参数时，检查上位机配置的Real-time参数是HS 20 ms 的参数</t>
    <phoneticPr fontId="10" type="noConversion"/>
  </si>
  <si>
    <t>1、连接AcuRev1320电表到Acuview2上，连接状态为connected。
2、检查上位机Alarm Log setting 页面，告警参数中的Real-time 的参数</t>
    <phoneticPr fontId="10" type="noConversion"/>
  </si>
  <si>
    <t>2、 Real-time 的参数是HS 20ms 的参数</t>
    <phoneticPr fontId="10" type="noConversion"/>
  </si>
  <si>
    <t>Function_AcuRev1320_015_01_case8</t>
  </si>
  <si>
    <t>Alarm Log Setting 页面，配置告警参数时，检查上位机配置的不平衡参数是HS 20 ms 的参数</t>
    <phoneticPr fontId="10" type="noConversion"/>
  </si>
  <si>
    <t>1、连接AcuRev1320电表到Acuview2上，连接状态为connected。
2、检查上位机Alarm Log setting 页面，告警参数中的不平衡的参数</t>
    <phoneticPr fontId="10" type="noConversion"/>
  </si>
  <si>
    <t>2、 不平衡的参数是HS 20ms 的参数</t>
    <phoneticPr fontId="10" type="noConversion"/>
  </si>
  <si>
    <t>Function_AcuRev1320_015_01_case9</t>
  </si>
  <si>
    <t>打开Alarm使能，参数选Van、Vbn，逻辑“大于&amp;“AND”，配置启动值120V，启动延迟0ms，释放值115V，释放延迟0ms，满足告警阈值，触发和消除告警正常</t>
    <phoneticPr fontId="10" type="noConversion"/>
  </si>
  <si>
    <t>1、连接AcuRev1320电表到Acuview2上，连接状态为connected。
2、配置Alarm使能，参数选Van、Vbn，逻辑：“大于、“AND”，启动值120V，启动延迟0ms，释放值115V，检查配置是否成功。
3、电源输入Van电压121V，电源输入Vbn电压119V
4、检查上位机告警界面和HMI告警界面，触发的告警是否被正确记录(状态:“end”)
5、电源输入Van、Vbn电压121V
6、检查上位机告警界面和HMI告警界面，触发的告警是否被正确记录(状态:“start”)
7、电源输入Van、Vbn电压115V
8、检查上位机告警界面和HMI告警界面，是否新增一条触发的告警(状态:“end”)</t>
  </si>
  <si>
    <t>2、配置成功。
4、检查上位机告警界面和HMI告警界面，没有立即新增一条对应告警记录(状态:“end”)
6、检查上位机告警界面和HMI告警界面，立即新增一条对应告警被正确记录(状态:“start”)
8、检查上位机告警界面和HMI告警界面，立即新增一条对应告警(状态:“end”)</t>
  </si>
  <si>
    <t>Function_AcuRev1320_015_01_case10</t>
  </si>
  <si>
    <t>打开Alarm使能，参数选Ia、Ib，逻辑“小于&amp;“or”，配置启动值3A，启动延迟30000ms，释放值3.5A，释放延迟0ms，满足告警阈值，触发和消除告警正常</t>
    <phoneticPr fontId="10" type="noConversion"/>
  </si>
  <si>
    <t>1、连接AcuRev1320电表到Acuview2上，连接状态为connected。
2、配置Alarm使能，参数选Ia、Ib，逻辑：“小于、“or”，配置启动值3A，启动延迟30000ms，释放值3.5A，释放延迟0ms，检查配置是否成功。
3、电源输入Ia、Ib电压4A
4、检查上位机告警界面和HMI告警界面，触发的告警是否被正确记录(状态:“end”)
5、电源输入Ia电压2.5A，Ib电压4A
6、检查上位机告警界面和HMI告警界面，是否新增一条触发的告警(状态:“start”)
7、电源输入Ia电压4A，Ib电压4A
8、检查上位机告警界面和HMI告警界面，是否新增一条触发的告警(状态:“end”)
9、电源输入Ia电压2.5A，Ib电压2.5A
10、检查上位机告警界面和HMI告警界面，是否新增一条触发的告警(状态:“start”)
11、电源输入Ia电压4A，Ib电压4A
12、检查上位机告警界面和HMI告警界面，是否新增一条触发的告警(状态:“end”)</t>
  </si>
  <si>
    <t>2、配置成功。
4、检查上位机告警界面和HMI告警界面，没有立即新增对应告警记录(状态:“end”)
6、检查上位机告警界面和HMI告警界面，30000ms后新增一条对应的告警(状态:“start”)
8、检查上位机告警界面和HMI告警界面，立即新增一条对应的告警(状态:“end”)
10、检查上位机告警界面和HMI告警界面，30000ms后新增一条对应告警(状态:“start”)
12、检查上位机告警界面和HMI告警界面，立即新增一条对应的告警(状态:“end”)</t>
  </si>
  <si>
    <t>Function_AcuRev1320_015_01_case11</t>
  </si>
  <si>
    <t>打开Alarm使能，参数选Van、Vbn，逻辑”小于“&amp;“or”，参数一：Van配置启动值115V，启动延迟0ms，释放值120V，释放延迟0ms，参数二：Vbn配置启动值115V，启动延迟0ms，释放值120V，释放延迟0ms， 满足告警阈值，触发和消除告警正常</t>
    <phoneticPr fontId="10" type="noConversion"/>
  </si>
  <si>
    <t>1、连接AcuRev1320电表到Acuview2上，连接状态为connected。
2、配置Alarm使能，参数选Van、Vbn，逻辑”小于“、“or”，参数一：Van配置启动值115V，启动延迟0ms，释放值120V，释放延迟0ms，
参数二：Vbn配置启动值115V，启动延迟0ms，释放值120V，释放延迟0ms，检查配置是否成功。
3、电源输入Van、Vbn电压105V、120V
4、检查上位机告警界面和HMI告警界面，触发的告警是否被正确记录(状态:“start”)
5、电源输入Van、Vbn电压105V、105V
6、检查上位机告警界面和HMI告警界面，触发的告警是否被正确记录(状态:“start”)
7、电源输入Van、Vbn电压122V
8、检查上位机告警界面和HMI告警界面，是否新增一条触发的告警(状态:“end”)</t>
  </si>
  <si>
    <t>2、配置成功。
4、检查上位机告警界面和HMI告警界面，立即新增一条对应告警记录(状态:“start”)
6、检查上位机告警界面和HMI告警界面，警记录状态没有变化
8、检查上位机告警界面和HMI告警界面，立即新增一条对应告警(状态:“end”)</t>
  </si>
  <si>
    <t>Function_AcuRev1320_015_01_case12</t>
  </si>
  <si>
    <t>打开Alarm使能，参数选Van、Vbn，验证逻辑不能选择"="</t>
    <phoneticPr fontId="10" type="noConversion"/>
  </si>
  <si>
    <t>1、连接AcuRev1320电表到Acuview2上，连接状态为connected。
2、配置Alarm使能，参数选Van、Vbn，逻辑“=、“AND”，配置启动值120V，释放值125V,启动延迟5000ms,释放延迟5000ms，检查配置是否成功。</t>
  </si>
  <si>
    <t>2、电压不支持选择“=”，没有“=”可选择</t>
  </si>
  <si>
    <t>Function_AcuRev1320_015_01_case13</t>
  </si>
  <si>
    <t>打开Alarm使能，参数选Ia、Ib，验证逻辑不能选择"="</t>
    <phoneticPr fontId="10" type="noConversion"/>
  </si>
  <si>
    <t>1、连接AcuRev1320电表到Acuview2上，连接状态为connected。
2、配置Alarm使能，参数选Ia、Ib，逻辑“=、“or”，配置启动值3A，释放值4A,启动延迟10000ms,释放延迟10000ms，检查配置是否成功。</t>
  </si>
  <si>
    <t>2、电流不支持选择“=”，没有“=”可选择</t>
  </si>
  <si>
    <t>关闭Alarm使能，满足超过告警门限值和不满足条件，均不会产生告警。</t>
    <phoneticPr fontId="10" type="noConversion"/>
  </si>
  <si>
    <t>1、连接AcuRev1320电表到Acuview2上，连接状态为connected。
2、配置Alarm未使能，参数选Van、Vbn，逻辑”小于“、“or”，参数一：Van配置启动值115V，启动延迟0ms，释放值120V，释放延迟0ms，
3、电源输入Van、Vbn电压125V
4、检查上位机告警界面和HMI告警界面，触发的告警是否被正确记录
5、电源输入Van、Vbn电压100V
6、检查上位机告警界面和HMI告警界面，是否新增一条触发的告警</t>
  </si>
  <si>
    <t>2、配置成功。
4、检查上位机告警界面和HMI告警界面，没有立即新增对应告警记录
6、检查上位机告警界面和HMI告警界面，没有立即新增一条对应的告警</t>
  </si>
  <si>
    <t>Function_AcuRev1320_015_01_case15</t>
  </si>
  <si>
    <t>打开Alarm使能，参数选Van、Vbn，逻辑“大于&amp;“AND”，配置启动值120V，释放值125V,启动延迟0ms,释放延迟0ms，配置失败，提示“逻辑“&gt;”,pickup value需要大于dropout value”</t>
    <phoneticPr fontId="10" type="noConversion"/>
  </si>
  <si>
    <t xml:space="preserve">1、连接AcuRev1320电表到Acuview2上，连接状态为connected。
2、配置打开Alarm使能，参数选Van、Vbn，逻辑“大于、“AND”，配置启动值120V，释放值125V,启动延迟0ms,释放延迟0ms，点击“update”
3、检查配置是否成功。
</t>
  </si>
  <si>
    <t>2、配置失败，提示“逻辑“&gt;”,pickup value需要大于dropout value”</t>
  </si>
  <si>
    <t>Function_AcuRev1320_015_01_case16</t>
  </si>
  <si>
    <t>打开Alarm使能，参数选Ia、Ib，逻辑“小于&amp;“or”，配置启动值3A，启动延迟30000ms，释放值2.5A，释放延迟0ms，配置失败，提示“逻辑“&lt;”,pickup value需要小于dropout value”</t>
    <phoneticPr fontId="10" type="noConversion"/>
  </si>
  <si>
    <t xml:space="preserve">1、连接AcuRev1320电表到Acuview2上，连接状态为connected。
2、配置Alarm使能，参数选Ia、Ib，逻辑“小于、“or”，配置启动值3A，启动延迟30000ms，释放值2.5A，释放延迟0ms，点击“update”
3、检查配置是否成功。
</t>
  </si>
  <si>
    <t>2、配置失败，提示“逻辑“&lt;”,pickup value需要小于dropout value”</t>
  </si>
  <si>
    <t>Function_AcuRev1320_015_01_case17</t>
  </si>
  <si>
    <t>打开Alarm使能，参数选Va、Vb，逻辑“等于“&amp;“or”，配置启动值120V，释放值120V,启动延迟0ms,释放延迟0ms，  配置失败，提示“逻辑“=”,pickup value不能等于dropout value”</t>
    <phoneticPr fontId="10" type="noConversion"/>
  </si>
  <si>
    <t xml:space="preserve">1、连接AcuRev1320电表到Acuview2上，连接状态为connected。
2、配置打开Alarm使能，参数选Va、Vb，逻辑“&gt;“、“or”，配置启动值120V，释放值120V,启动延迟0ms,释放延迟0ms，点击“update”
3、检查配置是否成功。
</t>
  </si>
  <si>
    <t>2、配置失败，提示“逻辑“=”,pickup value不能等于dropout value”</t>
  </si>
  <si>
    <t>Function_AcuRev1320_015_01_case18</t>
  </si>
  <si>
    <t>1、连接AcuRev1320电表到Acuview2上，连接状态为connected。
2、配置Alarm使能，参数选Van、Vbn，逻辑“大于、“AND”，配置启动值120V，启动延迟20000ms，释放值115V，释放延迟20000ms，检查配置是否成功。
2.1、DO1为enable，I/O模块DOSetting配置Alarm，检查配置是否成功。
3、电源输入Van电压121V，电源输入Vbn电压121V
4、检查上位机告警界面和HMI告警界面，触发的告警是否被正确记录(状态:“start”)
4.1、检查DO1是否产生高电平
5、电源输入Van、Vbn电压113V
6、检查上位机告警界面和HMI告警界面，是否新增一条触发的告警(状态:“end”)
6.1 检查DO1是否产生低电平</t>
  </si>
  <si>
    <t>2、配置成功。
2.1、配置成功。
4、检查上位机告警界面和HMI告警界面，20s后新增一条对应告警记录(状态:“start”)
4.1、DO1产生高电平
6、检查上位机告警界面和HMI告警界面，20s后新增一条对应告警被正确记录(状态:“end”)
6.1、DO1产生低电平</t>
  </si>
  <si>
    <t>Function_AcuRev1320_015_01_case19</t>
  </si>
  <si>
    <t>打开Alarm使能，参数选Van、Vbn，逻辑“大于&amp;“AND”，配置启动值120V，启动延迟20000ms，释放值115V，释放延迟20000ms，DO1为enable，I/O模块DOSetting配置Alarm，满足告警阈值，触发和消除DO产生高电平正常</t>
    <phoneticPr fontId="10" type="noConversion"/>
  </si>
  <si>
    <t>1、连接AcuRev1320电表到Acuview2上，连接状态为connected。
2、配置Alarm使能，参数选Van、Vbn，逻辑“大于、“AND”，配置启动值120V，启动延迟20000ms，释放值115V，释放延迟20000ms，检查配置是否成功。
2.1、DO1为enable，I/O模块DOSetting配置Alarm，检查配置是否成功。
3、电源输入Van电压121V，电源输入Van电压121V
4、检查上位机告警界面和HMI告警界面，触发的告警是否被正确记录(状态:“start”)
4.1、检查DO1是否产生高电平
5、电源输入Van、Vbn电压115V
6、检查上位机告警界面和HMI告警界面，是否新增一条触发的告警(状态:“end”)
6.1 检查DO1是否产生低电平</t>
  </si>
  <si>
    <t>Function_AcuRev1320_015_01_case20</t>
  </si>
  <si>
    <t>打开Alarm使能，参数选Van、Vbn，逻辑“大于&amp;“AND”，配置启动值120V，启动延迟20000ms，释放值115V，释放延迟20000ms，DO1为disable，I/O模块DOSetting配置Alarm，满足告警阈值，不会触发DO1高电平</t>
    <phoneticPr fontId="10" type="noConversion"/>
  </si>
  <si>
    <t>1、连接AcuRev1320电表到Acuview2上，连接状态为connected。
2、配置Alarm使能，参数选Van、Vbn，逻辑“大于、“AND”，配置启动值120V，启动延迟20000ms，释放值115V，释放延迟20000ms，检查配置是否成功。
2.1、DO1为disable，I/O模块DOSetting配置Alarm，检查配置是否成功。
3、电源输入Van电压121V，电源输入Van电压121V
4、检查上位机告警界面和HMI告警界面，触发的告警是否被正确记录(状态:“end”)
4.1、检查DO1是否产生高电平</t>
  </si>
  <si>
    <t xml:space="preserve">2、配置成功。
2.1、配置成功。
4、检查上位机告警界面和HMI告警界面，20s后不会新增一条对应告警记录(状态:“end”)
4.1、DO1不会产生高电平
</t>
  </si>
  <si>
    <t>Function_AcuRev1320_015_01_case21</t>
  </si>
  <si>
    <t>上位机 Alarm 配置页面，Logic默认配置为Disable</t>
    <phoneticPr fontId="10" type="noConversion"/>
  </si>
  <si>
    <t>1、连接AcuRev1320电表到Acuview2上，连接状态为connected。
2、告警未配置时,检查上位机Alarm 配置页面</t>
  </si>
  <si>
    <t>2、 告警的Logic默认配置为Disable</t>
  </si>
  <si>
    <t>告警记录</t>
  </si>
  <si>
    <t>Function_AcuRev1320_015_02_case1</t>
  </si>
  <si>
    <t>循环记录最多 200个告警日志</t>
    <phoneticPr fontId="10" type="noConversion"/>
  </si>
  <si>
    <t>1、Acuview2上位机
2、网线/RTU串口线
3、AcuRev1320电表
4、HMI和上位机上，可观察到告警记录200条。</t>
  </si>
  <si>
    <t>3、上位机告警界面和HMI高级界面，第201条告警被正确记录(时间，事件类型)
4、上位机告警界面和HMI高级界面第一条告警是否被删除， 满足告警先进先出记录原则</t>
  </si>
  <si>
    <t>Function_AcuRev1320_015_02_case2</t>
  </si>
  <si>
    <t>2、配置成功。
4、检查上位机告警界面和HMI告警界面，立即新增一条对应的告警记录(状态:“start”)
5、检查时间戳格式为年-月-日 时:分:秒:毫秒
6、检查告警持续时间为告警启动和释放之间的时间（ms）</t>
  </si>
  <si>
    <t>Function_AcuRev1320_015_02_case3</t>
  </si>
  <si>
    <t>用户可以通过 Modbus 命令删除所有告警日志。</t>
    <phoneticPr fontId="10" type="noConversion"/>
  </si>
  <si>
    <t>1、连接AcuRev1320电表到Acuview2上，连接状态为connected。
2、上位机reading界面点击“Clear Alarm log”
3、检查上位上log是否被清除
4、断开上位机， 重新连接上位机
5、检查上位上log是否被清除，且没有恢复。</t>
  </si>
  <si>
    <t>3、检查上位上log被清除
5、检查上位上log被清除，且没有恢复。</t>
  </si>
  <si>
    <t>Basic Parameters告警</t>
  </si>
  <si>
    <t>Function_AcuRev1320_015_03_case1</t>
    <phoneticPr fontId="10" type="noConversion"/>
  </si>
  <si>
    <t>打开Alarm使能，参数选Frequency，逻辑“&gt;”&amp;“None”，配置启动62HZ，启动延迟0ms，释放值60HZ，释放延迟5000ms，满足告警阈值，触发和消除告警正常</t>
  </si>
  <si>
    <t>1、连接AcuRev1320电表到Acuview2上，连接状态为connected。
2、配置Alarm使能，参数选Frequency，逻辑“&gt;”、“None”，配置启动62HZ，启动延迟5000ms，释放值60HZ，释放延迟5000ms。
3、电源输入Frequency 为60HZ
4、检查上位机告警界面和HMI告警界面，触发的告警是否被正确记录(状态:“end”)
5、电源输入Frequency 为63HZ
6、检查上位机告警界面和HMI告警界面，触发的告警是否被正确记录(状态:“start”)
7、电源输入Frequency 为59HZ
8、检查上位机告警界面和HMI告警界面，触发的告警是否被正确记录(状态:“end”)
备注:告警逻辑关系为NULL时，只执行第一条告警</t>
  </si>
  <si>
    <t>打开Alarm使能，参数选Frequency，验证逻辑不能选择"="</t>
  </si>
  <si>
    <t>1、连接AcuRev1320电表到Acuview2上，连接状态为connected。
2、配置Alarm使能，参数选Frequency，逻辑“=”、“None”，配置启动65HZ，启动延迟10000ms，释放值60HZ，释放延迟10000ms。</t>
  </si>
  <si>
    <t>2、频率不支持选择“=”，没有“=”可选择</t>
  </si>
  <si>
    <t>Function_AcuRev1320_015_03_case3</t>
  </si>
  <si>
    <t>打开Alarm使能，参数选Vbn&amp;Vca，逻辑“&lt;”&amp;“or”，配置启动120V，启动延迟0ms，释放值150V，释放延迟0ms，满足告警阈值，触发和消除告警正常</t>
  </si>
  <si>
    <t>1、连接AcuRev1320电表到Acuview2上，连接状态为connected。
2、配置Alarm使能，参数选Vbn&amp;Vca，逻辑“&lt;”、“or”，配置启动120V，启动延迟0ms，释放值150V，释放延迟0ms。
3、电源输入Vbn为115V，Vca 为125V
4、检查上位机告警界面和HMI告警界面，触发的告警是否被正确记录(状态:“end”)
5、电源输入Vbn&amp;Vca 为151V
6、检查上位机告警界面和HMI告警界面，触发的告警是否被正确记录(状态:“start”)
备注:告警逻辑关系为NULL时，只执行第一条告警</t>
  </si>
  <si>
    <t>4、检查上位机告警界面和HMI告警界面，立即新增一条对应的告警记录(状态:“start”)
6、检查上位机告警界面和HMI告警界面，立即新增一条对应的告警记录(状态:“end”)</t>
  </si>
  <si>
    <t>Function_AcuRev1320_015_03_case4</t>
  </si>
  <si>
    <t xml:space="preserve">打开Alarm使能，参数选Vlnavg，逻辑“&gt;”&amp;“none”，配置启动值120V，启动延迟10000ms，释放值100V，释放延迟10000ms，满足告警阈值，触发和消除告警正常 </t>
  </si>
  <si>
    <t>1、连接AcuRev1320电表到Acuview2上，连接状态为connected。
2、配置Alarm使能，参数选Vlnavg，逻辑“&gt;”、“none”，配置启动值120V，启动延迟10000ms，释放值100V，释放延迟10000ms.
3、电源输入Vlnavg为100V
4、检查上位机告警界面和HMI告警界面，触发的告警是否被正确记录(状态:“end”)
5、电源输入Vlnavg为122V
6、检查上位机告警界面和HMI告警界面，触发的告警是否被正确记录(状态:“start”)
7、电源输入Vlnavg 为98V
8、检查上位机告警界面和HMI告警界面，触发的告警是否被正确记录(状态:“end”)
备注:告警逻辑关系为NULL时，只执行第一条告警</t>
  </si>
  <si>
    <t>4、检查上位机告警界面和HMI告警界面，沒有立即新增一条对应的告警记录(状态:“end”)
6、检查上位机告警界面和HMI告警界面，立即新增一条对应的告警记录(状态:“start”)
8、检查上位机告警界面和HMI告警界面，立即新增一条对应的告警记录(状态:“end”)</t>
  </si>
  <si>
    <t>Function_AcuRev1320_015_03_case5</t>
  </si>
  <si>
    <t xml:space="preserve">打开Alarm使能，参数选Vab，逻辑“&gt;”&amp;“none”，配置启动值207.84V，启动延迟10000ms，释放值173.2V，释放延迟10000ms，满足告警阈值，触发和消除告警正常  </t>
  </si>
  <si>
    <t>1、连接AcuRev1320电表到Acuview2上，连接状态为connected。
2、配置Alarm使能，参数选Vab，逻辑“&gt;”&amp;“none”，配置启动值207.84V，启动延迟10000ms，释放值173.2V，释放延迟10000ms.
3、电源输入Vab为173.2V
4、检查上位机告警界面和HMI告警界面，触发的告警是否被正确记录
5、电源输入Vab为207.84V
6、检查上位机告警界面和HMI告警界面，触发的告警是否被正确记录(状态:"end")
7、电源输入Vab 为173.2V
8、检查上位机告警界面和HMI告警界面，触发的告警是否被正确记录(状态:"start")
备注:告警逻辑关系为NULL时，只执行第一条告警</t>
  </si>
  <si>
    <t>4、检查上位机告警界面和HMI告警界面，沒有立即新增一条对应的告警记录(状态:"end")
6、检查上位机告警界面和HMI告警界面，10s后立即新增一条对应的告警记录(状态:"end")
8、检查上位机告警界面和HMI告警界面，10s后立即新增一条对应的告警记录(状态:"start")</t>
  </si>
  <si>
    <t>Function_AcuRev1320_015_03_case6</t>
  </si>
  <si>
    <t>打开Alarm使能，参数选Vbc&amp;Vbn，逻辑“&gt;”&amp;“and”，配置启动值207.84V，启动延迟0ms，释放值173.2V，释放延迟0ms，满足告警阈值，触发和消除告警正常</t>
  </si>
  <si>
    <t>1、连接AcuRev1320电表到Acuview2上，连接状态为connected。
2、配置Alarm使能，参数选Vbc&amp;Vbn，逻辑“&gt;”、“and”，配置启动值207.84V，启动延迟0ms，释放值173.2V，释放延迟0ms
3、电源输入Vbc&amp;Vbn为173.2V
4、检查上位机告警界面和HMI告警界面，触发的告警是否被正确记录(状态:“end”)
5、电源输入Vbc&amp;Vbn为大于207.84V
6、检查上位机告警界面和HMI告警界面，触发的告警是否被正确记录(状态:“start”)
7、电源输入Vbc&amp;Vbn 为小于173.2V
8、检查上位机告警界面和HMI告警界面，触发的告警是否被正确记录(状态:“end”)
备注:告警逻辑关系为NULL时，只执行第一条告警</t>
  </si>
  <si>
    <t>Function_AcuRev1320_015_03_case7</t>
  </si>
  <si>
    <t>打开Alarm使能，参数选Vbn&amp;Vbn，逻辑“&lt;”&amp;“or”，配置启动207.84V，启动延迟0ms，释放值259.8V，释放延迟0ms，满足告警阈值，触发和消除告警正常</t>
  </si>
  <si>
    <t>4、检查上位机告警界面和HMI告警界面，沒有立即新增一条对应的告警记录(状态:“end”)
6、检查上位机告警界面和HMI告警界面，立即新增一条对应的告警记录(状态:“start”)
8、检查上位机告警界面和HMI告警界面，状态不变</t>
  </si>
  <si>
    <t>Function_AcuRev1320_015_03_case8</t>
  </si>
  <si>
    <t>打开Alarm使能，参数选Vllavg，逻辑“&gt;”&amp;“none”，配置启动值207.84V，启动延迟10000ms，释放值173.2V，释放延迟10000ms，满足告警阈值，触发和消除告警正常</t>
  </si>
  <si>
    <t>1、连接AcuRev1320电表到Acuview2上，连接状态为connected。
2、配置Alarm使能，参数选Vllavg，逻辑“&gt;”&amp;“none”，配置启动值207V，启动延迟10000ms，释放值173V，释放延迟10000ms
3、电源输入Vllavg为165V
4、检查上位机告警界面和HMI告警界面，触发的告警是否被正确记录(状态:“end”)
5、电源输入Vllavg为220V
6、检查上位机告警界面和HMI告警界面，触发的告警是否被正确记录(状态:“start”)
7、电源输入Vllavg为170V
8、检查上位机告警界面和HMI告警界面，触发的告警是否被正确记录(状态:“end”)</t>
  </si>
  <si>
    <t>Function_AcuRev1320_015_03_case9</t>
  </si>
  <si>
    <t>打开Alarm使能，参数选Vllavg，验证逻辑不能选择"="</t>
  </si>
  <si>
    <t>1、连接AcuRev1320电表到Acuview2上，连接状态为connected。
2、配置Alarm使能，参数选Vllavg，逻辑“=”&amp;“none”，配置启动值207.84V，启动延迟10000ms，释放值173.2V，释放延迟10000ms</t>
  </si>
  <si>
    <t>2、相电压平均值不支持选择“=”，没有“=”可选择</t>
  </si>
  <si>
    <t>Function_AcuRev1320_015_03_case10</t>
  </si>
  <si>
    <t>打开Alarm使能，参数选Ib&amp;Ic，逻辑“&gt;”&amp;“and”，配置启动值3A，启动延迟0ms，释放值2A，释放延迟0ms，满足告警阈值，触发和消除告警正常</t>
  </si>
  <si>
    <t>1、连接AcuRev1320电表到Acuview2上，连接状态为connected。
2、配置Alarm使能，参数选Ib&amp;Ic，逻辑“&gt;”、“and”，配置启动值3A，启动延迟0ms，释放值2A，释放延迟0ms
3、电源输入Ib&amp;Ic为2A
4、检查上位机告警界面和HMI告警界面，触发的告警是否被正确记录(状态:“end”)
5、电源输入Ib&amp;Ic为3.5A
6、检查上位机告警界面和HMI告警界面，触发的告警是否被正确记录(状态:“start”)
7、电源输入Ib&amp;Ic为2A
8、检查上位机告警界面和HMI告警界面，触发的告警是否被正确记录(状态:“end”)</t>
  </si>
  <si>
    <t>Function_AcuRev1320_015_03_case11</t>
  </si>
  <si>
    <t>打开Alarm使能，参数选I_sysavag，逻辑“&lt;”&amp;“none”，配置启动值2A，启动延迟10000ms，释放值3A，释放延迟10000ms，满足告警阈值，触发和消除告警正常  用例还需修改</t>
  </si>
  <si>
    <t>4、检查上位机告警界面和HMI告警界面，立即新增一条对应的告警记录(状态:“start”)
6、检查上位机告警界面和HMI告警界面，10s后立即新增一条对应的告警记录(状态:“end”)
8、检查上位机告警界面和HMI告警界面，10s后立即新增一条对应的告警记录(状态:“start”)</t>
  </si>
  <si>
    <t>Function_AcuRev1320_015_03_case12</t>
  </si>
  <si>
    <t>打开Alarm使能，参数选Pa，逻辑“&lt;”&amp;“none”，配置启动值1kw，启动延迟10000ms，释放值1.5kw，释放延迟10000ms，满足告警阈值，触发和消除告警正常</t>
  </si>
  <si>
    <t>1、连接AcuRev1320电表到Acuview2上，连接状态为connected。
2、配置Alarm使能，参数选Pa，逻辑“&lt;”、“none”，配置启动值1kw，启动延迟10000ms，释放值1.5kw，释放延迟10000ms
3、电源输入Pa为2.0kw
4、检查上位机告警界面和HMI告警界面，触发的告警是否被正确记录(状态:"end")
5、电源输入Pa为0.5kw
6、检查上位机告警界面和HMI告警界面，触发的告警是否被正确记录(状态:"end")
7、电源输入Pa为1.8kw
8、检查上位机告警界面和HMI告警界面，触发的告警是否被正确记录(状态:"start")</t>
  </si>
  <si>
    <t>4、检查上位机告警界面和HMI告警界面，沒有立即新增一条对应的告警记录(状态:“start”)
6、检查上位机告警界面和HMI告警界面，立即新增一条对应的告警记录(状态:“start”)
8、检查上位机告警界面和HMI告警界面，立即新增一条对应的告警记录(状态:“end”)</t>
  </si>
  <si>
    <t>Function_AcuRev1320_015_03_case13</t>
  </si>
  <si>
    <t>打开Alarm使能，参数选Pa，验证逻辑不能选择"="</t>
  </si>
  <si>
    <t>1、连接AcuRev1320电表到Acuview2上，连接状态为connected。
2、配置Alarm使能，参数选Pa，逻辑“=”、“none”，配置启动值1kw，启动延迟10000ms，释放值0.5kw，释放延迟10000ms</t>
  </si>
  <si>
    <t>2、功率不支持选择“=”，没有“=”可选择</t>
  </si>
  <si>
    <t>Function_AcuRev1320_015_03_case14</t>
  </si>
  <si>
    <t>打开Alarm使能，参数选Pb&amp;Pc，逻辑“&gt;”&amp;“and”，配置启动值1kw，启动延迟0ms，释放值0.5kw，释放延迟0ms，满足告警阈值，触发和消除告警正常</t>
  </si>
  <si>
    <t>1、连接AcuRev1320电表到Acuview2上，连接状态为connected。
2、配置Alarm使能，参数选Pb&amp;Pc，逻辑“&gt;”、“and”，配置启动值1kw，启动延迟0ms，释放值0.5kw，释放延迟0ms
3、电源输入Pb&amp;Pc为0.5kw
4、检查上位机告警界面和HMI告警界面，触发的告警是否被正确记录(状态:“end”)
5、电源输入Pb&amp;Pc为1.5kw
6、检查上位机告警界面和HMI告警界面，触发的告警是否被正确记录(状态:“start”)
7、电源输入Pb&amp;Pc为0.5kw
8、检查上位机告警界面和HMI告警界面，触发的告警是否被正确记录(状态:“end”)</t>
  </si>
  <si>
    <t>Function_AcuRev1320_015_03_case15</t>
  </si>
  <si>
    <t>打开Alarm使能，参数选Pb&amp;Pc，逻辑“&lt;”&amp;“or”，配置启动1kw，启动延迟0ms，释放值1.5kw，释放延迟0ms，满足告警阈值，触发和消除告警正常</t>
  </si>
  <si>
    <t>Function_AcuRev1320_015_03_case16</t>
  </si>
  <si>
    <t>打开Alarm使能，参数选P_sys，逻辑“&gt;”&amp;“none”，配置启动值3kw，启动延迟0ms，释放值1kw，释放延迟0ms，满足告警阈值，触发和消除告警正常</t>
  </si>
  <si>
    <t>1、连接AcuRev1320电表到Acuview2上，连接状态为connected。
2、配置Alarm使能，参数选P_sys，逻辑“&gt;”、“none”，配置启动值3kw，启动延迟0ms，释放值0.5kw，释放延迟0ms
3、电源输入P_sys为0.5kw
4、检查上位机告警界面和HMI告警界面，触发的告警是否被正确记录(状态:“end”)
5、电源输入P_sys为4kw
6、检查上位机告警界面和HMI告警界面，触发的告警是否被正确记录(状态:“start”)
7、电源输入P_sys为0.5kw
8、检查上位机告警界面和HMI告警界面，触发的告警是否被正确记录(状态:“end”)</t>
  </si>
  <si>
    <t>Function_AcuRev1320_015_03_case17</t>
  </si>
  <si>
    <t>打开Alarm使能，参数选Qa，逻辑“&gt;”&amp;“none”，配置启动值1kvar，启动延迟10000ms，释放值0.5kvar，释放延迟10000ms，满足告警阈值，触发和消除告警正常</t>
  </si>
  <si>
    <t>Function_AcuRev1320_015_03_case18</t>
  </si>
  <si>
    <t>打开Alarm使能，参数选Qa，验证逻辑不能选择"="</t>
  </si>
  <si>
    <t>1、连接AcuRev1320电表到Acuview2上，连接状态为connected。
2、配置Alarm使能，参数选Qa，逻辑“=”&amp;“none”，配置启动值1kvar，启动延迟10000ms，释放值0.5kvar，释放延迟10000ms</t>
  </si>
  <si>
    <t>Function_AcuRev1320_015_03_case19</t>
  </si>
  <si>
    <t>打开Alarm使能，参数选Qb&amp;Qc，逻辑“&gt;”&amp;“and”，配置启动值2kvar，启动延迟0ms，释放值1kvar，释放延迟0ms，满足告警阈值，触发和消除告警正常</t>
  </si>
  <si>
    <t>1、连接AcuRev1320电表到Acuview2上，连接状态为connected。
2、配置Alarm使能，参数选Qb&amp;Qc，逻辑“&gt;”、“and”，配置启动值1kvar，启动延迟0ms，释放值0.5kvar，释放延迟0ms
3、电源输入Qb&amp;Qc为0.5kvar
4、检查上位机告警界面和HMI告警界面，触发的告警是否被正确记录(状态:“end”)
5、电源输入Qb&amp;Qc为2.5kvar
6、检查上位机告警界面和HMI告警界面，触发的告警是否被正确记录(状态:“start”)
7、电源输入Qb&amp;Qc为0.5kvar
8、检查上位机告警界面和HMI告警界面，触发的告警是否被正确记录(状态:“end”)</t>
  </si>
  <si>
    <t>Function_AcuRev1320_015_03_case20</t>
  </si>
  <si>
    <t>打开Alarm使能，参数选Qb&amp;Qc，逻辑“&lt;”&amp;“or”，配置启动1kvar，启动延迟0ms，释放值1.5kvar，释放延迟0ms，满足告警阈值，触发和消除告警正常</t>
  </si>
  <si>
    <t>1、连接AcuRev1320电表到Acuview2上，连接状态为connected。
2、配置Alarm使能，参数选Qb&amp;Qc，逻辑“&lt;”、“or”，配置启动1kvar，启动延迟0ms，释放值1.5kvar，释放延迟0ms
3、电源输入Qb&amp;Qc为1.5kvar
4、检查上位机告警界面和HMI告警界面，触发的告警是否被正确记录(状态:“end”)
5、电源输入Qb为0.5kvar, Qc为1.5kvar
6、检查上位机告警界面和HMI告警界面，触发的告警是否被正确记录(状态:“start”)
7、电源输入Qb&amp;Qc为1.5kvar
8、检查上位机告警界面和HMI告警界面，触发的告警是否被正确记录(状态:“end”)</t>
  </si>
  <si>
    <t>Function_AcuRev1320_015_03_case21</t>
  </si>
  <si>
    <t>打开Alarm使能，参数选Q_sys，逻辑“&gt;”&amp;“none”，配置启动值2kvar，启动延迟0ms，释放值1kvar，释放延迟0ms，满足告警阈值，触发和消除告警正常</t>
  </si>
  <si>
    <t>1、连接AcuRev1320电表到Acuview2上，连接状态为connected。
2、配置Alarm使能，参数选Q_sys，逻辑“&gt;”、“none”，配置启动值2.5kvar，启动延迟2000ms，释放值0.8kvar，释放延迟2000ms
3、电源输入Q_sys为1kvar
4、检查上位机告警界面和HMI告警界面，触发的告警是否被正确记录(状态:“end”)
5、电源输入Q_sys为3kvar，持续10S
6、检查上位机告警界面和HMI告警界面，触发的告警是否被正确记录(状态:“start”)
7、电源输入Q_sys为0.5kvar ,持续10S
8、检查上位机告警界面和HMI告警界面，触发的告警是否被正确记录(状态:“end”)</t>
  </si>
  <si>
    <t>Function_AcuRev1320_015_03_case22</t>
  </si>
  <si>
    <t xml:space="preserve">打开Alarm使能，参数选Sa，逻辑“&gt;”&amp;“none”，配置启动值1kVA，启动延迟10000ms，释放值0.5kVA，释放延迟10000ms，满足告警阈值，触发和消除告警正常 </t>
  </si>
  <si>
    <t>1、连接AcuRev1320电表到Acuview2上，连接状态为connected。
2、配置Alarm使能，参数选Sa，逻辑“&gt;”&amp;“none”，配置启动值1kVA，启动延迟10000ms，释放值0.5kVA，释放延迟10000ms
3、电源输入Sa为0.5kVA
4、检查上位机告警界面和HMI告警界面，触发的告警是否被正确记录(状态:“end”)
5、电源输入Sa为1.5kVA
6、检查上位机告警界面和HMI告警界面，触发的告警是否被正确记录(状态:“start”)
7、电源输入Sa为0.5kVA
8、检查上位机告警界面和HMI告警界面，触发的告警是否被正确记录(状态:“end”)</t>
  </si>
  <si>
    <t>4、检查上位机告警界面和HMI告警界面，沒有立即新增一条对应的告警记录(状态:“end”)
6、检查上位机告警界面和HMI告警界面，10s后立即新增一条对应的告警记录(状态:“start”)
8、检查上位机告警界面和HMI告警界面，10s后立即新增一条对应的告警记录(状态:“end”)</t>
  </si>
  <si>
    <t>Function_AcuRev1320_015_03_case23</t>
  </si>
  <si>
    <t>打开Alarm使能，参数选Sb&amp;Sc，逻辑“&gt;”&amp;“and”，配置启动值2kVA，启动延迟0ms，释放值1kVA，释放延迟0ms，满足告警阈值，触发和消除告警正常</t>
  </si>
  <si>
    <t>1、连接AcuRev1320电表到Acuview2上，连接状态为connected。
2、配置Alarm使能，参数选Sb&amp;Sc，逻辑“&gt;”、“and”，配置启动值1kVA，启动延迟0ms，释放值0.5kVA，释放延迟0ms
3、电源输入Sb&amp;Sc为0.5kVA
4、检查上位机告警界面和HMI告警界面，触发的告警是否被正确记录(状态:“end”)
5、电源输入Sb&amp;Sc为3kVA
6、检查上位机告警界面和HMI告警界面，触发的告警是否被正确记录(状态:“start”)
7、电源输入Sb&amp;Sc为0.5kVA
8、检查上位机告警界面和HMI告警界面，触发的告警是否被正确记录(状态:“end”)</t>
  </si>
  <si>
    <t>Function_AcuRev1320_015_03_case24</t>
  </si>
  <si>
    <t>打开Alarm使能，参数选Sb&amp;Sc，逻辑“&lt;”&amp;“or”，配置启动1kVA，启动延迟0ms，释放值2kVA，释放延迟0ms，满足告警阈值，触发和消除告警正常</t>
  </si>
  <si>
    <t>1、连接AcuRev1320电表到Acuview2上，连接状态为connected。
2、配置Alarm使能，参数选Sb&amp;Sc,逻辑“&lt;”、“or”，配置启动1kVA，启动延迟0ms，释放值2kVA，释放延迟0ms
3、电源输入Sb&amp;Sc为1.5kVA
4、检查上位机告警界面和HMI告警界面，触发的告警是否被正确记录(状态:“end”)
5、电源输入Sb&amp;Sc为0.5kVA
6、检查上位机告警界面和HMI告警界面，触发的告警是否被正确记录(状态:“start”)
7、电源输入Sb&amp;Sc为2.5kVA
8、检查上位机告警界面和HMI告警界面，触发的告警是否被正确记录(状态:“end”)</t>
  </si>
  <si>
    <t>Function_AcuRev1320_015_03_case25</t>
  </si>
  <si>
    <t>打开Alarm使能，参数选Sb&amp;Sc，逻辑“&gt;”&amp;“and”，配置启动值3kVA，启动延迟0ms，释放值2kVA，释放延迟0ms，满足告警阈值，触发和消除告警正常</t>
  </si>
  <si>
    <t>1、连接AcuRev1320电表到Acuview2上，连接状态为connected。
2、配置Alarm使能，参数选Sb&amp;Sc，逻辑“&gt;”、“and”，配置启动值3kVA，启动延迟0ms，释放值2kVA，释放延迟0ms，
3、电源输入Sb&amp;Sc为1.5kVA
4、检查上位机告警界面和HMI告警界面，触发的告警是否被正确记录(状态:“end”)
5、电源输入Sb&amp;Sc为3.5kVA
6、检查上位机告警界面和HMI告警界面，触发的告警是否被正确记录(状态:“start”)
7、电源输入Sb&amp;Sc为1.5kVA
8、检查上位机告警界面和HMI告警界面，触发的告警是否被正确记录(状态:“end”)</t>
  </si>
  <si>
    <t>Function_AcuRev1320_015_03_case26</t>
  </si>
  <si>
    <t>打开Alarm使能，参数选PF_a，验证逻辑不能选择"="</t>
  </si>
  <si>
    <t>1、连接AcuRev1320电表到Acuview2上，连接状态为connected。
2、配置Alarm使能，参数选PF_a，逻辑“=”&amp;“none”，配置启动值0.5，启动延迟10000ms，释放值1，释放延迟10000ms</t>
  </si>
  <si>
    <t>2、PF不支持选择“=”，没有“=”可选择</t>
  </si>
  <si>
    <t>Function_AcuRev1320_015_03_case27</t>
  </si>
  <si>
    <t>打开Alarm使能，参数选PF_b&amp;PF_c，逻辑“&gt;”&amp;“and”，配置启动值0.8，启动延迟0ms，释放值0.7，释放延迟0ms，满足告警阈值，触发和消除告警正常</t>
  </si>
  <si>
    <t>1、连接AcuRev1320电表到Acuview2上，连接状态为connected。
2、配置Alarm使能，参数选PF_b&amp;PF_c，逻辑“&gt;”、“and”，配置启动值0.8，启动延迟0ms，释放值0.7，释放延迟0ms
3、电源输入PF_b和PF_c为0.5
4、检查上位机告警界面和HMI告警界面，触发的告警是否被正确记录(状态:“end”)
5、电源输入PF_b和PF_c为1
6、检查上位机告警界面和HMI告警界面，触发的告警是否被正确记录(状态:“start”)
7、电源输入PF_b和PF_c为0.5
8、检查上位机告警界面和HMI告警界面，触发的告警是否被正确记录(状态:“end”)</t>
  </si>
  <si>
    <t>Function_AcuRev1320_015_03_case28</t>
  </si>
  <si>
    <t>打开Alarm使能，参数选PF_a&amp;PF_c，逻辑“&lt;”&amp;“or”，配置启动0.7，启动延迟0ms，释放值0.9，释放延迟0ms，满足告警阈值，触发和消除告警正常  用例需修改</t>
  </si>
  <si>
    <t>1、连接AcuRev1320电表到Acuview2上，连接状态为connected。
2、配置Alarm使能，参数选PF_a&amp;PF_c，逻辑“&lt;”、“or”，配置启动0.7，启动延迟0ms，释放值0.9，释放延迟0ms
3、电源输入PF_b&amp;PF_c为1
4、检查上位机告警界面和HMI告警界面，触发的告警是否被正确记录(状态:“end”)
5、电源输入PF_b为0.5,   PF_c为1
6、检查上位机告警界面和HMI告警界面，触发的告警是否被正确记录(状态:“start”)
7、电源输入PF_b&amp;PF_c为1
8、检查上位机告警界面和HMI告警界面，触发的告警是否被正确记录(状态:“end”)</t>
  </si>
  <si>
    <t>Function_AcuRev1320_015_03_case29</t>
  </si>
  <si>
    <t xml:space="preserve">打开Alarm使能，参数选PF_sys，逻辑“＞”&amp;“none”，配置启动值1，启动延迟10000ms，释放值0.5，释放延迟10000ms，满足告警阈值，触发和消除告警正常  </t>
  </si>
  <si>
    <t>1、连接AcuRev1320电表到Acuview2上，连接状态为connected。
2、配置Alarm使能，参数选PF_sys，逻辑“＞”&amp;“none”，配置启动值0.9，启动延迟10000ms，释放值0.5，释放延迟10000ms
3、电源输入PF_sys为1
4、检查上位机告警界面和HMI告警界面，触发的告警是否被正确记录(状态:“start”)
5、电源输入PF_sys为0.5
6、检查上位机告警界面和HMI告警界面，触发的告警是否被正确记录(状态:“end”)
7、电源输入PF_sys为1
8、检查上位机告警界面和HMI告警界面，触发的告警是否被正确记录(状态:“start”)</t>
  </si>
  <si>
    <t>4、检查上位机告警界面和HMI告警界面，10s后立即新增一条对应的告警记录(状态:“start”)
6、检查上位机告警界面和HMI告警界面，无新增一条对应的告警记录(状态:“end”)
8、检查上位机告警界面和HMI告警界面，10s后立即新增一条对应的告警记录(状态:“start”)</t>
  </si>
  <si>
    <t>Function_AcuRev1320_015_03_case30</t>
  </si>
  <si>
    <t>打开Alarm使能，参数选PhaseAngle_Vb，逻辑“&gt;”&amp;“none”，配置启动值245°，启动延迟0ms，释放值242°，释放延迟0ms，满足告警阈值，触发和消除告警正常</t>
  </si>
  <si>
    <t>1、连接AcuRev1320电表到Acuview2上，连接状态为connected。
2、配置Alarm使能，参数选PhaseAngle_Vb，逻辑“&gt;”、“none”，配置启动值245°，启动延迟0ms，释放值242°，释放延迟0ms
3、电源输入PhaseAngle_Vb为240°
4、检查上位机告警界面和HMI告警界面，触发的告警是否被正确记录(状态:"end")
5、电源输入PhaseAngle_Vb为250°
6、检查上位机告警界面和HMI告警界面，触发的告警是否被正确记录(状态:"end")
7、电源输入PhaseAngle_Vb为240°
8、检查上位机告警界面和HMI告警界面，触发的告警是否被正确记录(状态:"start")</t>
  </si>
  <si>
    <t>Function_AcuRev1320_015_03_case31</t>
  </si>
  <si>
    <t>打开Alarm使能，参数选PhaseAngle_Vc，逻辑“&lt;”&amp;“none”，配置启动115°，启动延迟0ms，释放值118°，释放延迟0ms，满足告警阈值，触发和消除告警正常</t>
  </si>
  <si>
    <t>1、连接AcuRev1320电表到Acuview2上，连接状态为connected。
2、配置Alarm使能，参数选PhaseAngle_Vc，逻辑“&lt;”、“none”，配置启动115°，启动延迟0ms，释放值118°，释放延迟0ms
3、电源输入PhaseAngle_Vc为120°
4、检查上位机告警界面和HMI告警界面，触发的告警是否被正确记录(状态:"end")
5、电源输入PhaseAngle_Vc为110°
6、检查上位机告警界面和HMI告警界面，触发的告警是否被正确记录(状态:"end")
7、电源输入PhaseAngle_Vc为120°
8、检查上位机告警界面和HMI告警界面，触发的告警是否被正确记录(状态:"start")</t>
  </si>
  <si>
    <t>Function_AcuRev1320_015_03_case32</t>
  </si>
  <si>
    <t>打开Alarm使能，参数选I_input1，逻辑“&gt;”&amp;“none”，配置启动值3A，启动延迟0ms，释放值2A，释放延迟0ms，满足告警阈值，触发和消除告警正常</t>
  </si>
  <si>
    <t>1、连接AcuRev1320电表到Acuview2上，连接状态为connected。
2、配置Alarm使能，参数选I_input1，逻辑“&gt;”&amp;“none”，配置启动值3A，启动延迟0ms，释放值2A，释放延迟0ms
3、电源输入I_input1为2A
4、检查上位机告警界面和HMI告警界面，触发的告警是否被正确记录(状态:"end")
5、电源输入I_input1为4A
6、检查上位机告警界面和HMI告警界面，触发的告警是否被正确记录(状态:"start")
7、电源输入I_input1为1A
8、检查上位机告警界面和HMI告警界面，触发的告警是否被正确记录(状态:"end")</t>
  </si>
  <si>
    <t>Function_AcuRev1320_015_03_case33</t>
  </si>
  <si>
    <t>打开Alarm使能，参数选P_input1，逻辑“&gt;”&amp;“none”，配置启动值2kw，启动延迟0ms，释放值1kw，释放延迟0ms，满足告警阈值，触发和消除告警正常</t>
  </si>
  <si>
    <t>Function_AcuRev1320_015_03_case34</t>
  </si>
  <si>
    <t>打开Alarm使能，参数选Q_input1，逻辑“&gt;”&amp;“none”，配置启动值2kvar，启动延迟0ms，释放值1kvar，释放延迟0ms，满足告警阈值，触发和消除告警正常</t>
  </si>
  <si>
    <t>Function_AcuRev1320_015_03_case35</t>
  </si>
  <si>
    <t>打开Alarm使能，参数选S_input1，逻辑“&lt;”&amp;“none”，配置启动1kVA，启动延迟0ms，释放值2kVA，释放延迟0ms，满足告警阈值，触发和消除告警正常</t>
  </si>
  <si>
    <t>Function_AcuRev1320_015_03_case36</t>
  </si>
  <si>
    <t>补充验证input1 电流角度,逻辑“&lt;”&amp;“and”&amp;“&gt;”，配置启动条件一 “小于”355°，启动延迟0ms，释放值359°，释放延迟0ms，配置启动条件二 “大于” 5°，启动延迟0ms，释放值1°，释放延迟0ms， 满足告警阈值，触发和消除告警正常</t>
  </si>
  <si>
    <t xml:space="preserve">1、连接AcuRev1320电表到Acuview2上，连接状态为connected。
2、配置Alarm使能，参数选input1角度，逻辑“&lt;”&amp;“and”&amp;“&gt;”，配置启动条件一 “小于”355°，启动延迟0ms，释放值359°，释放延迟0ms，配置启动条件二 “大于” 5°，启动延迟0ms，释放值1°，释放延迟0ms
3、电源输入input1角度为1°
4、检查上位机告警界面和HMI告警界面，触发的告警是否被正确记录(状态:“start”)
5、电源输入input1角度为6°
6、检查上位机告警界面和HMI告警界面，触发的告警是否被正确记录(状态:“start”)
7、电源输入input1角度为354°
8、检查上位机告警界面和HMI告警界面，触发的告警是否被正确记录(状态:“start”)
9、电源输入input1角度为0°(360°)
10、检查上位机告警界面和HMI告警界面，触发的告警是否被正确记录(状态:“end”)
</t>
  </si>
  <si>
    <t>4、检查上位机告警界面和HMI告警界面，沒有立即新增一条对应的告警记录(状态:“start”)
6、检查上位机告警界面和HMI告警界面，立即新增一条对应的告警记录(状态:“start”)
8、检查上位机告警界面和HMI告警界面，维持不变，原告警维持触发状态
10、检查上位机告警界面和HMI告警界面，立即新增一条对应的告警记录(状态:“end”)</t>
  </si>
  <si>
    <t>Function_AcuRev1320_015_03_case37</t>
  </si>
  <si>
    <t>打开Alarm使能，参数选I_input2，逻辑“&gt;”&amp;“none”，配置启动值3A，启动延迟0ms，释放值2A，释放延迟0ms，满足告警阈值，触发和消除告警正常</t>
  </si>
  <si>
    <t>1、连接AcuRev1320电表到Acuview2上，连接状态为connected。
2、配置Alarm使能，参数选I_input2，逻辑“&gt;”&amp;“none”，配置启动值3A，启动延迟0ms，释放值2A，释放延迟0ms
3、电源输入I_input2为2A
4、检查上位机告警界面和HMI告警界面，触发的告警是否被正确记录(状态:"end")
5、电源输入I_input2为4A
6、检查上位机告警界面和HMI告警界面，触发的告警是否被正确记录(状态:"start")
7、电源输入I_input2为1A
8、检查上位机告警界面和HMI告警界面，触发的告警是否被正确记录(状态:"end")</t>
  </si>
  <si>
    <t>Function_AcuRev1320_015_03_case38</t>
  </si>
  <si>
    <t>打开Alarm使能，参数选P_input2，逻辑“&gt;”&amp;“none”，配置启动值2kw，启动延迟0ms，释放值1kw，释放延迟0ms，满足告警阈值，触发和消除告警正常</t>
  </si>
  <si>
    <t>1、连接AcuRev1320电表到Acuview2上，连接状态为connected。
2、配置Alarm使能，参数选P_input2，逻辑“&gt;”&amp;“none”，配置启动值2kw，启动延迟0ms，释放值1kw，释放延迟0ms
3、电源输入P_input2为1KW
4、检查上位机告警界面和HMI告警界面，触发的告警是否被正确记录(状态:"end")
5、电源输入P_input2为3KW
6、检查上位机告警界面和HMI告警界面，触发的告警是否被正确记录(状态:"start")
7、电源输入P_input2为0.5KW
8、检查上位机告警界面和HMI告警界面，触发的告警是否被正确记录(状态:"end")</t>
  </si>
  <si>
    <t>Function_AcuRev1320_015_03_case39</t>
  </si>
  <si>
    <t>1、连接AcuRev1320电表到Acuview2上，连接状态为connected。
2、配置Alarm使能，参数选Q_input3，逻辑“&gt;”&amp;“none”，配置启动值2kvar，启动延迟0ms，释放值1kvar，释放延迟0ms
3、电源输入Q_input3为1kvar
4、检查上位机告警界面和HMI告警界面，触发的告警是否被正确记录(状态:"end")
5、电源输入Q_input3为3kvar
6、检查上位机告警界面和HMI告警界面，触发的告警是否被正确记录(状态:"start")
7、电源输入Q_input3为0.5kvar
8、检查上位机告警界面和HMI告警界面，触发的告警是否被正确记录(状态:"end")</t>
  </si>
  <si>
    <t>Function_AcuRev1320_015_03_case40</t>
  </si>
  <si>
    <t>1、连接AcuRev1320电表到Acuview2上，连接状态为connected。
2、配置Alarm使能，参数选S_input3，逻辑“&lt;”&amp;“none”，配置启动1kVA，启动延迟0ms，释放值2kVA，释放延迟0ms
3、电源输入S_input3为2kVA
4、检查上位机告警界面和HMI告警界面，触发的告警是否被正确记录(状态:"end")
5、电源输入S_input3为0.5kVA
6、检查上位机告警界面和HMI告警界面，触发的告警是否被正确记录(状态:"start")
7、电源输入S_input3为3kVA
8、检查上位机告警界面和HMI告警界面，触发的告警是否被正确记录(状态:"end")</t>
  </si>
  <si>
    <t>Demand告警</t>
  </si>
  <si>
    <t>Function_AcuRev1320_015_04_case1</t>
    <phoneticPr fontId="10" type="noConversion"/>
  </si>
  <si>
    <t>打开Alarm使能，参数选Demand_Ia&amp;Demand_Ic，逻辑“&gt;”&amp;“and”，配置启动值3A，启动延迟0ms，释放值2A，释放延迟0ms，满足告警阈值，触发和消除告警正常</t>
  </si>
  <si>
    <t>1、连接AcuRev1320电表到Acuview2上，连接状态为connected。
2、配置Alarm使能，参数选Demand_Ia&amp;Demand_Ic，逻辑“&gt;”、“and”，配置启动值3A，启动延迟0ms，释放值2A，释放延迟0ms
3、电源输入2A电流，一段时间后使得Demand_Ia&amp;Demand_Ic为2A
4、检查上位机告警界面和HMI告警界面，触发的告警是否被正确记录(状态:“end”)
5、电源输入Demand_Ia&amp;Demand_Ic为4A
6、检查上位机告警界面和HMI告警界面，触发的告警是否被正确记录(状态:“start”)
7、电源输入Demand_Ia&amp;Demand_Ic为1A
8、检查上位机告警界面和HMI告警界面，触发的告警是否被正确记录(状态:“end”)</t>
  </si>
  <si>
    <t>Function_AcuRev1320_015_04_case2</t>
  </si>
  <si>
    <t>打开Alarm使能，参数选Demand_Ib&amp;Demand_Ic，逻辑“&lt;”&amp;“or”，配置启动3A，启动延迟0ms，释放值4A，释放延迟0ms，满足告警阈值，触发和消除告警正常</t>
  </si>
  <si>
    <t>1、连接AcuRev1320电表到Acuview2上，连接状态为connected。
2、配置Alarm使能，参数选Demand_Ib&amp;Demand_Ic，逻辑“&lt;”&amp;“or”，配置启动3A，启动延迟0ms，释放值4A，释放延迟0ms
3、电源输入Demand_Ib&amp;Demand_Ic为4A
4、检查上位机告警界面和HMI告警界面，触发的告警是否被正确记录(状态:"end")
5、电源输入Demand_Ib为2A，Demand_Ic为4A
6、检查上位机告警界面和HMI告警界面，触发的告警是否被正确记录(状态:"end")
7、电源输入Demand_Ib&amp;Demand_Ic为5A
8、检查上位机告警界面和HMI告警界面，触发的告警是否被正确记录(状态:"start")</t>
  </si>
  <si>
    <t>Function_AcuRev1320_015_04_case3</t>
  </si>
  <si>
    <t xml:space="preserve">打开Alarm使能，参数选Demand_input1_I，逻辑“&gt;”&amp;“none”，配置启动值3A，启动延迟0ms，释放值2A，释放延迟10000ms，满足告警阈值，触发和消除告警正常 </t>
  </si>
  <si>
    <t>1、连接AcuRev1320电表到Acuview2上，连接状态为connected。
2、配置Alarm使能，参数选Demand_input1_I，逻辑“&gt;”&amp;“none”，配置启动值3A，启动延迟0ms，释放值2A，释放延迟10000ms
3、电源输入Demand_input1_I为4A
4、检查上位机告警界面和HMI告警界面，触发的告警是否被正确记录(状态:“start”)
5、电源输入Demand_input1_I为3A
6、检查上位机告警界面和HMI告警界面，触发的告警是否被正确记录(状态:“end”)
7、电源输入Demand_input1_I为2A
8、检查上位机告警界面和HMI告警界面，触发的告警是否被正确记录(状态:“end”)
备注:告警逻辑关系为NULL时，只执行第一条告警</t>
  </si>
  <si>
    <t>4、检查上位机告警界面和HMI告警界面，10s后立即新增一条对应的告警记录(状态:“start”)
6、检查上位机告警界面和HMI告警界面，无新增一条对应的告警记录(状态:“end”)
8、检查上位机告警界面和HMI告警界面，10s后立即新增一条对应的告警记录(状态:“end”)</t>
  </si>
  <si>
    <t>Function_AcuRev1320_015_04_case4</t>
  </si>
  <si>
    <t>打开Alarm使能，参数选Demand_input2_I&amp;Demand_input3_I，逻辑“&gt;”&amp;“and”，配置启动值3A，启动延迟0ms，释放值2A，释放延迟0ms，满足告警阈值，触发和消除告警正常</t>
  </si>
  <si>
    <t>1、连接AcuRev1320电表到Acuview2上，连接状态为connected。
2、配置Alarm使能，参数选Demand_input2_I&amp;Demand_input3_I，逻辑“&gt;”&amp;“and”，配置启动值3A，启动延迟0ms，释放值2A，释放延迟0ms
3、电源输入Demand_input2_I&amp;Demand_input3_I为2A
4、检查上位机告警界面和HMI告警界面，触发的告警是否被正确记录(状态:"end")
5、电源输入Demand_input2_I&amp;Demand_input3_I为4A
6、检查上位机告警界面和HMI告警界面，触发的告警是否被正确记录(状态:"end")
7、电源输入Demand_input2_I&amp;Demand_input3_I为1A
8、检查上位机告警界面和HMI告警界面，触发的告警是否被正确记录(状态:"start")</t>
  </si>
  <si>
    <t>4、检查上位机告警界面和HMI告警界面，10s后立即新增一条对应的告警记录(状态:“end”)
6、检查上位机告警界面和HMI告警界面，无新增一条对应的告警记录(状态:“start”)
8、检查上位机告警界面和HMI告警界面，10s后立即新增一条对应的告警记录(状态:“end”)</t>
  </si>
  <si>
    <t>Function_AcuRev1320_015_04_case5</t>
  </si>
  <si>
    <t>打开Alarm使能，参数选Demand_imp_Pb&amp;Demand_imp_Pc，逻辑“&gt;”&amp;“and”，配置启动值2kw，启动延迟0ms，释放值1kw，释放延迟0ms，满足告警阈值，触发和消除告警正常</t>
  </si>
  <si>
    <t>1、连接AcuRev1320电表到Acuview2上，连接状态为connected。
2、配置Alarm使能，参数选Demand_imp_Pb&amp;Demand_imp_Pc，逻辑“&gt;”&amp;“and”，配置启动值2kw，启动延迟0ms，释放值1kw，释放延迟0ms
3、电源输入Demand_imp_Pb&amp;Demand_imp_Pc为1KW
4、检查上位机告警界面和HMI告警界面，触发的告警是否被正确记录(状态:"end")
5、电源输入Demand_imp_Pb&amp;Demand_imp_Pc为3KW
6、检查上位机告警界面和HMI告警界面，触发的告警是否被正确记录(状态:"end")
7、电源输入Demand_imp_Pb&amp;Demand_imp_Pc为0.5KW
8、检查上位机告警界面和HMI告警界面，触发的告警是否被正确记录(状态:"start")</t>
  </si>
  <si>
    <t>4、检查上位机告警界面和HMI告警界面，沒有立即新增一条对应的告警记录(状态:“start”)
6、检查上位机告警界面和HMI告警界面，10s后立即新增一条对应的告警记录(状态:“start”)
8、检查上位机告警界面和HMI告警界面，10s后立即新增一条对应的告警记录(状态:“end”)</t>
  </si>
  <si>
    <t>Function_AcuRev1320_015_04_case6</t>
  </si>
  <si>
    <t>打开Alarm使能，参数选Demand_exp_Pa&amp;Demand_exp_Pc，逻辑“&lt;”&amp;“or”，配置启动2kw，启动延迟0ms，释放值3kw，释放延迟0ms，满足告警阈值，触发和消除告警正常</t>
  </si>
  <si>
    <t>1、连接AcuRev1320电表到Acuview2上，连接状态为connected。
2、配置Alarm使能，参数选Demand_exp_Pa&amp;Demand_exp_Pc，逻辑“&lt;”&amp;“or”，配置启动2kw，启动延迟0ms，释放值3kw，释放延迟0ms
3、电源输入Demand_exp_Pa&amp;Demand_exp_Pc为3KW
4、检查上位机告警界面和HMI告警界面，触发的告警是否被正确记录(状态:"end")
5、电源输入Demand_exp_Pa&amp;Demand_exp_Pc为1KW
6、检查上位机告警界面和HMI告警界面，触发的告警是否被正确记录(状态:"end")
7、电源输入Demand_exp_Pa&amp;Demand_exp_Pc为4KW
8、检查上位机告警界面和HMI告警界面，触发的告警是否被正确记录(状态:"start")</t>
  </si>
  <si>
    <t>Function_AcuRev1320_015_04_case7</t>
  </si>
  <si>
    <t>打开Alarm使能，参数选Demand_imp_Qb&amp;Demand_imp_Qc，逻辑“&gt;”&amp;“and”，配置启动值2kvar，启动延迟0ms，释放值1kvar，释放延迟0ms，满足告警阈值，触发和消除告警正常</t>
  </si>
  <si>
    <t>1、连接AcuRev1320电表到Acuview2上，连接状态为connected。
2、配置Alarm使能，参数选Demand_imp_Qb&amp;Demand_imp_Qc，逻辑“&gt;”&amp;“and”，配置启动值0.8kvar，启动延迟0ms，释放值0.5kvar，释放延迟0ms
3、电源输入Demand_imp_Qb&amp;Demand_imp_Qc为1kvar
4、检查上位机告警界面和HMI告警界面，触发的告警是否被正确记录(状态:"end")
5、电源输入Demand_imp_Qb&amp;Demand_imp_Qc为3kvar
6、检查上位机告警界面和HMI告警界面，触发的告警是否被正确记录(状态:"end")
7、电源输入Demand_imp_Qb&amp;Demand_imp_Qc为0.5kvar
8、检查上位机告警界面和HMI告警界面，触发的告警是否被正确记录(状态:"start")</t>
  </si>
  <si>
    <t>Function_AcuRev1320_015_04_case8</t>
  </si>
  <si>
    <t>打开Alarm使能，参数选Demand_exp_Qa&amp;Demand_exp_Qc，逻辑“&lt;”&amp;“or”，配置启动2kvar，启动延迟0ms，释放值3kvar，释放延迟0ms，满足告警阈值，触发和消除告警正常</t>
  </si>
  <si>
    <t>1、连接AcuRev1320电表到Acuview2上，连接状态为connected。
2、配置Alarm使能，参数选Demand_exp_Qa&amp;Demand_exp_Qc，逻辑“&lt;”&amp;“or”，配置启动2kvar，启动延迟0ms，释放值3kvar，释放延迟0ms
3、电源输入Demand_exp_Qa&amp;Demand_exp_Qc为3kvar
4、检查上位机告警界面和HMI告警界面，触发的告警是否被正确记录(状态:"end")
5、电源输入Demand_exp_Qa&amp;Demand_exp_Qc为1kvar
6、检查上位机告警界面和HMI告警界面，触发的告警是否被正确记录(状态:"end")
7、电源输入Demand_exp_Qa&amp;Demand_exp_Qc为4kvar
8、检查上位机告警界面和HMI告警界面，触发的告警是否被正确记录(状态:"start")</t>
  </si>
  <si>
    <t>Function_AcuRev1320_015_04_case9</t>
  </si>
  <si>
    <t>打开Alarm使能，参数选Demand_Sa&amp;Demand_Sc，逻辑“&gt;”&amp;“and”，配置启动值2kVA，启动延迟0ms，释放值1kVA，释放延迟0ms，满足告警阈值，触发和消除告警正常</t>
  </si>
  <si>
    <t>Function_AcuRev1320_015_04_case10</t>
  </si>
  <si>
    <t>打开Alarm使能，参数选Demand_Sb&amp;Demand_Sc，逻辑“&lt;”&amp;“or”，配置启动2kVA，启动延迟0ms，释放值3kVA，释放延迟0ms，满足告警阈值，触发和消除告警正常</t>
  </si>
  <si>
    <t>1、连接AcuRev1320电表到Acuview2上，连接状态为connected。
2、配置Alarm使能，参数选Demand_Sb&amp;Demand_Sc，逻辑“&lt;”&amp;“or”，配置启动2kVA，启动延迟0ms，释放值3kVA，释放延迟0ms
3、电源输入Demand_Sb&amp;Demand_Sc为3kVA
4、检查上位机告警界面和HMI告警界面，触发的告警是否被正确记录(状态:"end")
5、电源输入Demand_Sb&amp;Demand_Sc为1kVA
6、检查上位机告警界面和HMI告警界面，触发的告警是否被正确记录(状态:"end")
7、电源输入Demand_Sb&amp;Demand_Sc为4kVA
8、检查上位机告警界面和HMI告警界面，触发的告警是否被正确记录(状态:"start")</t>
  </si>
  <si>
    <t>Function_AcuRev1320_015_04_case11</t>
  </si>
  <si>
    <t>打开Alarm使能，参数选Demand_imp_Psys，逻辑“&gt;”&amp;“none”，配置启动值2kw，启动延迟0ms，释放值1kw，释放延迟0ms，满足告警阈值，触发和消除告警正常</t>
  </si>
  <si>
    <t>Function_AcuRev1320_015_04_case12</t>
  </si>
  <si>
    <t>打开Alarm使能，参数选Demand_exp_Qsys，逻辑“&lt;”&amp;“noen”，配置启动值2kvar，启动延迟0ms，释放值3kvar，释放延迟0ms，满足告警阈值，触发和消除告警正常</t>
  </si>
  <si>
    <t>1、连接AcuRev1320电表到Acuview2上，连接状态为connected。
2、配置Alarm使能，参数选Demand_exp_Qsys，逻辑“&lt;”&amp;“none”，配置启动值2kvar，启动延迟0ms，释放值3kvar，释放延迟0ms
3、电源输入Demand_exp_Qsys为3kvar
4、检查上位机告警界面和HMI告警界面，触发的告警是否被正确记录(状态:"end")
5、电源输入Demand_exp_Qsys为1kvar
6、检查上位机告警界面和HMI告警界面，触发的告警是否被正确记录(状态:"end")
7、电源输入Demand_exp_Qsys为4kvar
8、检查上位机告警界面和HMI告警界面，触发的告警是否被正确记录(状态:"start")</t>
  </si>
  <si>
    <t>Function_AcuRev1320_015_04_case13</t>
  </si>
  <si>
    <t>打开Alarm使能，参数选Demand_Ssys，    逻辑“&gt;”&amp;“and”， 配置启动2kVA，启动延迟0ms，释放值1kVA，释放延迟0ms，满足告警阈值，触发和消除告警正常</t>
  </si>
  <si>
    <t>1、连接AcuRev1320电表到Acuview2上，连接状态为connected。
2、配置Alarm使能，参数选Demand_Ssys，    逻辑“&gt;”&amp;“and”， 配置启动2kVA，启动延迟0ms，释放值1kVA，释放延迟0ms
3、电源输入Demand_Ssys为1kVA
4、检查上位机告警界面和HMI告警界面，触发的告警是否被正确记录(状态:"end")
5、电源输入Demand_Ssys为3kVA
6、检查上位机告警界面和HMI告警界面，触发的告警是否被正确记录(状态:"end")
7、电源输入Demand_Ssys为0.5kVA
8、检查上位机告警界面和HMI告警界面，触发的告警是否被正确记录(状态:"start")</t>
  </si>
  <si>
    <t>Power Quality告警</t>
  </si>
  <si>
    <t>Function_AcuRev1320_015_05_case1</t>
    <phoneticPr fontId="10" type="noConversion"/>
  </si>
  <si>
    <t>打开Alarm使能，参数选THD_Va，逻辑“&gt;”&amp;“none”，配置启动值20%，启动延迟10000ms，释放值10%，释放延迟10000ms，满足告警阈值，触发和消除告警正常</t>
  </si>
  <si>
    <t>Function_AcuRev1320_015_05_case2</t>
  </si>
  <si>
    <t>打开Alarm使能，参数选THD_Vavg，逻辑“&gt;”&amp;“none”，配置启动值20%，启动延迟0ms，释放值15%，释放延迟0ms，满足告警阈值，触发和消除告警正常</t>
  </si>
  <si>
    <t>1、连接AcuRev1320电表到Acuview2上，连接状态为connected。
2、配置Alarm使能，参数选THD_Vavg，逻辑“&gt;”&amp;“none”，配置启动值20%，启动延迟0ms，释放值15%，释放延迟0ms
3、电源输入THD_Vavg为10%
4、检查上位机告警界面和HMI告警界面，触发的告警是否被正确记录(状态:"end")
5、电源输入THD_Vavg为25%
6、检查上位机告警界面和HMI告警界面，触发的告警是否被正确记录(状态:"start")
7、电源输入THD_Vavg为10%
8、检查上位机告警界面和HMI告警界面，触发的告警是否被正确记录(状态:"end")</t>
  </si>
  <si>
    <t>Function_AcuRev1320_015_05_case3</t>
  </si>
  <si>
    <t>打开Alarm使能，参数选THD_Vb&amp;THD_Vc，逻辑“&gt;”&amp;“and”，配置启动值20%，启动延迟0ms，释放值15%，释放延迟0ms，满足告警阈值，触发和消除告警正常</t>
  </si>
  <si>
    <t>Function_AcuRev1320_015_05_case4</t>
  </si>
  <si>
    <t>打开Alarm使能，参数选THD_Vb&amp;THD_Vc，逻辑“&lt;”&amp;“or”，配置启动值15%，启动延迟0ms，释放值20%，释放延迟0ms，满足告警阈值，触发和消除告警正常</t>
  </si>
  <si>
    <t>1、连接AcuRev1320电表到Acuview2上，连接状态为connected。
2、配置Alarm使能，参数选THD_Vb&amp;THD_Vc，逻辑“&lt;”&amp;“or”，配置启动值15%，启动延迟0ms，释放值20%，释放延迟0ms
3、电源输入THD_Vb&amp;THD_Vc为20%
4、检查上位机告警界面和HMI告警界面，触发的告警是否被正确记录(状态:"end")
5、电源输入THD_Vb&amp;THD_Vc为10%
6、检查上位机告警界面和HMI告警界面，触发的告警是否被正确记录(状态:"start")
7、电源输入THD_Vb&amp;THD_Vc为25%
8、检查上位机告警界面和HMI告警界面，触发的告警是否被正确记录(状态:"end")</t>
  </si>
  <si>
    <t>Function_AcuRev1320_015_05_case5</t>
  </si>
  <si>
    <t>打开Alarm使能，参数选THD_input1_I，逻辑“&gt;”&amp;“none”，配置启动值20%，启动延迟0ms，释放值15%，释放延迟0ms，满足告警阈值，触发和消除告警正常</t>
  </si>
  <si>
    <t>Function_AcuRev1320_015_05_case6</t>
  </si>
  <si>
    <t>打开Alarm使能，参数选THD_input2_I，逻辑“&gt;”&amp;“none”，配置启动值20%，启动延迟0ms，释放值15%，释放延迟0ms，满足告警阈值，触发和消除告警正常</t>
  </si>
  <si>
    <t>1、连接AcuRev1320电表到Acuview2上，连接状态为connected。
2、配置Alarm使能，参数选THD_input2_I，逻辑“&gt;”&amp;“none”，配置启动值20%，启动延迟0ms，释放值15%，释放延迟0ms
3、电源输入THD_input2_I为10%
4、检查上位机告警界面和HMI告警界面，触发的告警是否被正确记录(状态:"end")
5、电源输入THD_input2_I为25%
6、检查上位机告警界面和HMI告警界面，触发的告警是否被正确记录(状态:"start")
7、电源输入THD_input2_I为10%
8、检查上位机告警界面和HMI告警界面，触发的告警是否被正确记录(状态:"end")</t>
  </si>
  <si>
    <t>Function_AcuRev1320_015_05_case8</t>
  </si>
  <si>
    <t>打开Alarm使能，参数选Unbalance_sys_V(%)，逻辑“&gt;”&amp;“none”，配置启动值0.7，启动延迟0ms，释放值0.5，释放延迟0ms，满足告警阈值，触发和消除告警正常</t>
  </si>
  <si>
    <t>1、连接AcuRev1320电表到Acuview2上，连接状态为connected。
2、配置Alarm使能，参数选unbalance_sys_V(%)，逻辑“&gt;”&amp;“none”，配置启动值50(%)，启动延迟0ms，释放值30(%)，释放延迟0ms
3、电源输入Unbalance_sys_V(%)为50%
4、检查上位机告警界面和HMI告警界面，触发的告警是否被正确记录(状态:"end")
5、电源输入Unbalance_sys_V(%)为57.735%（100V 200V 0V 0° 240° 0°）
6、检查上位机告警界面和HMI告警界面，触发的告警是否被正确记录(状态:"end")
7、电源输入Unbalance_sys_V(%)为30%
8、检查上位机告警界面和HMI告警界面，触发的告警是否被正确记录(状态:"start")</t>
  </si>
  <si>
    <t>DI触发告警</t>
  </si>
  <si>
    <t>Function_AcuRev1320_015_06_case1</t>
    <phoneticPr fontId="10" type="noConversion"/>
  </si>
  <si>
    <t>打开Alarm使能，参数选DI1&amp;DI2，逻辑“=”&amp;“or”，配置启动值1，启动延迟10000ms，释放值0，释放延迟10000ms，满足告警阈值，触发和消除告警正常</t>
  </si>
  <si>
    <t>1、连接AcuRev1320电表到Acuview2上，连接状态为connected。
2、配置Alarm使能，参数选DI1&amp;DI2，逻辑“=”&amp;“or”，配置启动值1，启动延迟10000ms，释放值0，释放延迟10000ms
3、输入DI1&amp;DI2为0
4、检查上位机告警界面和HMI告警界面，触发的告警是否被正确记录(状态:"end")
5、输入DI1为1，DI2为1
6、检查上位机告警界面和HMI告警界面，触发的告警是否被正确记录(状态:"start")
7、输入DI1&amp;DI2为0
8、检查上位机告警界面和HMI告警界面，触发的告警是否被正确记录(状态:"end")</t>
  </si>
  <si>
    <t>Function_AcuRev1320_015_06_case2</t>
  </si>
  <si>
    <t>打开Alarm使能，参数选DI1&amp;DI2，逻辑“=”&amp;“and”，配置启动值0，启动延迟10000ms，释放值0，释放延迟10000ms，满足告警阈值，触发和消除告警正常</t>
  </si>
  <si>
    <t>1、连接AcuRev1320电表到Acuview2上，连接状态为connected。
2、配置Alarm使能，参数选DI1&amp;DI2，逻辑“=”&amp;“and”，配置启动值0，启动延迟10000ms，释放值0，释放延迟10000ms
3、输入DI1&amp;DI2为1
4、检查上位机告警界面和HMI告警界面，触发的告警是否被正确记录(状态:"start")
5、输入DI1为1，DI2为0
6、检查上位机告警界面和HMI告警界面，触发的告警是否被正确记录(状态:"end")
7、输入DI1&amp;DI2为1
8、检查上位机告警界面和HMI告警界面，触发的告警是否被正确记录(状态:"end")</t>
  </si>
  <si>
    <t>Function_AcuRev1320_015_06_case3</t>
  </si>
  <si>
    <t>4、检查上位机告警界面和HMI告警界面，沒有立即新增一条对应的告警记录(状态:“start”)
8、检查上位机告警界面和HMI告警界面，10s后立即新增一条对应的告警记录(状态:“end”)</t>
  </si>
  <si>
    <t>Function_AcuRev1320_015_06_case4</t>
  </si>
  <si>
    <t>打开Alarm使能，参数选DI3&amp;Ua，逻辑“=”“&gt;”&amp;“and”，配置DI启动值1，配置Ua启动值130V，启动延迟10000ms，DI3释放值0，Ua释放值110V，释放延迟10000ms，满足告警阈值，触发和消除告警正常</t>
  </si>
  <si>
    <t>4、检查上位机告警界面和HMI告警界面，沒有立即新增一条对应的告警记录(状态:"end")
6、检查上位机告警界面和HMI告警界面，10s后立即新增一条对应的告警记录(状态:"start")
8、检查上位机告警界面和HMI告警界面，10s后立即新增一条对应的告警记录(状态:"end")</t>
  </si>
  <si>
    <t>Function_AcuRev1320_015_06_case5</t>
  </si>
  <si>
    <t>打开Alarm使能，参数选DI3&amp;I_input1，逻辑“=”“&gt;”&amp;“and”，配置DI启动值1，配置I1启动值4A，启动延迟10000ms，DI3释放值0，I2释放值3A，释放延迟10000ms，，满足告警阈值，触发和消除告警正常</t>
  </si>
  <si>
    <t>1、连接AcuRev1320电表到Acuview2上，连接状态为connected。
2、配置Alarm使能，参数选DI3&amp;I_input1，逻辑“=”“&gt;”&amp;“and”，配置DI启动值1，配置I1启动值4A，启动延迟10000ms，DI3释放值0，I2释放值3A，释放延迟10000ms，
3、输入DI3为0, I1为3A
4、检查上位机告警界面和HMI告警界面，触发的告警是否被正确记录(状态:"end")
5、输入DI3为1，I2为5A
6、检查上位机告警界面和HMI告警界面，触发的告警是否被正确记录(状态:"end")
7、输入I2为2A
8、检查上位机告警界面和HMI告警界面，触发的告警是否被正确记录(状态:"start")</t>
  </si>
  <si>
    <t>记录与统计</t>
  </si>
  <si>
    <t>记录实时Max和Min(系统)验证</t>
    <phoneticPr fontId="10" type="noConversion"/>
  </si>
  <si>
    <t>Function_AcuRev1320_016_01_case1</t>
    <phoneticPr fontId="10" type="noConversion"/>
  </si>
  <si>
    <t>Phase A\B\C Current Max Demand测量准确，参数值和时间戳显示正常</t>
  </si>
  <si>
    <t>1、Acuview2上位机
2、网线/RTU串口线
3、AcuRev1320电表
4、电表接交流源
5、接线方式3E3p4w</t>
  </si>
  <si>
    <t>1、连接AcuRev1320电表到Acuview2上，连接状态为connected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6、上位机上和HMI上检查系统PhaseA\B\C Current Max Demand测量是否准确，参数值和时间戳显示是否正常
7、检查web页面上max demand界面中max demand相关数据测量是否准确，参数值和时间戳显示是否正常</t>
  </si>
  <si>
    <t>6、上位机和HMI上检查系统PhaseA\B\C Current Max Demand测量准确（20A），参数值和时间戳显示正常
7、检查web页面上max demand界面中max demand相关数据测量准确，参数值和时间戳显示正常
备注: modbus表中能量参数有55个，测试时候需要借助Excel公式计算和上位机及电表上数据比对。</t>
  </si>
  <si>
    <t>Lv0</t>
  </si>
  <si>
    <t>记录实时Max和Min(系统)验证</t>
  </si>
  <si>
    <t>Function_AcuRev1320_016_01_case2</t>
  </si>
  <si>
    <t>1、连接AcuRev1320电表到Acuview2上，连接状态为connected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6、上位机和HMI上检查系统PhaseA\B\C Import Active Power Max Demand测量是否准确，参数值和时间戳显示是否正常</t>
  </si>
  <si>
    <t>6、上位机和HMI上检查系统PhaseA\B\C Import Active Power Max Demand测量准确（1.2KW），参数值和时间戳显示正常
备注: modbus表中能量参数有55个，测试时候需要借助Excel公式计算和上位机及电表上数据比对。</t>
  </si>
  <si>
    <t>lv1</t>
    <phoneticPr fontId="10" type="noConversion"/>
  </si>
  <si>
    <t>Function_AcuRev1320_016_01_case3</t>
  </si>
  <si>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6、上位机和HMI上检查系统PhaseA\B\C Export Active Power Max Demand测量是否准确，参数值和时间戳显示是否正常
7、检查web页面上max demand界面中max demand相关数据测量是否准确，参数值和时间戳显示是否正常
</t>
  </si>
  <si>
    <t>6、上位机和HMI上检查系统PhaseA\B\C Export Active Power Max Demand测量准确（0.6kW），参数值和时间戳显示正常
7、检查web页面上max demand界面中max demand相关数据测量准确，参数值和时间戳显示正常
备注: modbus表中能量参数有55个，测试时候需要借助Excel公式计算和上位机及电表上数据比对。</t>
  </si>
  <si>
    <t>lv3</t>
  </si>
  <si>
    <t>Function_AcuRev1320_016_01_case4</t>
  </si>
  <si>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6、上位机和HMI上检查系统PhaseA\B\C Import Reactive Power Max Demand测量是否准确，参数值和时间戳显示是否正常
7、检查web页面上max demand界面中max demand相关数据测量是否准确，参数值和时间戳显示是否正常
</t>
  </si>
  <si>
    <t>6、上位机和HMI上检查系统PhaseA\B\C Import Reactive Power Max Demand测量准确（0.6kvar），参数值和时间戳显示正常
7、检查web页面上max demand界面中max demand相关数据测量准确，参数值和时间戳显示正常
备注: modbus表中能量参数有55个，测试时候需要借助Excel公式计算和上位机及电表上数据比对。</t>
  </si>
  <si>
    <t>lv2</t>
  </si>
  <si>
    <t>Function_AcuRev1320_016_01_case5</t>
  </si>
  <si>
    <t xml:space="preserve">1、连接AcuRev1320电表到Acuview2上，连接状态为connected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6、上位机和HMI上检查系统PhaseA\B\C Export Reactive Power Max Demand测量是否准确，参数值和时间戳显示是否正常
7、检查web页面上max demand界面中max demand相关数据测量是否准确，参数值和时间戳显示是否正常
</t>
  </si>
  <si>
    <t>6、上位机和HMI上检查系统Phase A\B\C Export Reactive Power Max Demand测量准确(0.6kvar)，参数值和时间戳显示正常
7、检查web页面上max demand界面中max demand相关数据测量准确，参数值和时间戳显示正常
备注: modbus表中能量参数有55个，测试时候需要借助Excel公式计算和上位机及电表上数据比对。</t>
  </si>
  <si>
    <t>Function_AcuRev1320_016_01_case6</t>
  </si>
  <si>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6、上位机和HMI上检查系统PhaseA\B\C Apparent Power Max Demand测量是否准确，参数值和时间戳显示是否正常</t>
  </si>
  <si>
    <t>6、上位机和HMI上检查系统Phase A\B\C Apparent Power Max Demand测量准确（1.2KW），参数值和时间戳显示正常
备注: modbus表中能量参数有55个，测试时候需要借助Excel公式计算和上位机及电表上数据比对。</t>
  </si>
  <si>
    <t>Function_AcuRev1320_016_01_case7</t>
  </si>
  <si>
    <t>Sys Average Current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</si>
  <si>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4、源输入ABC三相电压全部为120V，电流为10A，电压电流相角差0°，等待5mins
5、源输入ABC三相电压全部为240V，电流为20A，电压电流相角差0°，等待5mins
6、上位机和HMI上检查系统Sys Average Current Max Demand测量是否准确，参数值和时间戳显示是否正常</t>
  </si>
  <si>
    <t>6、上位机和HMI上检查系统Sys Average Current Max Demand测量准确（20A），参数值和时间戳显示正常
备注: modbus表中能量参数有55个，测试时候需要借助Excel公式计算和上位机及电表上数据比对。</t>
  </si>
  <si>
    <t>Lv2</t>
    <phoneticPr fontId="10" type="noConversion"/>
  </si>
  <si>
    <t>Function_AcuRev1320_016_01_case8</t>
  </si>
  <si>
    <t>Sys Import 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</si>
  <si>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6、上位机上检查系统Sys Import Active Power Max Demand测量是否准确，参数值和时间戳显示是否正常</t>
  </si>
  <si>
    <t>6、上位机上检查系统Sys Import Active Power Max Demand测量准确（3.6KW），参数值和时间戳显示正常
备注: modbus表中能量参数有55个，测试时候需要借助Excel公式计算和上位机及电表上数据比对。</t>
  </si>
  <si>
    <t>lv0</t>
  </si>
  <si>
    <t>Function_AcuRev1320_016_01_case9</t>
  </si>
  <si>
    <t>Sys Export 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</si>
  <si>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6、上位机和HMI上检查系统Sys Export Active Power Max Demand测量是否准确，参数值和时间戳显示是否正常</t>
  </si>
  <si>
    <t>6、上位机和HMI上检查系统Sys Export Active Power Max Demand测量准确（1.8KW），参数值和时间戳显示正常
备注: modbus表中能量参数有55个，测试时候需要借助Excel公式计算和上位机及电表上数据比对。</t>
  </si>
  <si>
    <t>Function_AcuRev1320_016_01_case10</t>
  </si>
  <si>
    <t>Sys Import Reactive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</si>
  <si>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Import Reactive Power Max Demand测量是否准确，参数值和时间戳显示是否正常</t>
  </si>
  <si>
    <t>6、上位机和HMI上检查系统Sys Import Reactive Power Max Demand测量准确（1.8Kvar），参数值和时间戳显示正常
备注: modbus表中能量参数有55个，测试时候需要借助Excel公式计算和上位机及电表上数据比对。</t>
  </si>
  <si>
    <t>lv1</t>
  </si>
  <si>
    <t>Function_AcuRev1320_016_01_case11</t>
  </si>
  <si>
    <t>Sys Export Reactive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</si>
  <si>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6、上位机上检查系统Sys Export Reactive Power Max Demand测量是否准确，参数值和时间戳显示是否正常</t>
  </si>
  <si>
    <t>6、上位机上检查系统Sys Export Reactive Power Max Demand测量准确（1.8KW），参数值和时间戳显示正常
备注: modbus表中能量参数有55个，测试时候需要借助Excel公式计算和上位机及电表上数据比对。</t>
  </si>
  <si>
    <t>Function_AcuRev1320_016_01_case12</t>
  </si>
  <si>
    <t>Sys Apparent Power Max Demand测量准确，参数值和时间戳显示正常</t>
  </si>
  <si>
    <t>1、连接AcuRev1320电表到Acuview2上，连接状态为connected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Apparent Power Max Demand测量是否准确，参数值和时间戳显示是否正常</t>
  </si>
  <si>
    <t>6、上位机和HMI上检查系统Sys Apparent Power Max Demand测量准确（3.6KW），参数值和时间戳显示正常
备注: modbus表中能量参数有55个，测试时候需要借助Excel公式计算和上位机及电表上数据比对。</t>
  </si>
  <si>
    <t>Function_AcuRev1320_016_01_case13</t>
  </si>
  <si>
    <t>设置Van、Vbn、Vcn分别为(69V,120V,230V) ,测量Van,Vbn,Vcn,Vab, Vac,Vbc最大值最小值正确，参数值和时间戳显示正常</t>
  </si>
  <si>
    <t>1、连接AcuRev1320电表到Acuview2上，连接状态为connected
2、源输入Van、Vbn、Vcn分别为(69V,120V,230V)
3、重置系统最大、最小值 (clear max/min)
4、等待5mins。
5、上位机和HMI上检查Van,Vbn,Vcn,Vab, Vac,Vbc最大值最小值测量是否准确，参数值和时间戳显示是否正常
6、检查web页面中MaxMin界面中Van,Vbn,Vcn,Vab, Vac,Vbc最大值最小值测量是否准确，参数值和时间戳显示是否正常</t>
  </si>
  <si>
    <t>5、上位机和HMI上检查Van,Vbn,Vcn,Vab, Vac,Vbc最大值最小值测量准确，参数值和时间戳显示正常
6、检查web页面中MaxMin界面中Van,Vbn,Vcn,Vab, Vac,Vbc最大值最小值测量准确，参数值和时间戳显示正常
备注: modbus表中能量参数有55个，测试时候需要借助Excel公式计算和上位机及电表上数据比对。</t>
  </si>
  <si>
    <t>Function_AcuRev1320_016_01_case14</t>
  </si>
  <si>
    <t>设置Van、Vbn、Vcn分别为(230V,347V,400V),测量Van,Vbn,Vcn,Vab, Vac,Vbc最大值最小值正确，参数值和时间戳显示正常</t>
  </si>
  <si>
    <t>1、连接AcuRev1320电表到Acuview2上，连接状态为connected
2、源输入Van、Vbn、Vcn分别为(230V,347V,400V)
3、重置系统最大、最小值 (clear max/min)
4、等待5mins。
5、上位机和HMI上检查Van,Vbn,Vcn,Vab, Vac,Vbc最大值最小值测量是否准确，参数值和时间戳显示是否正常</t>
  </si>
  <si>
    <t>5、上位机和HMI上检查Van,Vbn,Vcn,Vab, Vac,Vbc最大值最小值测量准确，参数值和时间戳显示正常
备注: modbus表中能量参数有55个，测试时候需要借助Excel公式计算和上位机及电表上数据比对。</t>
  </si>
  <si>
    <t>Function_AcuRev1320_016_01_case15</t>
  </si>
  <si>
    <t>设置Van、Vbn、Vcn分别为(69V,69V,69V),   测量Van,Vbn,Vcn,Vab, Vac,Vbc最大值最小值正确，参数值和时间戳显示正常</t>
  </si>
  <si>
    <t>1、连接AcuRev1320电表到Acuview2上，连接状态为connected
2、源输入Van、Vbn、Vcn分别为(69V,69V,69V)
3、重置系统最大、最小值 (clear max/min)
4、等待5mins。
5、上位机和HMI上检查Van,Vbn,Vcn,Vab, Vac,Vbc最大值最小值测量是否准确，参数值和时间戳显示是否正常</t>
  </si>
  <si>
    <t>Function_AcuRev1320_016_01_case16</t>
  </si>
  <si>
    <t>设置Van、Vbn、Vcn分别为(347V,347V,347V),测量Van,Vbn,Vcn,Vab, Vac,Vbc最大值最小值正确，参数值和时间戳显示正常</t>
  </si>
  <si>
    <t>1、连接AcuRev1320电表到Acuview2上，连接状态为connected
2、源输入Van、Vbn、Vcn分别为(347V,347V,347V)
3、重置系统最大、最小值 (clear max/min)
4、等待5mins。
5、上位机和HMI上检查Van,Vbn,Vcn,Vab, Vac,Vbc最大值最小值测量是否准确，参数值和时间戳显示是否正常</t>
  </si>
  <si>
    <t>5、上位机和HMI上检查Van,Vbn,Vcn,Vab, Vac,Vbc最大值最小值测量准确，参数值和时间戳显示正常
备注: modbus表中能量参数有55个，测试时候需要借助Excel公式计算和上位机及电表上数据比对。</t>
    <phoneticPr fontId="10" type="noConversion"/>
  </si>
  <si>
    <t>Function_AcuRev1320_016_01_case17</t>
  </si>
  <si>
    <t>Ia、Ib、Ic分别设置为(3A,5A,10A),测量Ia、Ib、Ic最大值最小值正确，参数值和时间戳显示正常</t>
  </si>
  <si>
    <t>1、连接AcuRev1320电表到Acuview2上，连接状态为connected
2、源输入Ia、Ib、Ic分别设置为(3A,5A,10A)
3、重置系统最大、最小值 (clear max/min)
4、等待5mins。
5、上位机和HMI上检查Ia、Ib、Ic最大值最小值测量是否准确，参数值和时间戳显示是否正常
6、检查web页面中MaxMin界面中Ia、Ib、Ic最大值最小值测量是否准确，参数值和时间戳显示是否正常</t>
  </si>
  <si>
    <t>5、上位机和HMI上检查Ia、Ib、Ic最大值最小值测量准确，参数值和时间戳显示正常
6、检查web页面中MaxMin界面中Ia、Ib、Ic最大值最小值测量准确，参数值和时间戳显示正常
备注: modbus表中能量参数有55个，测试时候需要借助Excel公式计算和上位机及电表上数据比对。</t>
  </si>
  <si>
    <t>Function_AcuRev1320_016_01_case18</t>
  </si>
  <si>
    <t>Ia、Ib、Ic分别设置为(0.5A,2A,3A),测量Ia、Ib、Ic最大值最小值正确，参数值和时间戳显示正常</t>
  </si>
  <si>
    <t>1、连接AcuRev1320电表到Acuview2上，连接状态为connected
2、源输入Ia、Ib、Ic分别设置为(0.5A,2A,3A)
3、重置系统最大、最小值 (clear max/min)
4、等待5mins。
5、上位机和HMI上检查Ia、Ib、Ic最大值最小值测量是否准确，参数值和时间戳显示是否正常</t>
  </si>
  <si>
    <t>5、上位机和HMI上检查Ia、Ib、Ic最大值最小值测量准确，参数值和时间戳显示正常
备注: modbus表中能量参数有55个，测试时候需要借助Excel公式计算和上位机及电表上数据比对。</t>
    <phoneticPr fontId="10" type="noConversion"/>
  </si>
  <si>
    <t>Lv3</t>
  </si>
  <si>
    <t>Function_AcuRev1320_016_01_case19</t>
  </si>
  <si>
    <t>Ia、Ib、Ic分别设置为(5A,8A,10A),测量Ia、Ib、Ic最大值最小值正确，参数值和时间戳显示正常</t>
  </si>
  <si>
    <t>1、连接AcuRev1320电表到Acuview2上，连接状态为connected
2、重置系统最大、最小值 (clear max/min)
3、源输入Ia、Ib、Ic分别设置为(5A,8A,10A)
4、等待5mins。
5、上位机和HMI上检查Ia、Ib、Ic最大值最小值测量是否准确，参数值和时间戳显示是否正常</t>
  </si>
  <si>
    <t>5、上位机和HMI上检查Ia、Ib、Ic最大值最小值测量准确，参数值和时间戳显示正常
备注: modbus表中能量参数有55个，测试时候需要借助Excel公式计算和上位机及电表上数据比对。</t>
  </si>
  <si>
    <t>Lv4</t>
  </si>
  <si>
    <t>Function_AcuRev1320_016_01_case20</t>
  </si>
  <si>
    <t>设置交流电频率为依次为50H、60HZ、69HZ、42.5HZ，测量Freq最大值最小值正确，参数值和时间戳显示正常</t>
  </si>
  <si>
    <t>1、连接AcuRev1320电表到Acuview2上，连接状态为connected
2、源输入交流电频率依次为50H、60HZ、69HZ、42.5HZ
3、重置系统最大、最小值 (clear max/min)
4、等待5mins。
5、上位机和HMI上检查Freq最大值最小值测量是否准确，参数值和时间戳显示是否正常
6、检查web页面中MaxMin界面中Freq最大值最小值测量是否准确，参数值和时间戳显示是否正常</t>
  </si>
  <si>
    <t>5、上位机和HMI上检查Freq最大值最小值测量准确，参数值和时间戳显示正常
6、检查web页面中MaxMin界面中Freq最大值最小值测量准确，参数值和时间戳显示正常
备注: modbus表中能量参数有55个，测试时候需要借助Excel公式计算和上位机及电表上数据比对。</t>
  </si>
  <si>
    <t>设置Van、Vbn、Vcn分别为(69V,120V,230V) ,测量三相电压不平衡因Unbalance factor最大值最小值正确，参数值和时间戳显示正常</t>
  </si>
  <si>
    <t xml:space="preserve">1、连接AcuRev1320电表到Acuview2上，连接状态为connected
2、重置系统最大、最小值 (clear max/min)
3、源输入Van、Vbn、Vcn分别为(69V,120V,230V)角度 (0，240，120)
4、等待5mins。
5、上位机和HMI上检查三相电压不平衡因素Unbalance factor最大值最小值测量是否准确，参数值和时间戳显示是否正常
6、检查web页面中MaxMin界面中三相电压不平衡因素Unbalance factor最大值最小值测量是否准确，参数值和时间戳显示是否正常
</t>
    <phoneticPr fontId="10" type="noConversion"/>
  </si>
  <si>
    <t>5、上位机和HMI上检查三相电压不平衡因素Unbalance factor最大值最小值测量准确(34%)，参数值和时间戳显示正常
6、检查web页面中MaxMin界面中三相电压不平衡因素Unbalance factor最大值最小值测量准确，参数值和时间戳显示正常
备注: modbus表中能量参数有55个，测试时候需要借助Excel公式计算和上位机及电表上数据比对。</t>
  </si>
  <si>
    <t>Lv2</t>
  </si>
  <si>
    <t>Function_AcuRev1320_016_01_case22</t>
  </si>
  <si>
    <t>设置Van、Vbn、Vcn分别为(230V,347V,400V),测量三相电压不平衡因Unbalance factor最大值最小值正确，参数值和时间戳显示正常</t>
  </si>
  <si>
    <t>1、连接AcuRev1320电表到Acuview2上，连接状态为connected
2、源输入Van、Vbn、Vcn分别为(230V,347V,400V)角度 (0，240，120)
3、重置系统最大、最小值 (clear max/min)
4、等待5mins。
5、上位机和HMI上检查三相电压不平衡因素Unbalance factor最大值最小值测量是否准确，参数值和时间戳显示是否正常</t>
  </si>
  <si>
    <t>5、上位机和HMI上检查三相电压不平衡因素Unbalance factor最大值最小值测量准确（15.421%），参数值和时间戳显示正常
备注: modbus表中能量参数有55个，测试时候需要借助Excel公式计算和上位机及电表上数据比对。</t>
    <phoneticPr fontId="10" type="noConversion"/>
  </si>
  <si>
    <t>Function_AcuRev1320_016_01_case23</t>
  </si>
  <si>
    <t>设置相电压Va,Vb,Vc分别为(69V,120V,230V)，谐波含量百分比0.5%，谐波次数2， 谐波相位30°， 测量电表谐波参数Va_THD,Vb_THD，Vc_THD最大值最小值正确，参数值和时间戳显示正常</t>
  </si>
  <si>
    <t xml:space="preserve">1、连接AcuRev1320电表到Acuview2上，连接状态为connected
2、源输入相电压Va,Vb,Vc分别为(69V,120V,230V)，谐波含量百分比0.5%，谐波次数2， 谐波相位30°
3、重置系统最大、最小值 (clear max/min)
4、等待5mins。
5、上位机和HMI上检查电表谐波参数Va_THD,Vb_THD，Vc_THD最大值最小值测量是否准确，参数值和时间戳显示是否正常
6、检查web页面中MaxMin界面中谐波参数Va_THD,Vb_THD，Vc_THD最大值最小值测量是否准确，参数值和时间戳显示是否正常
</t>
  </si>
  <si>
    <t>5、上位机和HMI上检查电表谐波参数Va_THD,Vb_THD，Vc_THD最大值最小值测量准确，参数值和时间戳显示正常
6、检查web页面中MaxMin界面中谐波参数Va_THD,Vb_THD，Vc_THD最大值最小值测量准确，参数值和时间戳显示正常
备注: modbus表中能量参数有55个，测试时候需要借助Excel公式计算和上位机及电表上数据比对。</t>
  </si>
  <si>
    <t>Function_AcuRev1320_016_01_case24</t>
  </si>
  <si>
    <t>设置相电压Va,Vb,Vc分别为(347V,347V,347V)，谐波含量百分比2%，谐波次数2，谐波相位60°， 测量电表谐波参数Va_THD,Vb_THD，Vc_THD最大值最小值正确，参数值和时间戳显示正常</t>
  </si>
  <si>
    <t>5、上位机和HMI上检查电表谐波参数Va_THD,Vb_THD，Vc_THD最大值最小值测量准确，参数值和时间戳显示正常
备注: modbus表中能量参数有55个，测试时候需要借助Excel公式计算和上位机及电表上数据比对。</t>
  </si>
  <si>
    <t>Function_AcuRev1320_016_01_case25</t>
  </si>
  <si>
    <t>设置相电压Va,Vb,Vc分别为(120V,120V,120V)，谐波含量百分比1%，谐波次数2，谐波相位45°， 测量电表谐波参数Va_THD,Vb_THD，Vc_THD最大值最小值正确，参数值和时间戳显示正常</t>
  </si>
  <si>
    <t>1、连接AcuRev1320电表到Acuview2上，连接状态为connected
2、重置系统最大、最小值 (clear max/min)
3、源输入相电压Va,Vb,Vc分别为(120V,120V,120V)，谐波含量百分比1%，谐波次数2，谐波相位45°
4、等待5mins。
5、上位机和HMI上检查电表谐波参数Va_THD,Vb_THD，Vc_THD最大值最小值测量是否准确，参数值和时间戳显示是否正常</t>
  </si>
  <si>
    <t>5、上位机和HMI上检查电表谐波参数Va_THD,Vb_THD，Vc_THD最大值最小值测量准确，参数值和时间戳显示正常
备注: modbus表中能量参数有55个，测试时候需要借助Excel公式计算和上位机及电表上数据比对。</t>
    <phoneticPr fontId="10" type="noConversion"/>
  </si>
  <si>
    <t>Lv1</t>
  </si>
  <si>
    <t>Function_AcuRev1320_016_01_case26</t>
  </si>
  <si>
    <t>设置相电流Ia,Ib,Ic分别为(3A,5A,10A)，谐波含量百分比0.5%，谐波次数2，谐波相位60°， 测量电表谐波参数Ia_THD,Ib_THD,Ic_THD最大值最小值正确，参数值和时间戳显示正常</t>
  </si>
  <si>
    <t xml:space="preserve">1、连接AcuRev1320电表到Acuview2上，连接状态为connected
2、重置系统最大、最小值 (clear max/min)
3、源输入相电流Ia,Ib,Ic分别为(3A,5A,10A)，谐波含量百分比0.5%，谐波次数2，谐波相位60°
4、等待5mins。
5、上位机和HMI上检查电表谐波参数Ia_THD,Ib_THD,Ic_THD最大值最小值测量是否准确，参数值和时间戳显示是否正常
</t>
  </si>
  <si>
    <t>5、上位机和HMI上检查电表谐波参数Ia_THD,Ib_THD,Ic_THD最大值最小值测量准确，参数值和时间戳显示正常
备注: modbus表中能量参数有55个，测试时候需要借助Excel公式计算和上位机及电表上数据比对。</t>
  </si>
  <si>
    <t>Function_AcuRev1320_016_01_case27</t>
  </si>
  <si>
    <t>设置相电流Ia,Ib,Ic分别为(5A,2A,3A)，谐波含量百分比0.5%，谐波次数2，谐波相位120°， 测量电表谐波参数Ia_THD,Ib_THD,Ic_THD最大值最小值正确，参数值和时间戳显示正常</t>
  </si>
  <si>
    <t>1、连接AcuRev1320电表到Acuview2上，连接状态为connected
2、重置系统最大、最小值 (clear max/min)
3、源输入相电流Ia,Ib,Ic分别为(5A,2A,3A)，谐波含量百分比0.5%，谐波次数2，谐波相位120°
4、等待5mins。
5、上位机和HMI上检查电表谐波参数Ia_THD,Ib_THD,Ic_THD最大值最小值测量是否准确，参数值和时间戳显示是否正常</t>
  </si>
  <si>
    <t>5、上位机和HMI上检查电表谐波参数Ia_THD,Ib_THD,Ic_THD最大值最小值测量准确，参数值和时间戳显示正常
备注: modbus表中能量参数有55个，测试时候需要借助Excel公式计算和上位机及电表上数据比对。</t>
  </si>
  <si>
    <t>Function_AcuRev1320_016_01_case28</t>
  </si>
  <si>
    <t>设置相电压Va,Vb,Vc分别为(120V,120V,120V)，相电流Ia,Ib,Ic分别为(5A,8A,10A)，压流角度为30°，检查ABC三项的P、Q、S 、PF的最大值最小值正确，参数值和时间戳显示正常</t>
  </si>
  <si>
    <t>1、连接AcuRev1320电表到Acuview2上，连接状态为connected
2、源输入相电压Va,Vb,Vc分别为(120V,120V,120V)，相电流Ia,Ib,Ic分别为(5A,8A,10A)，压流角度为30°
3、重置系统最大、最小值 (clear max/min)
4、等待5mins。
5、上位机和HMI上检查电表ABC三项的P、Q、S 、PF最大值最小值测量是否准确，参数值和时间戳显示是否正常</t>
  </si>
  <si>
    <t>5、上位机和HMI上检查电表ABC三项的P、Q、S 、PF最大值最小值量准确，参数值和时间戳显示正常
备注: modbus表中能量参数有55个，测试时候需要借助Excel公式计算和上位机及电表上数据比对。</t>
  </si>
  <si>
    <t>Function_AcuRev1320_016_01_case29</t>
  </si>
  <si>
    <t>设置相电压Va,Vb,Vc分别为(69V,69V,69V)，相电流Ia,Ib,Ic分别为(5A,8A,10A)，压流角度为60°，检查ABC三项的P、Q、S 、PF的最大值最小值正确，参数值和时间戳显示正常</t>
  </si>
  <si>
    <t>1、连接AcuRev1320电表到Acuview2上，连接状态为connected
2、源输入相电压Va,Vb,Vc分别为(69V,69V,69V)，相电流Ia,Ib,Ic分别为(5A,8A,10A)，压流角度为60°
3、重置系统最大、最小值 (clear max/min)
4、等待5mins。
5、上位机和HMI上检查电表ABC三项的P、Q、S 、PF最大值最小值测量是否准确，参数值和时间戳显示是否正常</t>
  </si>
  <si>
    <t>Function_AcuRev1320_016_01_case30</t>
  </si>
  <si>
    <t>设置相电压Va,Vb,Vc分别为(230V,230V,230V)，相电流Ia,Ib,Ic分别为(5A,8A,10A)，压流角度为240°，检查ABC三项的P、Q、S 、PF的最大值最小值正确，参数值和时间戳显示正常</t>
  </si>
  <si>
    <t xml:space="preserve">1、连接AcuRev1320电表到Acuview2上，连接状态为connected
2、源输入相电压Va,Vb,Vc分别为(230V,230V,230V)，相电流Ia,Ib,Ic分别为(5A,8A,10A)，压流角度为240°
3、重置系统最大、最小值 (clear max/min)
4、等待5mins。
5、上位机和HMI上检查电表ABC三项的P、Q、S 、PF最大值最小值测量是否准确，参数值和时间戳显示是否正常，
6、检查web页面中MaxMin界面中电表ABC三项的P、Q、S 、PF最大值最小值测量是否准确，参数值和时间戳显示是否正常
</t>
  </si>
  <si>
    <t>5、上位机和HMI上检查电表ABC三项的P、Q、S 、PF最大值最小值量准确，参数值和时间戳显示正常
6、检查web页面中MaxMin界面中电表ABC三项的P、Q、S 、PF最大值最小值测量准确，参数值和时间戳显示正常
备注: modbus表中能量参数有55个，测试时候需要借助Excel公式计算和上位机及电表上数据比对。</t>
  </si>
  <si>
    <t>记录实时Max和Min(输入通道)验证</t>
    <phoneticPr fontId="10" type="noConversion"/>
  </si>
  <si>
    <t>Function_AcuRev1320_016_02_case1</t>
  </si>
  <si>
    <t>Input Ch1\2\3\4 Current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</si>
  <si>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电流为10A，电压电流相角差0°，等待4mins
5、源输入ABC三相电压全部为240V，Ch1\2\3\4 电流为20A，电压电流相角差0°，等待4mins
6、上位机和HMI上检查输入通道Input Ch1\2\3\4 Current Max Demand测量是否准确，参数值和时间戳显示是否正常</t>
  </si>
  <si>
    <t>6、上位机和HMI上检查输入通道Input Ch1\2\3\4 Current Max Demand测量准确（20A），参数值和时间戳显示正常
备注: modbus表中能量参数有55个，测试时候需要借助Excel公式计算和上位机及电表上数据比对。</t>
  </si>
  <si>
    <t>Function_AcuRev1320_016_02_case2</t>
  </si>
  <si>
    <t>Input Ch1\2\3\4 Import 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</si>
  <si>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电流为10A，电压电流相角差0°
5、等待10mins
6、上位机和HMI上检查输入通道Input Ch1\2\3\4 Import Active Power Max Demand测量是否准确，参数值和时间戳显示是否正常</t>
  </si>
  <si>
    <t>6、上位机和HMI上检查输入通道Input Ch1\2\3\4 Import Active Power Max Demand测量准确（1.2KW），参数值和时间戳显示正常
备注: modbus表中能量参数有55个，测试时候需要借助Excel公式计算和上位机及电表上数据比对。</t>
  </si>
  <si>
    <t>Function_AcuRev1320_016_02_case3</t>
  </si>
  <si>
    <t>Input Ch1\2\3\4 Export 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</si>
  <si>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电流为10A，电压电流相角差120°
5、等待10mins
6、上位机和HMI上检查输入通道nput Ch1\2\3\4 Export Active Power Max Demand测量是否准确，参数值和时间戳显示是否正常</t>
  </si>
  <si>
    <t>6、上位机和HMI上检查输入通道Input Ch1\2\3\4 Export Active Power Max Demand（0.6KW）测量准确，参数值和时间戳显示正常
备注: modbus表中能量参数有55个，测试时候需要借助Excel公式计算和上位机及电表上数据比对。</t>
  </si>
  <si>
    <t>Function_AcuRev1320_016_02_case4</t>
  </si>
  <si>
    <t>Input Ch1\2\3\4 Import Reactive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</si>
  <si>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电流为10A，电压电流相角差30°
5、等待10mins
6、上位机和HMI上检查输入通道Input Ch1\2\3\4 Import Reactive Power Max Demand测量是否准确，参数值和时间戳显示是否正常</t>
  </si>
  <si>
    <t>6、上位机和HMI上检查输入通道Input Ch1\2\3\4 Import Reactive Power Max Demand测量准确（0.6kvar），参数值和时间戳显示正常
备注: modbus表中能量参数有55个，测试时候需要借助Excel公式计算和上位机及电表上数据比对。</t>
  </si>
  <si>
    <t>Function_AcuRev1320_016_02_case5</t>
  </si>
  <si>
    <t>Input Ch1\2\3\4 Export Reactive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</si>
  <si>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电流为10A，电压电流相角差210°
5、等待10mins
6、上位机和HMI上检查输入通道Input Ch1\2\3\4 Export Reactive Power Max Demand测量是否准确，参数值和时间戳显示是否正常</t>
  </si>
  <si>
    <t>6、上位机和HMI上检查输入通道Input Ch1\2\3\4 Export Reactive Power Max Demand(0.6KW)测量准确，参数值和时间戳显示正常
备注: modbus表中能量参数有55个，测试时候需要借助Excel公式计算和上位机及电表上数据比对。</t>
  </si>
  <si>
    <t>Function_AcuRev1320_016_02_case6</t>
  </si>
  <si>
    <t>Input Ch1\2\3\4 Apparent Power Max Demand测量准确，参数值和时间戳显示正常</t>
  </si>
  <si>
    <t>1、连接AcuRev1320电表到Acuview2上，连接状态为connected
2、已重置最大需量 (clear max Demand)
3、上位机配置需量：Demand method：1(sliding Block)；Demand update rate：2mins；Demand Interval：2mins
4、源输入ABC三相电压全部为120V，Ch1\2\3\4 电流为10A，电压电流相角差30°
5、等待10mins
6、上位机和HMI上检查输入通道Input Ch1\2\3\4 Apparent Power Max Demand测量是否准确，参数值和时间戳显示是否正常</t>
  </si>
  <si>
    <t>6、上位机和HMI上检查输入通道Input Ch1\2\3\4 Apparent Power Max Demand测量准确（1.2KW），参数值和时间戳显示正常
备注: modbus表中能量参数有55个，测试时候需要借助Excel公式计算和上位机及电表上数据比对。</t>
  </si>
  <si>
    <t>Function_AcuRev1320_016_02_case7</t>
  </si>
  <si>
    <t>3input电流输入，分别为(3A,5A,10A)，谐波含量百分比0.5%，谐波次数5，谐波相位60°， 测量电表谐波参数uasr1_THD,inupt1_THD,inupt2_THD,inupt3_THD最大值最小值正确，参数值和时间戳显示正常</t>
  </si>
  <si>
    <t>6、上位机上检查电表谐波参数inupt1_THD,inupt2_THD,inupt3_THD测量准确，参数值和时间戳显示正常
备注: modbus表中能量参数有55个，测试时候需要借助Excel公式计算和上位机及电表上数据比对。</t>
  </si>
  <si>
    <t>Function_AcuRev1320_016_02_case8</t>
  </si>
  <si>
    <t>3input电流输入，分别为(3A,5A,10A)，谐波含量百分比2%，谐波次数5，谐波相位60°， 测量电表谐波参数inupt1_THD,inupt2_THD,inupt3_THD最大值最小值正确，参数值和时间戳显示正常</t>
  </si>
  <si>
    <t>1、连接AcuRev1320电表到Acuview2上，连接状态为connected
2、重置通道最大、最小值 (clear max/min)，Ch1、Ch2、Ch3
4、源电流输入Ch1、Ch2、Ch3，分别为(3A、5A、10A)，谐波含量百分比2%，谐波次数5，谐波相位60°
5、等待10mins
6、上位机和HMI上检查电表谐波参数inupt1_THD,inupt2_THD,inupt3_THD测量是否准确，参数值和时间戳显示是否正常</t>
  </si>
  <si>
    <t>6、上位机和HMI上检查电表谐波参数inupt1_THD,inupt2_THD,inupt3_THD测量准确，参数值和时间戳显示正常
备注: modbus表中能量参数有55个，测试时候需要借助Excel公式计算和上位机及电表上数据比对。</t>
  </si>
  <si>
    <t>Function_AcuRev1320_016_02_case9</t>
  </si>
  <si>
    <t>上位机删除所有最大最小值正常，时间戳恢复默认值。</t>
  </si>
  <si>
    <t>1、连接AcuRev1320电表到Acuview2上，连接状态为connected，配置清除最大需量为手动模式
2、上位机和HMI重置最大、最小值 (clear max/min)</t>
  </si>
  <si>
    <t>2、系统和通道的最大、最小值重置成功，值清0，恢复后时间会立即刷新成当前电表时间
注：时间戳默认值地址表未给出，后续更新
2025/3/18：恢复后时间会立即刷新成当前电表时间</t>
  </si>
  <si>
    <t>Function_AcuRev1320_016_02_case10</t>
  </si>
  <si>
    <t>上下电，电表最大值，最小值不会丢失。</t>
  </si>
  <si>
    <t>3、上下电，电表最大值，最小值不会丢失</t>
  </si>
  <si>
    <t xml:space="preserve">Independent input channel 模式，记录实时Max&amp;Min </t>
    <phoneticPr fontId="10" type="noConversion"/>
  </si>
  <si>
    <t>Function_AcuRev1320_016_02_case11</t>
    <phoneticPr fontId="10" type="noConversion"/>
  </si>
  <si>
    <t>Independent input channel  使能，检查Max&amp;Min 页面的</t>
    <phoneticPr fontId="10" type="noConversion"/>
  </si>
  <si>
    <t>1、Acuview2上位机
2、网线/RTU串口线
3、AcuRev1320电表
4、电表接交流源</t>
    <phoneticPr fontId="10" type="noConversion"/>
  </si>
  <si>
    <t xml:space="preserve">1、连接AcuRev1320 电表到Acuview2，连接状态为Connected
2、 Independent Input channel配置为使能，Input1-4依次分别对应到A相、B相、C相、C相；
3、 Summation1配置Input1和Input2；Summation2配置Input3和Input4
4、 供源电压幅值为120V，相位为（0，240，120）；4路电流幅值为5A，相位为（330，210， 90， 90）
5、重置系统最大、最小值 (clear max/min)
6、等待5mins。
7、检查上位机和HMI 的Max MIn的以下参数：
系统频率
相电压、线电压、电压THD；
4路Input的电压幅值、有功、无功、视在功率、PF值、THD；
2个Summation 的有功、无功、视在功率；
电压平衡、电流不平衡； </t>
    <phoneticPr fontId="10" type="noConversion"/>
  </si>
  <si>
    <t xml:space="preserve">Independent input channel 模式，记录MaxDemand </t>
    <phoneticPr fontId="10" type="noConversion"/>
  </si>
  <si>
    <t>Function_AcuRev1320_016_02_case12</t>
  </si>
  <si>
    <t>Independent input channel  使能，检查MaxDemand  页面的</t>
    <phoneticPr fontId="10" type="noConversion"/>
  </si>
  <si>
    <t>1、连接AcuRev1320 电表到Acuview2，连接状态为Connected
2、 Independent Input channel配置为使能，Input1-4依次分别对应到A相、B相、C相、C相；
3、 Summation1配置Input1和Input2；Summation2配置Input3和Input4
4、 供源电压幅值为120V，相位为（0，240，120）；4路电流幅值为5A，相位为（330，210， 90， 90）
5、重置系统的MaxDemand；等待Demand 刷新成功
6、检查上位机和HMI 的MaxDemand页面的以下参数：
4路Input的电压幅值、有功、无功、视在功率；
2个Summation 的有功、无功、视在功率；</t>
    <phoneticPr fontId="10" type="noConversion"/>
  </si>
  <si>
    <t>6、检查参数项目完整，数据内容与Demand一致，时间戳刷新为实际值</t>
    <phoneticPr fontId="10" type="noConversion"/>
  </si>
  <si>
    <t>SOE Log验证</t>
  </si>
  <si>
    <t>Function_AcuRev1320_016_03_case1</t>
    <phoneticPr fontId="10" type="noConversion"/>
  </si>
  <si>
    <t>3个DI分别从OFF变成ON的时候，会分别记录一条SOE log，上位机读取正常。</t>
  </si>
  <si>
    <t>1、连接AcuRev1320电表到Acuview2上，链接状态为connected
2、AcuRev1320电表DI1、DI2、DI3输入0V（ac或dc）
3、上位机设置DI1、DI2、DI3的“DI type”都为state
4、改变DI1、DI2、DI3的输入状态OFF-&gt;ON （DI1、DI2、DI3输入20V）
5、上位机查看SOE记录</t>
  </si>
  <si>
    <t>3、上位机设置DI成功，上位机工具界面无报错
5、上位机新增对应的  1条SOE记录，DI1、DI2、DI3 status 改变为：ON
SOE log包括：时间戳(year, month, day, hour, minute, second, millisecond)、所有DI status正确
注：产生一条SOE记录。实际测试时存在电压抖动，可能产生4条记录</t>
  </si>
  <si>
    <t>Function_AcuRev1320_016_03_case2</t>
  </si>
  <si>
    <t>3个DI分别从ON变成OFF的时候，会分别记录一条SOE log， 上位机读取正常。</t>
  </si>
  <si>
    <t>1、连接AcuRev1320电表到Acuview2上，链接状态为connected
2、AcuRev1320电表DI1、DI2、DI3输入20V（ac或dc）
3、上位机DI1、DI2、DI3的“DI type”都为state
4、改变DI1、DI2、DI3的状态ON-&gt;OFF （DI1、DI2、DI3输入0V）
5、上位机查看SOE记录</t>
  </si>
  <si>
    <t>3、上位机设置DI成功，上位机工具界面无报错
5、上位机新增对应的  1条SOE记录，DI1、DI2、DI3 status 改变为：OFF
SOE log包括：时间戳(year, month, day, hour, minute, second, millisecond)、所有DI status正确</t>
  </si>
  <si>
    <t>Function_AcuRev1320_016_03_case3</t>
  </si>
  <si>
    <t>最多记录200条SOE log,先进先出。</t>
    <phoneticPr fontId="10" type="noConversion"/>
  </si>
  <si>
    <t>1、连接AcuRev1320电表到Acuview2上，链接状态为connected
2、上位机DI1、DI2、DI3的“DI type”都为state
3、循环改变DI1、DI2、DI3的状态OFF-&gt;ON、ON-&gt;OFF 
4、上位机查看SOE记录最多记录条数是否为200条
5、当SOE记录存满，产生新的记录时，是否自动删除最早一条SOE记录（先进先出原则）</t>
  </si>
  <si>
    <t>3、每个DI状态改变，新增一条SOE记录
4、最多记录200条SOE log
5、当SOE记录存满，产生新的记录时，自动删除最早一条SOE记录（先进先出原则）
SOE log包括：时间戳(year, month, day, hour, minute, second, millisecond)、所有DI status正确</t>
  </si>
  <si>
    <t>Max/MIn 与SOE Log验证</t>
  </si>
  <si>
    <t>Function_AcuRev1320_016_03_case4</t>
  </si>
  <si>
    <t>上位机Max/Min页面、SOE Log 等带有ms级时间戳的记录，时间显示对齐</t>
  </si>
  <si>
    <t>1、 检查Max/Min 和SOE Log 页面的时间戳</t>
  </si>
  <si>
    <t>1、 ms级时间戳的显示对齐</t>
  </si>
  <si>
    <t>Function_AcuRev1320_016_03_case5</t>
  </si>
  <si>
    <t>检查SOE Log页面的“Lastest Soe Record No.”参数显示为最后一条SOE Log的编号</t>
  </si>
  <si>
    <t>1、连接AcuRev1320电表到Acuview2上，链接状态为connected
2、上位机DI1、DI2、DI3的“DI type”都为state
3、循环改变DI1、DI2、DI3的状态OFF-&gt;ON、ON-&gt;OFF 
4、上位机查看SOE记录最多记录条数是否为200条
5、当SOE记录存满，产生新的记录时，是否自动删除最早一条SOE记录（先进先出原则）
6、SOE记录新增过程中，观察“Lastest Soe Record No.”是否刷新为最新一条Soe Log的编号</t>
  </si>
  <si>
    <t>3、每个DI状态改变，新增一条SOE记录
4、最多记录200条SOE log
5、当SOE记录存满，产生新的记录时，自动删除最早一条SOE记录（先进先出原则）
SOE log包括：时间戳(year, month, day, hour, minute, second, millisecond)、所有DI status正确
6、SOE记录新增过程中，观察“Lastest Soe Record No.”刷新为最新一条Soe Log的编号</t>
  </si>
  <si>
    <t>DATA Log</t>
    <phoneticPr fontId="10" type="noConversion"/>
  </si>
  <si>
    <t>DATA Log 验证</t>
    <phoneticPr fontId="10" type="noConversion"/>
  </si>
  <si>
    <t>Function_AcuRev1320_017_01_case1</t>
  </si>
  <si>
    <t>上位机可配置datalog1，配置System Basic Parameters的全部参数，使用模式1，参数日志记录和时间戳正常</t>
  </si>
  <si>
    <t>1、Acuview2上位机
2、网线/RTU串口线
3、AcuRev1320电表
4、电表接交流源</t>
  </si>
  <si>
    <t>2、Data Log 1配置成功。上位机提示配置成功，页面无报错。
3、上位机Log1日志1min更新一条
记录内容：包含System Basic Parameters的全部参数，数据符合精度要求</t>
  </si>
  <si>
    <t>Lv1</t>
    <phoneticPr fontId="10" type="noConversion"/>
  </si>
  <si>
    <t>Function_AcuRev1320_017_01_case2</t>
  </si>
  <si>
    <t>上位机可配置datalog1，配置System Demand的全部参数，使用模式2，参数日志记录和时间戳正常</t>
  </si>
  <si>
    <t>1、连接AcuRev1320电表到Acuview2上，链接状态为connected
2、 上位机配置当前时间为 2024/11/15 14:55:00
3、上位机可配置datalog1（Setting — Data Log — Data Log 1）
Data Log Parameter Selection：配置System Demand的全部参数
Logging Interval：1 min
Logging Mode：2（Logging Scheduler）
Start:：2024/11/15 15:00:00  ——参考值
End：2024/11/15 15:20:00  ——参考值
4、查看Log 1日志记录</t>
  </si>
  <si>
    <t>2、Data Log 1配置成功。上位机提示配置成功，页面无报错。
3、上位机Log1日志1min更新一条
记录内容：包含System Demand的全部参数，数据符合精度要求</t>
  </si>
  <si>
    <t>上位机可配置datalog1，配置System Energy 全部参数，使用模式3，开始记录时间在当日未来时间点，当日开始记录，参数日志记录和时间戳正常</t>
  </si>
  <si>
    <t>1、连接AcuRev1320电表到Acuview2上，链接状态为connected
2、上位机可配置datalog1（Setting — Data Log — Data Log 1）
Data Log Parameter Selection：配置System Energy 全部参数
Logging Interval：1 min
Logging Mode：3（Start Logging Time）
开始记录时间在当日未来时间点：
Start: From：15:00  ——参考值
3、修改RTC时间为当日未来14:55，5分钟后查看Log 1日志记录</t>
  </si>
  <si>
    <t>2、Data Log 1配置成功。上位机提示配置成功，页面无报错。
3、上位机Log1日志从当日15:01开始记录日志，1min更新一条
记录内容：包含System Energy 全部参数，数据符合精度要求</t>
  </si>
  <si>
    <t>Function_AcuRev1320_017_01_case4</t>
  </si>
  <si>
    <t>上位机可配置datalog1，配置THD电压电流相关的全部参数，使用模式3，开始记录时间在当日过去时间点，次日开始记录，参数日志记录和时间戳正常</t>
  </si>
  <si>
    <t>1、连接AcuRev1320电表到Acuview2上，链接状态为connected
2、上位机可配置datalog1（Setting — Data Log — Data Log 1）
Data Log Parameter Selection：配置THD电压电流相关的全部参数
Logging Interval：1 min
Logging Mode：3（Start Logging Time）
开始记录时间在当日过去时间点：
Start: From：15:00  ——参考值
3、查看Log 1日志记录</t>
  </si>
  <si>
    <t>2、Data Log 1配置成功。上位机提示配置成功，页面无报错。
3、上位机Log1日志从次日15:01开始记录日志，1min更新一条
记录内容：包含THD电压电流相关的全部参数，数据符合精度要求</t>
  </si>
  <si>
    <t>Function_AcuRev1320_017_01_case5</t>
  </si>
  <si>
    <t>上位机可配置datalog2，配置Ua谐波的全部参数，使用模式1，参数日志记录和时间戳正常</t>
  </si>
  <si>
    <t>1、连接AcuRev1320电表到Acuview2上，链接状态为connected
2、上位机可配置datalog2（Setting — Data Log — Data Log 2）
Data Log Parameter Selection：配置Ua谐波的全部参数
Logging Interval：1 min
Logging Mode：1（Start Logging Immediately）
3、查看Log2日志记录</t>
  </si>
  <si>
    <t>2、Data Log 2配置成功。上位机提示配置成功，页面无报错。
3、上位机Log2日志1min更新一条
记录内容：包含Ua谐波的全部参数，数据符合精度要求</t>
  </si>
  <si>
    <t>Function_AcuRev1320_017_01_case6</t>
  </si>
  <si>
    <t>上位机可配置datalog2，配置Ub谐波的全部参数，使用模式2，参数日志记录和时间戳正常</t>
  </si>
  <si>
    <t>1、连接AcuRev1320电表到Acuview2上，链接状态为connected
2、上位机可配置datalog2（Setting — Data Log — Data Log 2）
Data Log Parameter Selection：配置Ub谐波的全部参数
Logging Interval：1 min
Logging Mode：2（Logging Scheduler）
Start:：2024/11/15 15:00:00  ——参考值
End：2024/11/15 15:20:00  ——参考值
3、查看Log2日志记录</t>
  </si>
  <si>
    <t>2、Data Log 2配置成功。上位机提示配置成功，页面无报错。
3、上位机Log2日志从2024/11/15 15:01:00开始记录，1min更新一条，2024/11/15 15:19:00结束记录，之后不再产生日志记录；
记录内容：包含Ub谐波的全部参数，数据符合精度要求</t>
  </si>
  <si>
    <t>Function_AcuRev1320_017_01_case7</t>
  </si>
  <si>
    <t>上位机可配置datalog2，配置Uc谐波的全部参数，使用模式3，开始记录时间在当日未来时间点，参数日志记录和时间戳正常</t>
  </si>
  <si>
    <t>1、连接AcuRev1320电表到Acuview2上，链接状态为connected
2、上位机可配置datalog2（Setting — Data Log — Data Log 2）
Data Log Parameter Selection：配置Uc谐波的全部参数
Logging Interval：1 min
Logging Mode：3（Start Logging Time）
开始记录时间在当日未来时间点：
Start: From：15:00  ——参考值
3、查看Log 2日志记录</t>
  </si>
  <si>
    <t>2、Data Log 2配置成功。上位机提示配置成功，页面无报错。
3、上位机Log2日志从当日15:00开始记录日志，1min更新一条
记录内容：包含Uc谐波的全部参数，数据符合精度要求</t>
  </si>
  <si>
    <t>Function_AcuRev1320_017_01_case8</t>
  </si>
  <si>
    <t>上位机可配置datalog2，配置Ia谐波的全部参数，使用模式3，开始记录时间在当日过去时间点，参数日志记录和时间戳正常</t>
  </si>
  <si>
    <t>1、连接AcuRev1320电表到Acuview2上，链接状态为connected
2、上位机可配置datalog2（Setting — Data Log — Data Log 2）
Data Log Parameter Selection：配置Ia谐波的全部参数
Logging Interval：1 min
Logging Mode：3（Start Logging Time）
开始记录时间在当日过去时间点：
Start: From：15:00  ——参考值
3、查看Log 2日志记录</t>
  </si>
  <si>
    <t>2、Data Log 2配置成功。上位机提示配置成功，页面无报错。
3、上位机Log2日志从次日15:00开始记录日志，1min更新一条
记录内容：包含Ia谐波的全部参数，数据符合精度要求</t>
  </si>
  <si>
    <t>Function_AcuRev1320_017_01_case9</t>
  </si>
  <si>
    <t>上位机可配置datalog3，配置Ib谐波的全部参数，使用模式1，参数日志记录和时间戳正常</t>
  </si>
  <si>
    <t>1、连接AcuRev1320电表到Acuview2上，链接状态为connected
2、上位机可配置datalog3（Setting — Data Log — Data Log3）
Data Log Parameter Selection：配置Ib谐波的全部参数
Logging Interval：1 min
Logging Mode：1（Start Logging Immediately）
3、查看Log 3日志记录</t>
  </si>
  <si>
    <t>2、Data Log 3配置成功。上位机提示配置成功，页面无报错。
3、上位机Log3日志1min更新一条
记录内容：包含Ib谐波的全部参数，数据符合精度要求</t>
  </si>
  <si>
    <t>Function_AcuRev1320_017_01_case10</t>
  </si>
  <si>
    <t>上位机可配置datalog3，配置Ic谐波的全部参数，使用模式2，参数日志记录和时间戳正常</t>
  </si>
  <si>
    <t>Function_AcuRev1320_017_01_case11</t>
  </si>
  <si>
    <t>上位机可配置datalog3，配置DI Counter 的全部参数，使用模式3，开始记录时间在当日未来时间点，参数日志记录和时间戳正常</t>
  </si>
  <si>
    <t>1、连接AcuRev1320电表到Acuview2上，链接状态为connected
2、上位机可配置datalog3（Setting — Data Log — Data Log 2）
Data Log Parameter Selection：配置DI Counter 的全部参数
Logging Interval：1 min
Logging Mode：3（Start Logging Time）
开始记录时间在当日未来时间点：
Start: From：15:00  ——参考值
3、查看Log 3日志记录</t>
  </si>
  <si>
    <t>2、Data Log 3配置成功。上位机提示配置成功，页面无报错。
3、上位机Log3日志从当日15:00开始记录日志，1min更新一条
记录内容：包含DI Counter 的全部参数，数据符合精度要求
补充： DI为Status模式时，日志记录中的DI值只有0和1、DI为Pluse Counter模式时，日志记录中的DI值可刷新实际值</t>
  </si>
  <si>
    <t>Function_AcuRev1320_017_01_case12</t>
  </si>
  <si>
    <t>上位机可配置datalog3，配置Dual Source Energy 的全部参数，使用模式3，开始记录时间在当日过去时间点，参数日志记录和时间戳正常</t>
  </si>
  <si>
    <t>2、Data Log 3配置成功。上位机提示配置成功，页面无报错。
3、上位机Log3日志从次日15:00开始记录日志，1min更新一条
记录内容：包含Dual Source Energy 的全部参数，数据符合精度要求</t>
  </si>
  <si>
    <t>Function_AcuRev1320_017_01_case13</t>
  </si>
  <si>
    <t>上位机可配置Datalog1配置Independent Input Channel 的参数、Datalog2配置THD的所有参数，使用模式1，参数日志记录和时间戳正常</t>
  </si>
  <si>
    <t>1、连接AcuRev1320电表到Acuview2上，链接状态为connected
2、上位机可配置datalog1，datalog2（Setting — Data Log — Data Log 1/ Data Log 2）
Data Log Parameter Selection：Datalog1配置Independent Input Channel 的参数、Datalog2配置THD的所有参数
Logging Interval：1 min
Logging Mode：1（Start Logging Immediately）
3、查看datalog1，datalog2日志记录</t>
  </si>
  <si>
    <t>2、datalog1，datalog2配置成功。上位机提示配置成功，页面无报错。
3、上位机datalog1，datalog2日志1min更新一条
记录内容：Datalog1包含Independent Input Channel 的参数、Datalog2包含THD的所有参数，数据符合精度要求</t>
  </si>
  <si>
    <t>Function_AcuRev1320_017_01_case14</t>
  </si>
  <si>
    <t>上位机可配置Datalog1配置Ua、Ub、Uc谐波的全部参数、Datalog2配置Ia、Ib、Ic谐波的全部参数，使用模式2，参数日志记录和时间戳正常</t>
  </si>
  <si>
    <t>1、连接AcuRev1320电表到Acuview2上，链接状态为connected
2、上位机可配置datalog1，datalog2（Setting — Data Log — Data Log 1/ Data Log 2）
Data Log Parameter Selection：Datalog1配置Ua、Ub、Uc谐波的全部参数、Datalog2配置Ia、Ib、Ic谐波的全部参数
Logging Interval：1 min
Logging Mode：2（Logging Scheduler）
Start:：2024/11/15 15:00:00  ——参考值
End：2024/11/15 15:20:00  ——参考值
3、查看datalog1，datalog2日志记录</t>
  </si>
  <si>
    <t>2、datalog1，datalog2配置成功。上位机提示配置成功，页面无报错。
3、上位机datalog1，datalog2日志从2024/11/15 15:00:00开始记录，1min更新一条，2024/11/15 15:20:00结束记录，之后不再产生日志记录；
记录内容：Datalog1包含Ua、Ub、Uc谐波的全部参数、Datalog2包含Ia、Ib、Ic谐波的全部参数，数据符合精度要求</t>
  </si>
  <si>
    <t>Function_AcuRev1320_017_01_case15</t>
  </si>
  <si>
    <t>上位机可配置Datalog1配置System Basic Parameters和System Demand的全部参数、Datalog2配置Energy和DI的全部参数，使用模式3，参数日志记录和时间戳正常</t>
  </si>
  <si>
    <t>1、连接AcuRev1320电表到Acuview2上，链接状态为connected
2、上位机可配置datalog1，datalog2（Setting — Data Log — Data Log 1/ Data Log 2）
Data Log Parameter Selection：Datalog1配置System Basic Parameters和System Demand的全部参数、Datalog2配置Energy和DI的全部参数
Logging Interval：1 min
Logging Mode：3（Start Logging Time）
开始记录时间在当日未来时间点：
Start: From：15:00  ——参考值
3、查看datalog1，datalog2日志记录</t>
  </si>
  <si>
    <t>2、datalog1，datalog2配置成功。上位机提示配置成功，页面无报错。
3、上位机datalog1，datalog2日志从当日15:00开始记录日志，1min更新一条
记录内容：Datalog1包含System Basic Parameters和System Demand的全部参数、Datalog2包含Energy和DI的全部参数，数据符合精度要求</t>
  </si>
  <si>
    <t>Function_AcuRev1320_017_01_case16</t>
  </si>
  <si>
    <t>上位机可配置Datalog2配置Dual Source Energy 和System Demand的全部参数、Datalog3配置Energy和DI的全部参数，使用模式1，参数日志记录和时间戳正常</t>
  </si>
  <si>
    <t>1、连接AcuRev1320电表到Acuview2上，链接状态为connected
2、上位机可配置datalog2，datalog3（Setting — Data Log — Data Log 2/ Data Log 3）
Data Log Parameter Selection：Datalog2配置Dual Source Energy 和System Demand的全部参数、Datalog3配置Energy和DI的全部参数
Logging Interval：1 min
Logging Mode：1（Start Logging Immediately）
3、查看datalog2，datalog3日志记录</t>
  </si>
  <si>
    <t>2、datalog2，datalog3配置成功。上位机提示配置成功，页面无报错。
3、上位机datalog2，datalog3日志1min更新一条
记录内容：Datalog2包含Dual Source Energy 和System Demand的全部参数、Datalog3包含Energy和DI的全部参数，数据符合精度要求</t>
  </si>
  <si>
    <t>上位机可配置Datalog2配置System Basic Parameters的全部参数、Datalog3配置Independent Input Channel 的全部参数，使用模式2，参数日志记录和时间戳正常</t>
  </si>
  <si>
    <t>2、datalog2，datalog3配置成功。上位机提示配置成功，页面无报错。
3、上位机datalog2，datalog3日志从2024/11/15 15:01:00开始记录，1min更新一条，2024/11/15 15:19:00结束记录，之后不再产生日志记录；
记录内容：Datalog2包含System Basic Parameters的全部参数、Datalog3包含Independent Input Channel 的全部参数，数据符合精度要求</t>
  </si>
  <si>
    <t>Function_AcuRev1320_017_01_case18</t>
  </si>
  <si>
    <t>上位机可配置Datalog2配置System Demand的全部参数、Datalog3配置Energy的全部参数，使用模式3，参数日志记录和时间戳正常</t>
  </si>
  <si>
    <t>2、datalog2，datalog3配置成功。上位机提示配置成功，页面无报错。
3、上位机datalog2，datalog3日志从当日15:01开始记录日志，1min更新一条
记录内容：Datalog2包含System Demand的全部参数、Datalog3包含Energy的全部参数，数据符合精度要求</t>
  </si>
  <si>
    <t>Function_AcuRev1320_017_01_case19</t>
  </si>
  <si>
    <t>上位机可配置Datalog1配置System Demand的全部参数、Datalog2配置System Energy的全部参数，Datalog3配置Ua、Ub、Uc谐波的全部参数，使用模式1，参数日志记录和时间戳正常</t>
  </si>
  <si>
    <t>2、datalog1,datalog2,datalog3配置成功。上位机提示配置成功，页面无报错。
3、上位机datalog1,datalog2,datalog3日志1min更新一条
记录内容：Datalog1配置System Demand的全部参数、Datalog2配置System Energy的全部参数，Datalog3配置Ua、Ub、Uc谐波的全部参数，数据符合精度要求</t>
  </si>
  <si>
    <t>Function_AcuRev1320_017_01_case20</t>
  </si>
  <si>
    <t>上位机可配置Datalog1、Datalog2、Datalog3配置任意参数，参数配满300个，使用模式2，参数日志记录和时间戳正常</t>
  </si>
  <si>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Mode：2（Logging Scheduler）
Start:：2024/11/15 15:00:00  ——参考值
End：2024/11/15 15:20:00  ——参考值
3、查看datalog1,datalog2,datalog3日志记录</t>
  </si>
  <si>
    <t>2、datalog1,datalog2,datalog3配置成功。上位机提示配置成功，页面无报错。
3、上位机datalog1,datalog2,datalog3日志从2024/11/15 15:01:00开始记录，1min更新一条，2024/11/15 15:19:00结束记录，之后不再产生日志记录；
记录内容：Datalog1、Datalog2、Datalog3包含所选的全部参数，数据符合精度要求</t>
  </si>
  <si>
    <t>Function_AcuRev1320_017_01_case21</t>
  </si>
  <si>
    <t>上位机可配置Datalog1、Datalog2、Datalog3配置任意参数，参数配满300个，使用模式3，参数日志记录和时间戳正常</t>
  </si>
  <si>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Mode：3（Start Logging Time）
开始记录时间在当日未来时间点：
Start: From：15:00  ——参考值
3、查看datalog1,datalog2,datalog3日志记录</t>
  </si>
  <si>
    <t>2、datalog1,datalog2,datalog3配置成功。上位机提示配置成功，页面无报错。
3、上位机datalog1,datalog2,datalog3日志从当日15:01开始记录日志，1min更新一条
记录内容：Datalog1、Datalog2、Datalog3包含所选的全部参数，数据符合精度要求</t>
  </si>
  <si>
    <t>Function_AcuRev1320_017_01_case22</t>
  </si>
  <si>
    <t>日志设置正常，时间间隔1-1440分钟，</t>
  </si>
  <si>
    <t>1、连接AcuRev1320电表到Acuview2上，链接状态为connected
2、上位机上配置日志（Logging Mode：1/2/3）
3、Logging Interval：1 min，查看日志记录
4、Logging Interval：5 min，查看日志记录
5、Logging Interval：1440 min，查看日志记录
6、Logging Interval：1441 min，查看日志记录
7、Logging Interval：0 min</t>
  </si>
  <si>
    <t>3、日志更新周期：1min更新一条，遵循整1min更新
4、日志更新周期：5min更新一条，遵循整5min（5的倍数：05 、10、15~~~）更新
5、日志更新周期：一天更新一条，遵循整天（每天0点更新）更新
6、上位机日志Logging Interval无法设置1441min
7、上位机日志Logging Interval无法设置0min</t>
  </si>
  <si>
    <t>Function_AcuRev1320_017_01_case23</t>
  </si>
  <si>
    <t xml:space="preserve">日志Datalogger 数据记录器1,2,3 共享1377 个 block </t>
  </si>
  <si>
    <t>Function_AcuRev1320_017_01_case24</t>
  </si>
  <si>
    <t>datalog1、datalog2、datalog3、datalog4日志记录的参数完整。详细见规格书</t>
  </si>
  <si>
    <t>1、连接AcuRev1320电表到Acuview2上，链接状态为connected
2、上位机可检查datalog1,datalog2,datalog3,datalog4的参数配置（Setting — Data Log — Data Log 1/ Data Log 2/ Data Log 3/ Data Log 4）
Data Log Parameter Selection：
Datalog1-3：Real-time、Demand、Energy、THD、Harmonic、Sequence Components、Phase Angle、DIcounter
Datalog4：Real-time（不包含LoadType）、THD、Harmonic、Sequence Components、Phase Angle、DIcounter</t>
  </si>
  <si>
    <t>2、datalog1,datalog2,datalog3,datalog4参数配置完整符合预期</t>
  </si>
  <si>
    <t>Function_AcuRev1320_017_01_case25</t>
  </si>
  <si>
    <t>恢复出厂设置后，上位机配置datalog1,datalog2,datalog3、datalog4，参数选择任意部分， Logging Interval默认配置，配置成功（继承于DC300问题单）</t>
  </si>
  <si>
    <t>1、Acuview2上位机
2、网线/RTU串口线
3、AcuRev1320电表
5、电表接交流源</t>
  </si>
  <si>
    <t>4、上位机提示配置日志成功。页面无报错。</t>
    <phoneticPr fontId="10" type="noConversion"/>
  </si>
  <si>
    <t>Function_AcuRev1320_017_01_case26</t>
  </si>
  <si>
    <t>datalog1，构造日志生成到10000条，读取日志能够全部读出</t>
  </si>
  <si>
    <t>1、连接AcuRev1320电表到Acuview2上，链接状态为connected，已配置Datalog1日志
2、读取Log1最近64000条日志（Reading—Data Log—Data Log1 Reading—Read 64000 Records(from selected Record)）
3、日志数量为10000条时，日志编号选择1，选择读取64000条数据日志，并保存至文件</t>
  </si>
  <si>
    <t>2、读取Log1最近64000条日志成功。无报错、乱码，日志间隔、参数与Data Log3配置一致，数据符合精度要求
3、读取到日志编号为1~10000，保存至文件成功</t>
  </si>
  <si>
    <t>Function_AcuRev1320_017_01_case27</t>
  </si>
  <si>
    <t>datalog1，构造日志生成到64000条，读取日志能够全部读出</t>
  </si>
  <si>
    <t>1、连接AcuRev1320电表到Acuview2上，链接状态为connected，已配置Datalog1日志
2、读取Log1最近64000条日志（Reading—Data Log—Data Log1 Reading—Read 64000 Records(from selected Record)）
3、日志数量为64000条时，日志编号选择1，选择读取64000条数据日志，并保存至文件</t>
  </si>
  <si>
    <t>2、读取Log1最近64000条日志成功。无报错、乱码，日志间隔、参数与Data Log3配置一致，数据符合精度要求
3、读取到日志编号为1~64000，保存至文件成功</t>
  </si>
  <si>
    <t>Function_AcuRev1320_017_01_case28</t>
  </si>
  <si>
    <t>电表上删除datalog4后，重新配置datalog4，日志记录功能正常</t>
  </si>
  <si>
    <t>1、HMI上清除datalog4
2、上位机上重新配置datalog4</t>
  </si>
  <si>
    <t>1、上位机datalog4日志被清除
2、上位机上可以重新配置datalog4，日志记录功能正常</t>
  </si>
  <si>
    <t>Function_AcuRev1320_017_01_case29</t>
  </si>
  <si>
    <t>datalog1-4 分配扇区，鼠标光标放置到输入框时，提示的扇区数字正确</t>
  </si>
  <si>
    <t>1、连接AcuRev1320电表到Acuview2上，连接状态为connected
2、上位机Setting的Datalog1-3和TrendLog页面，分配扇区的输入框提示的数字正确</t>
  </si>
  <si>
    <t>2、上位机Setting的Datalog1-3和TrendLog页面，分配扇区的输入框提示的数字正确
 备注：Datalog1~3共用1377个扇区，TrendLog 独自使用459个扇区</t>
  </si>
  <si>
    <t>Dual Source Energy 功能未使能时，上位机Datalog 1-4 setting页面不显示对应参数，无法选择</t>
    <phoneticPr fontId="10" type="noConversion"/>
  </si>
  <si>
    <t>1、连接AcuRev1320电表到Acuview2上，连接状态为connected
2、上位机配置Dual Source Energy 功能未使能
3、 上位机检查Setting的Datalog1-3和TrendLog页面</t>
    <phoneticPr fontId="10" type="noConversion"/>
  </si>
  <si>
    <t>Function_AcuRev1320_017_01_case31</t>
  </si>
  <si>
    <t>Independent Input Channel 功能未使能时，上位机Datalog 1-4 setting页面不显示对应参数，无法选择</t>
    <phoneticPr fontId="10" type="noConversion"/>
  </si>
  <si>
    <t>1、连接AcuRev1320电表到Acuview2上，连接状态为connected
2、上位机配置Independent Input Channel  功能未使能
3、 上位机检查Setting的Datalog1-3和TrendLog页面</t>
    <phoneticPr fontId="10" type="noConversion"/>
  </si>
  <si>
    <t>3、 上位机检查Setting的Datalog1-3和TrendLog页面，参数中不显示Independent Input Channel 的参数，无法选择</t>
    <phoneticPr fontId="10" type="noConversion"/>
  </si>
  <si>
    <t>DATA Log 读取</t>
    <phoneticPr fontId="10" type="noConversion"/>
  </si>
  <si>
    <t>Function_AcuRev1320_017_02_case1</t>
    <phoneticPr fontId="10" type="noConversion"/>
  </si>
  <si>
    <t>读取Datalog1，选择 Read latest 50 Records 读取正常</t>
    <phoneticPr fontId="10" type="noConversion"/>
  </si>
  <si>
    <t>1、连接AcuRev1320电表到Acuview2上，链接状态为connected，已配置Datalog1日志
2、读取Log1最近50条日志（Reading—Data Log—Data Log1 Reading—Read latest 50 Records）
3、日志少于50条时，读取数据日志，并保存至文件
4、日志大于50条时，读取数据日志，并保存至文件</t>
  </si>
  <si>
    <t>2、读取Log1最近50条日志成功。日志间隔、参数与Data Log1配置一致，数据符合精度要求
3、日志读取成功，保存至文件成功
4、日志读取成功，显示为最近50条数据日志，保存至文件成功</t>
  </si>
  <si>
    <t>Function_AcuRev1320_017_02_case2</t>
  </si>
  <si>
    <t>读取Datalog1，选择Read latest 1000 Records(from selected Record)读取正常</t>
  </si>
  <si>
    <t>1、连接AcuRev1320电表到Acuview2上，链接状态为connected，已配置Datalog1日志
2、读取Log1最近1000条日志（Reading—Data Log—Data Log1 Reading—Read 1000 Records(from selected Record)）
3、日志数量为10条时，日志编号选择5，选择读取1000条数据日志，并保存至文件
4、日志编号选择11，读取1000条数据
5、日志超过1000条时，读取数据日志，并保存至文件</t>
  </si>
  <si>
    <t>2、读取Log1最近1000条日志成功。无报错、乱码，日志间隔、参数与Data Log1配置一致，数据符合精度要求
3、读取到日志编号为5~10，保存至文件成功
4、日志编号选择失败
5、日志最近1000条日志成功，保存至文件成功</t>
  </si>
  <si>
    <t>Function_AcuRev1320_017_02_case3</t>
  </si>
  <si>
    <t>读取Datalog1，选择Read latest 6400 Records(from selected Record)读取正常</t>
  </si>
  <si>
    <t>1、连接AcuRev1320电表到Acuview2上，链接状态为connected，已配置Datalog1日志
2、读取Log1最近6400条日志（Reading—Data Log—Data Log1 Reading—Read 6400 Records(from selected Record)）
3、日志数量为100条时，日志编号选择10，选择读取64000条数据日志，并保存至文件
4、日志编号选择101，读取数据日志</t>
  </si>
  <si>
    <t>2、读取Log1最近6400条日志成功。无报错、乱码，日志间隔、参数与Data Log1配置一致，数据符合精度要求
3、读取到日志编号为10~100，保存至文件成功
4、日志编号选择失败</t>
  </si>
  <si>
    <t>读取Datalog1，选择Read latest 1000 Records(from selected Time)读取正常</t>
  </si>
  <si>
    <t>3、默认选择时间为日志开始记录时间，读取Log1最近1000条日志成功。无报错、乱码，日志间隔、参数与Data Log1配置一致，数据符合精度要求
4、日志读取成功。记录开始记录时间晚5min到当前时间日志，保存至文件成功
5、时间选择失败</t>
  </si>
  <si>
    <t>Function_AcuRev1320_017_02_case5</t>
  </si>
  <si>
    <t>读取Datalog1，选择Read latest 6400 Records(from selected Time)读取正常</t>
  </si>
  <si>
    <t>1、连接AcuRev1320电表到Acuview2上，链接状态为connected，已配置Datalog1日志，参数选择20个
2、读取Log1最近6400条日志（Reading—Data Log—Data Log1 Reading—Read 6400 Records(from selected Time)）
3、selected Time为默认选择时间
4、selected Time为日志开始记录时间晚5min，并保存至文件
5、selected Time为日志开始记录时间早5min</t>
  </si>
  <si>
    <t>3、默认选择时间为日志开始记录时间，读取Log1最近6400条日志成功。无报错、乱码，日志间隔、参数与Data Log1配置一致，数据符合精度要求
4、日志读取成功。记录开始记录时间晚5min到当前时间日志，保存至文件成功
5、时间选择失败</t>
  </si>
  <si>
    <t>Function_AcuRev1320_017_02_case6</t>
  </si>
  <si>
    <t>读取Datalog2，选择 Read latest 50 Records 读取正常</t>
  </si>
  <si>
    <t>1、连接AcuRev1320电表到Acuview2上，链接状态为connected，已配置Datalog2日志
2、读取Log2最近50条日志（Reading—Data Log—Data Log2 Reading—Read latest 50 Records）
3、日志少于50条时，读取数据日志，并保存至文件
4、日志大于50条时，读取数据日志，并保存至文件</t>
  </si>
  <si>
    <t>2、读取Log2最近50条日志成功。日志间隔、参数与Data Log2配置一致，数据符合精度要求
3、日志读取成功，最新一条日志时间戳与当前时间相差1min，保存至文件成功
4、日志读取成功，显示为最近50条数据日志，保存至文件成功</t>
  </si>
  <si>
    <t>Function_AcuRev1320_017_02_case7</t>
  </si>
  <si>
    <t>读取Datalog2，选择Read latest 1000 Records(from selected Record)读取正常</t>
  </si>
  <si>
    <t>1、连接AcuRev1320电表到Acuview2上，链接状态为connected，已配置Datalog2日志
2、读取Log2最近1000条日志（Reading—Data Log—Data Log2 Reading—Read 1000 Records(from selected Record)）
3、日志数量为10条时，日志编号选择5，选择读取1000条数据日志，并保存至文件
4、日志编号选择11，读取1000条数据
5、日志超过1000条时，读取数据日志，并保存至文件</t>
  </si>
  <si>
    <t>2、读取Log2最近1000条日志成功。无报错、乱码，日志间隔、参数与Data Log2配置一致，数据符合精度要求
3、读取到日志编号为5~10，保存至文件成功
4、日志编号选择失败
5、日志最近1000条日志成功，保存至文件成功</t>
  </si>
  <si>
    <t>Function_AcuRev1320_017_02_case8</t>
  </si>
  <si>
    <t>读取Datalog2，选择Read latest 6400 Records(from selected Record)读取正常</t>
  </si>
  <si>
    <t>1、连接AcuRev1320电表到Acuview2上，链接状态为connected，已配置Datalog2日志
2、读取Log2最近6400条日志（Reading—Data Log—Data Log2 Reading—Read 6400 Records(from selected Record)）
3、日志数量为100条时，日志编号选择10，选择读取64000条数据日志，并保存至文件
4、日志编号选择101，读取数据日志</t>
  </si>
  <si>
    <t>2、读取Log2最近6400条日志成功。无报错、乱码，日志间隔、参数与Data Log2配置一致，数据符合精度要求
3、读取到日志编号为10~100，保存至文件成功
4、日志编号选择失败</t>
  </si>
  <si>
    <t>Function_AcuRev1320_017_02_case9</t>
  </si>
  <si>
    <t>读取Datalog2，选择Read latest 1000 Records(from selected Time)读取正常</t>
  </si>
  <si>
    <t>1、连接AcuRev1320电表到Acuview2上，链接状态为connected，已配置Datalog2日志
2、读取Log2最近1000条日志（Reading—Data Log—Data Log2 Reading—Read 1000 Records(from selected Time)）
3、selected Time为默认选择时间
4、selected Time为日志开始记录时间晚5min，并保存至文件
5、selected Time为日志开始记录时间早5min</t>
  </si>
  <si>
    <t>3、默认选择时间为日志开始记录时间，读取Log2最近1000条日志成功。无报错、乱码，日志间隔、参数与Data Log2配置一致，数据符合精度要求
4、日志读取成功。记录开始记录时间晚5min到当前时间日志，保存至文件成功
5、时间选择失败</t>
  </si>
  <si>
    <t>Function_AcuRev1320_017_02_case10</t>
  </si>
  <si>
    <t>读取Datalog2，选择Read latest 6400 Records(from selected Time)读取正常</t>
  </si>
  <si>
    <t>1、连接AcuRev1320电表到Acuview2上，链接状态为connected，已配置Datalog2日志
2、读取Log2最近6400条日志（Reading—Data Log—Data Log2 Reading—Read 6400 Records(from selected Time)）
3、selected Time为默认选择时间
4、selected Time为日志开始记录时间晚5min，并保存至文件
5、selected Time为日志开始记录时间早5min</t>
  </si>
  <si>
    <t>3、默认选择时间为日志开始记录时间，读取Log2最近6400条日志成功。无报错、乱码，日志间隔、参数与Data Log2配置一致，数据符合精度要求
4、日志读取成功。记录开始记录时间晚5min到当前时间日志，保存至文件成功
5、时间选择失败</t>
  </si>
  <si>
    <t>Function_AcuRev1320_017_02_case11</t>
  </si>
  <si>
    <t>读取Datalog3，选择 Read latest 50 Records 读取正常</t>
  </si>
  <si>
    <t>1、连接AcuRev1320电表到Acuview2上，链接状态为connected，已配置Datalog3日志
2、读取Log3最近50条日志（Reading—Data Log—Data Log3 Reading—Read latest 50 Records）
3、日志少于50条时，读取数据日志，并保存至文件
4、日志大于50条时，读取数据日志，并保存至文件</t>
  </si>
  <si>
    <t>2、读取Log3最近50条日志成功。日志间隔、参数与Data Log3配置一致，数据符合精度要求
3、日志读取成功，最新一条日志时间戳与当前时间相差1min，保存至文件成功
4、日志读取成功，显示为最近50条数据日志，保存至文件成功</t>
  </si>
  <si>
    <t>Function_AcuRev1320_017_02_case12</t>
  </si>
  <si>
    <t>读取Datalog3，选择Read latest 1000 Records(from selected Record)读取正常</t>
  </si>
  <si>
    <t>1、连接AcuRev1320电表到Acuview2上，链接状态为connected，已配置Datalog3日志
2、读取Log3最近1000条日志（Reading—Data Log—Data Log3 Reading—Read 1000 Records(from selected Record)）
3、日志数量为10条时，日志编号选择5，选择读取1000条数据日志，并保存至文件
4、日志编号选择11，读取1000条数据
5、日志超过1000条时，读取数据日志，并保存至文件</t>
  </si>
  <si>
    <t>2、读取Log3最近1000条日志成功。无报错、乱码，日志间隔、参数与Data Log3配置一致，数据符合精度要求
3、读取到日志编号为5~10，保存至文件成功
4、日志编号选择失败
5、日志最近1000条日志成功，保存至文件成功</t>
  </si>
  <si>
    <t>Function_AcuRev1320_017_02_case13</t>
  </si>
  <si>
    <t>读取Datalog3，选择Read latest 6400 Records(from selected Record)读取正常</t>
  </si>
  <si>
    <t>1、连接AcuRev1320电表到Acuview2上，链接状态为connected，已配置Datalog3日志
2、读取Log3最近6400条日志（Reading—Data Log—Data Log3 Reading—Read 6400 Records(from selected Record)）
3、日志数量为100条时，日志编号选择10，选择读取64000条数据日志，并保存至文件
4、日志编号选择101，读取数据日志</t>
  </si>
  <si>
    <t>2、读取Log3最近6400条日志成功。无报错、乱码，日志间隔、参数与Data Log3配置一致，数据符合精度要求
3、读取到日志编号为10~100，保存至文件成功
4、日志编号选择失败</t>
  </si>
  <si>
    <t>Function_AcuRev1320_017_02_case14</t>
  </si>
  <si>
    <t>读取Datalog3，选择Read latest 1000 Records(from selected Time)读取正常</t>
  </si>
  <si>
    <t>1、连接AcuRev1320电表到Acuview2上，链接状态为connected，已配置Datalog3日志
2、读取Log3最近1000条日志（Reading—Data Log—Data Log3 Reading—Read 1000 Records(from selected Time)）
3、selected Time为默认选择时间
4、selected Time为日志开始记录时间晚5min，并保存至文件
5、selected Time为日志开始记录时间早5min</t>
  </si>
  <si>
    <t>3、默认选择时间为日志开始记录时间，读取Log3最近1000条日志成功。无报错、乱码，日志间隔、参数与Data Log3配置一致，数据符合精度要求
4、日志读取成功。记录开始记录时间晚5min到当前时间日志，保存至文件成功
5、时间选择失败</t>
  </si>
  <si>
    <t>Function_AcuRev1320_017_02_case15</t>
  </si>
  <si>
    <t>读取Datalog3，选择Read latest 6400 Records(from selected Time)读取正常</t>
  </si>
  <si>
    <t>1、连接AcuRev1320电表到Acuview2上，链接状态为connected，已配置Datalog3日志
2、读取Log3最近6400条日志（Reading—Data Log—Data Log3 Reading—Read 6400 Records(from selected Time)）
3、selected Time为默认选择时间
4、selected Time为日志开始记录时间晚5min，并保存至文件
5、selected Time为日志开始记录时间早5min</t>
  </si>
  <si>
    <t>3、默认选择时间为日志开始记录时间，读取Log3最近6400条日志成功。无报错、乱码，日志间隔、参数与Data Log3配置一致，数据符合精度要求
4、日志读取成功。记录开始记录时间晚5min到当前时间日志，保存至文件成功
5、时间选择失败</t>
  </si>
  <si>
    <t>Function_AcuRev1320_017_02_case16</t>
  </si>
  <si>
    <t>上位机读取日志，循环执行读取50条、1000条日志20次，读取正常</t>
  </si>
  <si>
    <t>1、连接AcuRev1320电表到Acuview2上，链接状态为connected，已配置Datalog日志
2、上位机读取日志，循环执行读取50条、1000条日志20次</t>
  </si>
  <si>
    <t>2、日志读取成功，上位机无报错、电表无死机</t>
  </si>
  <si>
    <t>Function_AcuRev1320_017_02_case17</t>
  </si>
  <si>
    <t>建立两个客户端，同时读取数据日志，读取正常</t>
    <phoneticPr fontId="10" type="noConversion"/>
  </si>
  <si>
    <t>1、连接AcuRev1320电表到Acuview2上，链接状态为connected，已配置Datalog日志
2、建立两个客户端
3、同时读取数据日志</t>
  </si>
  <si>
    <t>3、日志读取成功，上位机无报错、电表无死机</t>
  </si>
  <si>
    <t>上位机日志选定时间(from selected Time)开始读取时，选定开始时间为电表关机时间段，点击读取日志可正常读取开机后日志（继承于DC300问题单）</t>
  </si>
  <si>
    <t>3、上位机读取日志正常，关机时间段不会在日志中</t>
  </si>
  <si>
    <t>Function_AcuRev1320_017_02_case19</t>
  </si>
  <si>
    <t>上位机读取日志时，点击停止按钮，可停止日志读取（继承于DC300问题单）</t>
  </si>
  <si>
    <t>1、连接AcuRev1320电表到Acuview2上，链接状态为connected，已配置Datalog日志
2、任意Log读取中，点击停止按钮</t>
  </si>
  <si>
    <t>2、提示用户是否停止日志读取；选择停止，日志读取停止成功，上位机无报错、电表无死机</t>
  </si>
  <si>
    <t>DATA Log 删除</t>
    <phoneticPr fontId="10" type="noConversion"/>
  </si>
  <si>
    <t>Function_AcuRev1320_017_03_case1</t>
  </si>
  <si>
    <t>上位机上删除datalog1， datalog1日志被删除， datalog1日志配置不会被清除， datalog2，datalog3日志、配置不会被清除</t>
  </si>
  <si>
    <t>1、连接AcuRev1320电表到Acuview2上，链接状态为connected
2、上位机上清除datalog1（Reading—Data Log—Data Log1 Reading—Clear Data Log1）
3、查看datalog1日志记录与日志配置
4、查看datalog2/3/4日志</t>
  </si>
  <si>
    <t>2、 清除操作成功，上位机提示配置成功，页面无报错
3、上位机datalog1日志被清除，日志配置不会被清除
4、上位机datalog2/3/4日志、配置不会被清除</t>
  </si>
  <si>
    <t>Function_AcuRev1320_017_03_case2</t>
  </si>
  <si>
    <t>上位机上删除datalog2，datalog2日志被删除，datalog2日志配置不会被清除， datalog1，datalog3日志、配置不会被清除</t>
  </si>
  <si>
    <t>1、连接AcuRev1320电表到Acuview2上，链接状态为connected
2、上位机上清除datalog2（Reading—Data Log—Data Log2 Reading—Clear Data Log2）
3、查看datalog2日志记录与日志配置
4、查看datalog1/3/4日志</t>
  </si>
  <si>
    <t>2、 清除操作成功，上位机提示配置成功，页面无报错
3、上位机datalog2日志被清除，日志配置不会被清除
4、上位机datalog1/3/4日志、配置不会被清除</t>
  </si>
  <si>
    <t>Function_AcuRev1320_017_03_case3</t>
  </si>
  <si>
    <t>上位机上删除datalog3，datalog3日志被删除，datalog3日志配置不会被清除， datalog1，datalog2日志、配置不会被清除</t>
  </si>
  <si>
    <t>1、连接AcuRev1320电表到Acuview2上，链接状态为connected
2、上位机上清除datalog3（Reading—Data Log—Data Log3 Reading—Clear Data Log3）
3、查看datalog3日志记录与日志配置
4、查看datalog1/2/4日志</t>
  </si>
  <si>
    <t>2、 清除操作成功，上位机提示配置成功，页面无报错
3、上位机datalog3日志被清除，日志配置不会被清除
4、上位机datalog1/2/4日志、配置不会被清除</t>
  </si>
  <si>
    <t>Function_AcuRev1320_017_03_case4</t>
  </si>
  <si>
    <t>上位机上删除datalog1，重新配置datalog1，日志记录功能正常</t>
  </si>
  <si>
    <t>1、连接AcuRev1320电表到Acuview2上，链接状态为connected
2、上位机上清除datalog1（Reading—Data Log—Data Log1 Reading—Clear Data Log1）
3、查看是否可以重新配置datalog1</t>
  </si>
  <si>
    <t>2、 清除操作成功，上位机datalog1日志被清除
3、上位机datalog1可以重新配置，日志记录功能正常</t>
  </si>
  <si>
    <t>Function_AcuRev1320_017_03_case5</t>
  </si>
  <si>
    <t>上位机上删除datalog2，重新配置datalog1，日志记录功能正常</t>
  </si>
  <si>
    <t>1、连接AcuRev1320电表到Acuview2上，链接状态为connected
2、上位机上清除datalog2（Reading—Data Log—Data Log2 Reading—Clear Data Log2）
3、查看是否可以重新配置datalog2</t>
  </si>
  <si>
    <t>2、 清除操作成功，上位机datalog2日志被清除
3、上位机datalog2可以重新配置，日志记录功能正常</t>
  </si>
  <si>
    <t>Function_AcuRev1320_017_03_case6</t>
  </si>
  <si>
    <t>上位机上删除datalog3，重新配置datalog1，日志记录功能正常</t>
  </si>
  <si>
    <t>1、连接AcuRev1320电表到Acuview2上，链接状态为connected
2、上位机上清除datalog3（Reading—Data Log—Data Log3 Reading—Clear Data Log3）
3、查看是否可以重新配置datalog3</t>
  </si>
  <si>
    <t>2、 清除操作成功，上位机datalog3日志被清除
3、上位机datalog3可以重新配置，日志记录功能正常</t>
  </si>
  <si>
    <t>Function_AcuRev1320_017_03_case7</t>
  </si>
  <si>
    <t>电表上删除datalog1， datalog1日志被删除， datalog1日志配置不会被清除， datalog2，datalog3日志、配置不会被清除</t>
  </si>
  <si>
    <t>1、HMI上清除datalog1
2、上位机上查看datalog1日志记录与日志配置
3、上位机上查看datalog2/3/4日志</t>
  </si>
  <si>
    <t>2、上位机datalog1日志被清除，日志配置不会被清除
3、上位机datalog2/3/4日志、配置不会被清除</t>
  </si>
  <si>
    <t>Function_AcuRev1320_017_03_case8</t>
  </si>
  <si>
    <t>电表上删除datalog2，datalog2日志被删除， datalog2日志配置不会被清除， datalog1，datalog3日志、配置不会被清除</t>
  </si>
  <si>
    <t>1、HMI上清除datalog2
2、上位机上查看datalog2日志记录与日志配置
3、上位机上查看datalog1/3/4日志</t>
  </si>
  <si>
    <t>2、上位机datalog2日志被清除，日志配置不会被清除
3、上位机datalog1/3/4日志、配置不会被清除</t>
  </si>
  <si>
    <t>Function_AcuRev1320_017_03_case9</t>
  </si>
  <si>
    <t>电表上删除datalog3，datalog3日志被删除， datalog3日志配置不会被清除， datalog1，datalog2日志、配置不会被清除</t>
  </si>
  <si>
    <t>1、HMI上清除datalog3
2、上位机上查看datalog3日志记录与日志配置
3、上位机上查看datalog1/2/4日志</t>
  </si>
  <si>
    <t>2、上位机datalog3日志被清除，日志配置不会被清除
3、上位机datalog1/2/4日志、配置不会被清除</t>
  </si>
  <si>
    <t>Function_AcuRev1320_017_03_case10</t>
  </si>
  <si>
    <t>电表上删除datalog1，重新配置datalog1，日志记录功能正常</t>
  </si>
  <si>
    <t>1、HMI上清除datalog1
2、上位机上重新配置datalog1</t>
  </si>
  <si>
    <t>1、上位机datalog1日志被清除
2、上位机上可以重新配置datalog1，日志记录功能正常</t>
  </si>
  <si>
    <t>Function_AcuRev1320_017_03_case11</t>
  </si>
  <si>
    <t>电表上删除datalog2，重新配置datalog2，日志记录功能正常</t>
  </si>
  <si>
    <t>1、HMI上清除datalog2
2、上位机上重新配置datalog2</t>
  </si>
  <si>
    <t>1、上位机datalog2日志被清除
2、上位机上可以重新配置datalog2，日志记录功能正常</t>
  </si>
  <si>
    <t>Function_AcuRev1320_017_03_case12</t>
  </si>
  <si>
    <t>电表上删除datalog3，重新配置datalog3，日志记录功能正常</t>
  </si>
  <si>
    <t>1、HMI上清除datalog3
2、上位机上重新配置datalog3</t>
  </si>
  <si>
    <t>1、上位机datalog3日志被清除
2、上位机上可以重新配置datalog3，日志记录功能正常</t>
  </si>
  <si>
    <t>Trend Log 验证</t>
    <phoneticPr fontId="10" type="noConversion"/>
  </si>
  <si>
    <t>Function_AcuRev1320_017_04_case1</t>
    <phoneticPr fontId="10" type="noConversion"/>
  </si>
  <si>
    <t>上位机可配置datalog4，配置System Basic Parameters和System Demand的全部参数，使用模式1，日志数据和时间戳记录正常</t>
  </si>
  <si>
    <t>1、连接AcuRev1320电表到Acuview2上，链接状态为connected
2、上位机可配置datalog4（Setting — Data Log — Data Log 4）
Data Log Parameter Selection：System Basic Parameters和System Demand的全部参数
Logging Interval：1 min
Logging Mode：1（Start Logging Immediately）
3、查看Log 4日志记录</t>
  </si>
  <si>
    <t>2、Data Log 4配置成功。上位机提示配置成功，页面无报错。
3、上位机Log4日志1min更新一条
记录内容：包含System Basic Parameters和System Demand的全部参数，记录参数的max/min/average</t>
  </si>
  <si>
    <t>Function_AcuRev1320_017_04_case3</t>
  </si>
  <si>
    <t>上位机可配置datalog4，配置Ua、Ub、Uc谐波的全部参数和DI的全部参数，使用模式3，日志数据和时间戳记录正常</t>
  </si>
  <si>
    <t>1、连接AcuRev1320电表到Acuview2上，链接状态为connected
2、上位机可配置datalog4（Setting — Data Log — Data Log 4）
Data Log Parameter Selection：配置Ua、Ub、Uc谐波的全部参数和DI的全部参数
Logging Interval：1 min
Logging Mode：3（Start Logging Time）
Start: From：15:00  
3、查看Log 4日志记录</t>
  </si>
  <si>
    <t>2、Data Log 4配置成功。上位机提示配置成功，页面无报错。
3、上位机Log4日志15:01开始记录日志，1min更新一条
记录内容：包含Ua、Ub、Uc谐波的全部参数和DI的全部参数，记录参数的max/min/average</t>
  </si>
  <si>
    <t>Function_AcuRev1320_017_04_case4</t>
  </si>
  <si>
    <t>Datalog4日志设置正常，时间间隔1-1440分钟，</t>
  </si>
  <si>
    <t>1、连接AcuRev1320电表到Acuview2上，链接状态为connected
2、上位机上配置Datalog4日志（Logging Mode：1/2/3）
3、Logging Interval：1 min，查看日志记录
4、Logging Interval：5 min，查看日志记录
5、Logging Interval：1440 min，查看日志记录
5、Logging Interval：1441 min，查看日志记录</t>
  </si>
  <si>
    <t>3、Datalog4日志更新周期：1min更新一条
4、Datalog4日志更新周期：5min更新一条
5、Datalog4日志更新周期：一天更新一条
6、上位机日志Logging Interval无法设置1441min</t>
  </si>
  <si>
    <t>Function_AcuRev1320_017_04_case5</t>
  </si>
  <si>
    <t>趋势记录器 单独使用459个 block</t>
  </si>
  <si>
    <t>1、循环写入数据日志
2、查看trendlogger（趋势日志）所占空间大小  -----方法待构造
3、当日志存满，是否自动删除最早一个存储扇区（第一个存储扇区）-----方法待构造
注：此用例需构造特殊版本验证</t>
  </si>
  <si>
    <t>2、趋势记录器 单独使用  459个 block
3、当日志存满，自动删除最早存储扇区</t>
  </si>
  <si>
    <t>Function_AcuRev1320_017_04_case6</t>
  </si>
  <si>
    <t>日志参数包含数据完整。详细见规格书</t>
  </si>
  <si>
    <t>1、连接AcuRev1320电表到Acuview2上，链接状态为connected
2、上位机可配置datalog4（Setting — Data Log — Data Log 4）
Data Log Parameter Selection：参数部分选择
Logging Interval：1 min
Logging Mode：1（Start Logging Immediately）
3、查看datalog4日志记录</t>
  </si>
  <si>
    <t>2、datalog4配置成功。上位机提示配置成功，页面无报错。
3、上位机datalog4日志1min更新一条
记录内容：包含电表所选全部参数，记录参数的max/min/average</t>
    <phoneticPr fontId="10" type="noConversion"/>
  </si>
  <si>
    <t>Trend Log 读取</t>
    <phoneticPr fontId="10" type="noConversion"/>
  </si>
  <si>
    <t>Function_AcuRev1320_017_05_case1</t>
    <phoneticPr fontId="10" type="noConversion"/>
  </si>
  <si>
    <t>读取Datalog4，选择 Read latest 50 Records 读取正确</t>
  </si>
  <si>
    <t>1、连接AcuRev1320电表到Acuview2上，链接状态为connected，已配置Datalog4日志
2、读取Log4最近50条日志（Reading—Data Log—Data Log4 Reading—Read latest 50 Records）
3、日志少于50条时，读取数据日志，并保存至文件
4、日志大于50条时，读取数据日志，并保存至文件</t>
  </si>
  <si>
    <t>2、读取Log4最近50条日志成功。日志间隔、参数与Data Log4配置一致，数据符合精度要求
3、日志读取成功，最新一条日志时间戳与当前时间相差1min，保存至文件成功
4、日志读取成功，显示为最近50条数据日志，保存至文件成功</t>
  </si>
  <si>
    <t>Function_AcuRev1320_017_05_case2</t>
  </si>
  <si>
    <t>读取Datalog4，选择 Read latest 1000 Records(from selected Record)读取正确</t>
  </si>
  <si>
    <t>1、连接AcuRev1320电表到Acuview2上，链接状态为connected，已配置Datalog4日志
2、读取Log1最近1000条日志（Reading—Data Log—Data Log4 Reading—Read 1000 Records(from selected Record)）
3、日志数量为10条时，日志编号选择5，选择读取1000条数据日志，并保存至文件
4、日志编号选择11，读取1000条数据
5、日志超过1000条时，读取数据日志，并保存至文件</t>
  </si>
  <si>
    <t>2、读取Log4最近1000条日志成功。无报错、乱码，日志间隔、参数与Data Log4配置一致，数据符合精度要求
3、读取到日志编号为5~10，保存至文件成功
4、日志编号选择失败
5、日志最近1000条日志成功，保存至文件成功</t>
  </si>
  <si>
    <t>Function_AcuRev1320_017_05_case3</t>
  </si>
  <si>
    <t>读取Datalog4，选择 Read latest 6400 Records(from selected Record)读取正确</t>
  </si>
  <si>
    <t>1、连接AcuRev1320电表到Acuview2上，链接状态为connected，已配置Datalog4日志
2、读取Log1最近6400条日志（Reading—Data Log—Data Log4 Reading—Read 6400 Records(from selected Record)）
3、日志数量为100条时，日志编号选择10，选择读取64000条数据日志，并保存至文件
4、日志编号选择101，读取数据日志</t>
  </si>
  <si>
    <t>2、读取Log1最近6400条日志成功。无报错、乱码，日志间隔、参数与Data Log4配置一致，数据符合精度要求
3、读取到日志编号为10~100，保存至文件成功
4、日志编号选择失败</t>
  </si>
  <si>
    <t>Function_AcuRev1320_017_05_case4</t>
  </si>
  <si>
    <t>读取Datalog4，选择 Read latest 1000 Records(from selected Time)读取正确</t>
  </si>
  <si>
    <t>1、连接AcuRev1320电表到Acuview2上，链接状态为connected，已配置Datalog4日志
2、读取Log1最近1000条日志（Reading—Data Log—Data Log4 Reading—Read 1000 Records(from selected Time)）
3、selected Time为默认选择时间
4、selected Time为日志开始记录时间晚5min，并保存至文件
5、selected Time为日志开始记录时间早5min</t>
  </si>
  <si>
    <t>3、默认选择时间为日志开始记录时间，读取Log4最近1000条日志成功。无报错、乱码，日志间隔、参数与Data Log4配置一致，数据符合精度要求
4、日志读取成功。记录开始记录时间晚5min到当前时间日志，保存至文件成功
5、时间选择失败</t>
  </si>
  <si>
    <t>Function_AcuRev1320_017_05_case5</t>
  </si>
  <si>
    <t>读取Datalog4，选择 Read latest 6400 Records(from selected Time)读取正确</t>
  </si>
  <si>
    <t>1、连接AcuRev1320电表到Acuview2上，链接状态为connected，已配置Datalog4日志
2、读取Log4最近6400条日志（Reading—Data Log—Data Log4 Reading—Read 6400 Records(from selected Time)）
3、selected Time为默认选择时间
4、selected Time为日志开始记录时间晚5min，并保存至文件
5、selected Time为日志开始记录时间早5min</t>
  </si>
  <si>
    <t>3、默认选择时间为日志开始记录时间，读取Log4最近6400条日志成功。无报错、乱码，日志间隔、参数与Data Log4配置一致，数据符合精度要求
4、日志读取成功。记录开始记录时间晚5min到当前时间日志，保存至文件成功
5、时间选择失败</t>
  </si>
  <si>
    <t>Trend Log 删除</t>
    <phoneticPr fontId="10" type="noConversion"/>
  </si>
  <si>
    <t>Function_AcuRev1320_017_06_case1</t>
  </si>
  <si>
    <t>上位机上删除datalog4， datalog4日志被删除， datalog4日志配置不会被清除， datalog1，datalog2，datalog3配置和日志不会被清除</t>
  </si>
  <si>
    <t>1、连接AcuRev1320电表到Acuview2上，链接状态为connected
2、上位机上清除datalog4（Reading—Data Log—Data Log4 Reading—Clear Data Log4）
3、查看datalog4日志
4、查看datalog1/2/3日志</t>
  </si>
  <si>
    <t>2、 清除操作成功，上位机提示配置成功，页面无报错
3、上位机datalog4日志被清除，配置不会被清除
4、上位机datalog1/2/3日志、配置不会被清除</t>
  </si>
  <si>
    <t>Function_AcuRev1320_017_06_case2</t>
  </si>
  <si>
    <t>上位机上删除datalog4后，重新配置datalog4，日志记录功能正常</t>
  </si>
  <si>
    <t>1、连接AcuRev1320电表到Acuview2上，链接状态为connected
2、上位机上清除datalog4（Reading—Data Log—Data Log4 Reading—Clear Data Log4）
3、查看是否可以重新配置datalog4</t>
  </si>
  <si>
    <t>2、 清除操作成功，上位机datalog4日志被清除
3、上位机datalog4可以重新配置，日志记录功能正常</t>
  </si>
  <si>
    <t>Function_AcuRev1320_017_06_case3</t>
  </si>
  <si>
    <t>电表上删除datalog4，  datalog4日志被删除， datalog4日志配置不会被清除， datalog1，datalog2，datalog3配置和日志不会被清除</t>
  </si>
  <si>
    <t>1、HMI上清除datalog4
2、上位机上查看datalog4日志
3、上位机上查看datalog1/2/3日志</t>
  </si>
  <si>
    <t>2、上位机datalog4日志被清除，配置不会被清除
3、上位机datalog1/2/3日志、配置不会被清除</t>
  </si>
  <si>
    <t>Input&amp;Output</t>
  </si>
  <si>
    <t>数字输入(DI)验证</t>
  </si>
  <si>
    <t>Function_AcuRev1320_018_01_case1</t>
  </si>
  <si>
    <t>上位机和HMI设置DI1的“DI type”为state，输入改变DI1的状态ON-&gt;OFF，上位机和HMI有对应的SOE记录，且SOE的开关和时间戳正确</t>
  </si>
  <si>
    <t>3、上位机和HMI设置DI1成功，上位机和HMI工具界面无报错
5、DI 状态变化，上位机和HMI会新增记录一条SOE log，DI1 status 为：OFF (low)
SOE log包括：时间戳(year, month, day, hour, minute, second, millisecond)、所有DI status正确
备注:
ON 为15V-60V
不用处理5.1V-14.9V
OFF 为0V-5V</t>
  </si>
  <si>
    <t>Function_AcuRev1320_018_01_case2</t>
  </si>
  <si>
    <t>上位机和HMI设置DI1的“DI type”为state，输入改变DI1的状态OFF-&gt;ON，上位机和HMI有对应的SOE记录，且SOE的开关和时间戳正确</t>
  </si>
  <si>
    <t>1、连接AcuRev1320电表到Acuview2上，链接状态为connected
2、AcuRev1320电表DI1输入0V（dc），模拟DI状态为OFF
3、上位机和HMI设置DI1的“DI type”为status Monitor（Setting—IO Module页面）
4、DI1输入20V（dc）， 模拟改变DI1的状态OFF-&gt;ON
5、上位机和HMI查看SOE记录（Reading—SOE Log 页面）</t>
  </si>
  <si>
    <t>3、上位机和HMI设置DI1成功，上位机和HMI工具界面无报错
5、DI 状态变化，上位机和HMI会新增记录一条SOE log，DI1 status 为：ON（high）
SOE log包括：时间戳(year, month, day, hour, minute, second, millisecond)、所有DI status正确</t>
  </si>
  <si>
    <t>Function_AcuRev1320_018_01_case3</t>
  </si>
  <si>
    <t>上位机和HMI设置DI2的“DI type”为state，输入改变DI2的状态ON-&gt;OFF，上位机和HMI有对应的SOE记录，且SOE的开关和时间戳正确</t>
  </si>
  <si>
    <t>1、连接AcuRev1320电表到Acuview2上，链接状态为connected
2、AcuRev1320电表DI2输入20V（dc），模拟DI状态为ON
3、上位机和HMI设置DI2的“DI type”为status Monitor
4、DI2输入0V（dc），模拟改变DI2的状态ON-&gt;OFF
5、上位机和HMI查看SOE记录</t>
  </si>
  <si>
    <t>3、上位机和HMI设置DI2成功，上位机和HMI工具界面无报错
5、DI 状态变化，上位机和HMI会新增记录一条SOE log，DI2 status 为：OFF(low)
SOE log包括：时间戳(year, month, day, hour, minute, second, millisecond)、所有DI status正确</t>
    <phoneticPr fontId="10" type="noConversion"/>
  </si>
  <si>
    <t>Function_AcuRev1320_018_01_case4</t>
  </si>
  <si>
    <t>上位机和HMI设置DI2的“DI type”为state，输入改变DI2的状态OFF-&gt;ON，上位机和HMI有对应的SOE记录，且SOE的开关和时间戳正确</t>
  </si>
  <si>
    <t>1、连接AcuRev1320电表到Acuview2上，链接状态为connected
2、AcuRev1320电表D2输入0V（dc），模拟DI状态为OFF
3、上位机和HMI设置DI2的“DI type”为status Monitor
4、DI2输入20V（dc），模拟改变DI2的状态OFF-&gt;ON
5、上位机和HMI查看SOE记录</t>
  </si>
  <si>
    <t>3、上位机和HMI设置DI2成功，上位机和HMI工具界面无报错
5、DI 状态变化，上位机和HMI会新增记录一条SOE log，DI2 status 为：ON （high）
SOE log包括：时间戳(year, month, day, hour, minute, second, millisecond)、所有DI status正确</t>
    <phoneticPr fontId="10" type="noConversion"/>
  </si>
  <si>
    <t>Function_AcuRev1320_018_01_case5</t>
  </si>
  <si>
    <t>上位机和HMI设置DI3的“DI type”为state，输入改变DI3的状态ON-&gt;OFF，上位机和HMI有对应的SOE记录，且SOE的开关和时间戳正确</t>
  </si>
  <si>
    <t>1、连接AcuRev1320电表到Acuview2上，链接状态为connected
2、AcuRev1320电表DI3输入20V（dc），模拟DI状态为ON
3、上位机和HMI设置DI3的“DI type”为status Monitor
4、DI3输入0V（dc）, 模拟改变DI3的状态ON-&gt;OFF
5、上位机和HMI查看SOE记录</t>
  </si>
  <si>
    <t>3、上位机和HMI设置DI3成功，上位机和HMI工具界面无报错
5、DI 状态变化，上位机和HMI会新增记录一条SOE log，DI3 status 为：OFF(low)
SOE log包括：时间戳(year, month, day, hour, minute, second, millisecond)、所有DI status正确</t>
    <phoneticPr fontId="10" type="noConversion"/>
  </si>
  <si>
    <t>Function_AcuRev1320_018_01_case6</t>
  </si>
  <si>
    <t>上位机和HMI设置DI3的“DI type”为state，输入改变DI3的状态OFF-&gt;ON，上位机和HMI有对应的SOE记录，且SOE的开关和时间戳正确</t>
  </si>
  <si>
    <t>1、连接AcuRev1320电表到Acuview2上，链接状态为connected
2、AcuRev1320电表DI3输入0V（dc），模拟DI状态为OFF
3、上位机和HMI设置DI3的“DI type”为status Monitor
4、改变DI3的状态OFF-&gt;ON （DI3输入20V（dc））
5、上位机和HMI查看SOE记录</t>
  </si>
  <si>
    <t>3、上位机和HMI设置DI3成功，上位机和HMI工具界面无报错
5、DI 状态变化，上位机和HMI会新增记录一条SOE log，DI3 status 为：ON(high)
SOE log包括：时间戳(year, month, day, hour, minute, second, millisecond)、所有DI status正确</t>
    <phoneticPr fontId="10" type="noConversion"/>
  </si>
  <si>
    <t>Function_AcuRev1320_018_01_case7</t>
  </si>
  <si>
    <t>上位机和HMI设置DI1、DI2、DI3的“DI type”为state，输入改变DI1、DI2、DI3的状态OFF-&gt;ON，上位机和HMI有对应的4条SOE记录，且SOE的开关和时间戳正确</t>
  </si>
  <si>
    <t>3、上位机和HMI设置DI成功，上位机和HMI工具界面无报错
5、上位机和HMI新增对应的 1  条SOE记录，DI1、DI2、DI3 status 改变为：ON(high)
SOE log包括：时间戳(year, month, day, hour, minute, second, millisecond)、所有DI status正确</t>
  </si>
  <si>
    <t>Function_AcuRev1320_018_01_case8</t>
  </si>
  <si>
    <t>上位机和HMI设置DI1、DI2、DI3的“DI type”为state，输入改变DI1、DI2、DI3的状态ON-&gt;OFF，上位机和HMI有对应的4条SOE记录，且SOE的开关和时间戳正确</t>
  </si>
  <si>
    <t>1、连接AcuRev1320电表到Acuview2上，链接状态为connected
2、AcuRev1320电表DI1、DI2、DI3输入20V（dc），模拟DI状态为ON
3、上位机和HMIDI1、DI2、DI3的“DI type”都为status Monitor
4、DI1、DI2、DI3输入0V, 模拟改变DI1、DI2、DI3的状态ON-&gt;OFF
5、上位机和HMI查看SOE记录</t>
  </si>
  <si>
    <t>3、上位机和HMI设置DI成功，上位机和HMI工具界面无报错
5、上位机和HMI新增对应的1条SOE记录，DI1、DI2、DI3 status 改变为：OFF(low)
SOE log包括：时间戳(year, month, day, hour, minute, second, millisecond)、所有DI status正确</t>
  </si>
  <si>
    <t>Function_AcuRev1320_018_01_case9</t>
  </si>
  <si>
    <t>上位机和HMI设置DI1的“DI type”为state，输入改变DI1的状态ON-&gt;OFF，上位机和HMI有对应的Alarm log记录，且DI的值、状态和时间戳正确</t>
  </si>
  <si>
    <t>1、Acuview2上位机
2、网线/RTU串口线
3、AcuRev1320电表
4、DI1的“DI type”为state</t>
  </si>
  <si>
    <t>3、上位机和HMI设置Alarm成功，上位机和HMI工具界面无报错
5、上位机和HMI新增1条Alarm Log记录：
DI1 Value：0
DI1 status 为：OFF
status: start, Ex Value1：0.000
时间戳(year, month, day, hour, minute, second, millisecond)
7、上位机和HMI新增1条Alarm Log记录：
status: end,  Ex Value1：0.000
时间戳(year, month, day, hour, minute, second, millisecond)</t>
  </si>
  <si>
    <t>Function_AcuRev1320_018_01_case10</t>
  </si>
  <si>
    <t>上位机和HMI设置DI1的“DI type”为state，输入改变DI1的状态OFF-&gt;ON，上位机和HMI有对应的Alarm log记录，且DI的值、状态和时间戳正确</t>
  </si>
  <si>
    <t>1、连接AcuRev1320电表到Acuview2上，链接状态为connected
2、AcuRev1320电表DI1输入0V（dc）
3、设置“Alarm”告警：DI1=“1”（Setting—Alarm 页面）（Pickup Value=1，Dropout Value=0）
4、AcuRev1320电表DI1输入20V（dc）
5、上位机和HMI查看Alarm Log记录（Reading—Alarm Log 页面）
6、AcuRev1320电表DI1输入0V（dc）
7、上位机和HMI查看Alarm Log记录告警消除的记录（Reading—Alarm Log 页面）</t>
  </si>
  <si>
    <t>3、设置Alarm成功，上位机和HMI工具界面无报错
5、上位机和HMI新增1条Alarm Log记录：
DI1 Value：1
DI1 status 为：ON
status: start, Ex Value1：1.000
时间戳(year, month, day, hour, minute, second, millisecond)
7、上位机和HMI新增1条Alarm Log记录：
status: end,  Ex Value1：1.000
时间戳(year, month, day, hour, minute, second, millisecond)</t>
  </si>
  <si>
    <t>Function_AcuRev1320_018_01_case11</t>
  </si>
  <si>
    <t>上位机和HMI设置DI2的“DI type”为state，输入改变DI1的状态ON-&gt;OFF，上位机和HMI有对应的Alarm log记录，且DI的值、状态和时间戳正确</t>
  </si>
  <si>
    <t>1、连接AcuRev1320电表到Acuview2上，链接状态为connected
2、AcuRev1320电表DI2输入20V（dc）
3、上位机和HMI设置“Alarm”告警：DI2=“0”（Setting—Alarm 页面）（Pickup Value=0，Dropout Value=1）
4、AcuRev1320电表DI2输入0V（dc）
5、上位机和HMI查看Alarm Log记录（触发告警）
6、AcuRev1320电表DI2输入20V（dc）
7、上位机和HMI查看Alarm Log记录告警消除的记录（Reading—Alarm Log 页面）</t>
  </si>
  <si>
    <t>3、上位机和HMI设置Alarm成功，上位机和HMI工具界面无报错
5、上位机和HMI新增1条Alarm Log记录：
DI2  Value：0
DI2 status 为：OFF
status: start, Ex Value1：0.000
时间戳(year, month, day, hour, minute, second, millisecond)
7、上位机和HMI新增1条Alarm Log记录：
status: end,  Ex Value1：0.000
时间戳(year, month, day, hour, minute, second, millisecond)</t>
  </si>
  <si>
    <t>Function_AcuRev1320_018_01_case12</t>
  </si>
  <si>
    <t>上位机和HMI设置DI2的“DI type”为state，输入改变DI1的状态OFF-&gt;ON，上位机和HMI有对应的Alarm log记录，且DI的值、状态和时间戳正确</t>
  </si>
  <si>
    <t>1、连接AcuRev1320电表到Acuview2上，链接状态为connected
2、AcuRev1320电表DI2输入0V（dc）
3、上位机和HMI设置“Alarm”告警：DI2=“1”
（Setting—Alarm 页面）（Pickup Value=1，Dropout Value=0）
4、AcuRev1320电表DI2输入20V（dc）
5、上位机和HMI查看Alarm Log记录
6、AcuRev1320电表DI2输入0V（dc）
7、上位机和HMI查看Alarm Log记录告警消除的记录（Reading—Alarm Log 页面）</t>
  </si>
  <si>
    <t>3、上位机和HMI设置Alarm成功，上位机和HMI工具界面无报错
5、上位机和HMI新增1条Alarm Log记录：
DI2  Value：0
DI2 status 为：OFF
status: start, Ex Value1：1.000
时间戳(year, month, day, hour, minute, second, millisecond)
7、上位机和HMI新增1条Alarm Log记录：
status: end,  Ex Value1：1.000
时间戳(year, month, day, hour, minute, second, millisecond)</t>
    <phoneticPr fontId="10" type="noConversion"/>
  </si>
  <si>
    <t>Function_AcuRev1320_018_01_case13</t>
  </si>
  <si>
    <t>上位机和HMI设置DI3的“DI type”为state，输入改变DI1的状态ON-&gt;OFF，上位机和HMI有对应的Alarm log记录，且DI的值、状态和时间戳正确</t>
  </si>
  <si>
    <t>1、连接AcuRev1320电表到Acuview2上，链接状态为connected
2、AcuRev1320电表DI3输入20V（dc）
3、上位机和HMI设置“Alarm”告警：DI3=“0”
（Setting—Alarm 页面）（Pickup Value=0，Dropout Value=1）
4、AcuRev1320电表DI3输入0V（dc）
5、上位机和HMI查看Alarm Log记录
6、AcuRev1320电表DI3输入20V（dc）
7、上位机和HMI查看Alarm Log记录告警消除的记录（Reading—Alarm Log 页面）</t>
  </si>
  <si>
    <t>3、上位机和HMI设置Alarm成功，上位机和HMI工具界面无报错
5、上位机和HMI新增1条Alarm Log记录：
DI3  Value：0
DI3 status 为：OFF
status: start, Ex Value1：0.000
时间戳(year, month, day, hour, minute, second, millisecond)
7、上位机和HMI新增1条Alarm Log记录：
status: end,  Ex Value1：0.000
时间戳(year, month, day, hour, minute, second, millisecond)</t>
    <phoneticPr fontId="10" type="noConversion"/>
  </si>
  <si>
    <t>Function_AcuRev1320_018_01_case14</t>
  </si>
  <si>
    <t>上位机和HMI设置DI3的“DI type”为state，输入改变DI1的状态OFF-&gt;ON，上位机和HMI有对应的Alarm log记录，且DI的值、状态和时间戳正确</t>
  </si>
  <si>
    <t>1、连接AcuRev1320电表到Acuview2上，链接状态为connected
2、AcuRev1320电表DI3输入0V（dc）
（Setting—Alarm 页面）（Pickup Value=1，Dropout Value=0）
3、上位机和HMI设置“Alarm”告警：DI3=“1”
4、AcuRev1320电表DI3输入20V（dc）
5、上位机和HMI查看Alarm Log记录
6、AcuRev1320电表DI3输入0V（dc）
7、上位机和HMI查看Alarm Log记录告警消除的记录（Reading—Alarm Log 页面）</t>
  </si>
  <si>
    <t>3、上位机和HMI设置Alarm成功，上位机和HMI工具界面无报错
5、上位机和HMI新增1条Alarm Log记录：
DI3  Value：1
DI3 status 为：OFF
status: start, Ex Value1：1.000
时间戳(year, month, day, hour, minute, second, millisecond)
7、上位机和HMI新增1条Alarm Log记录：
status: end,  Ex Value1：1.000
时间戳(year, month, day, hour, minute, second, millisecond)</t>
  </si>
  <si>
    <t>Function_AcuRev1320_018_01_case15</t>
  </si>
  <si>
    <t>Function_AcuRev1320_018_01_case16</t>
  </si>
  <si>
    <t>上位机和HMI设置DI1、DI2、DI3的“DI type”为state，输入改变DI1、DI2、DI3的状态OFF-&gt;ON，上位机和HMI有对应的3条Alarm log记录，且DI的值、状态和时间戳正确</t>
  </si>
  <si>
    <t>Function_AcuRev1320_018_01_case17</t>
  </si>
  <si>
    <t>上位机和HMI设置DI1的“DI type”为Counter，“DI Pluse Const”为1，DI1输入1个脉冲信号，上位机和HMI上DI的DIcounter为1</t>
    <phoneticPr fontId="10" type="noConversion"/>
  </si>
  <si>
    <t>1、连接AcuRev1320电表到Acuview2上，链接状态为connected
2、上位机和HMI设置DI1的“DI type”为Pluse Counter，“DI Pluse Const”为1（Setting—IO Module页面）
3、DI1输入1个脉冲信号（20V（dc），大于5ms开和大于5ms关）
4、上位机和HMI查看的DI1 counter计数（Reading—IO Module Reading页面）
注：这里的脉冲开关时间（周期）待定，按功能要求大于5ms即可
脉冲构造方法: 通过20V电源开关，产生远远大于5ms的脉冲。</t>
  </si>
  <si>
    <t>2、上位机和HMI设置DI1成功，显示“DI type”为Counter，“DI Pluse Const”为1，上位机和HMI工具界面无报错
4、上位机和HMI DI1 counter计数加1</t>
    <phoneticPr fontId="10" type="noConversion"/>
  </si>
  <si>
    <t>Function_AcuRev1320_018_01_case18</t>
  </si>
  <si>
    <t>上位机和HMI设置DI1的“DI type”为Counter，“DI Pluse Const”为1，DI1输入2个脉冲信号，上位机和HMI上DI的DIcounter为2</t>
  </si>
  <si>
    <t>1、连接AcuRev1320电表到Acuview2上，链接状态为connected
2、上位机和HMI设置DI1的“DI type”为Counter，“DI Pluse Const”为1
3、DI1输入2个脉冲信号（20V（dc），大于5ms开和大于5ms关）
4、上位机和HMI查看的DI1 counter计数（Reading—IO Module Reading页面）
注：这里的脉冲开关时间（周期）待定，按功能要求大于5ms即可</t>
  </si>
  <si>
    <t>2、上位机和HMI设置DI1成功，显示“DI type”为Counter，“DI Pluse Const”为1，上位机和HMI工具界面无报错
4、上位机和HMI DI1 counter计数加2</t>
  </si>
  <si>
    <t>Function_AcuRev1320_018_01_case19</t>
  </si>
  <si>
    <t>HMI DI Settings页面， PulseConstant没有单位</t>
  </si>
  <si>
    <t>1、查看HMI DI Settings页面</t>
  </si>
  <si>
    <t xml:space="preserve">1、DI  PulseConstant没有单位 </t>
  </si>
  <si>
    <t>Function_AcuRev1320_018_01_case20</t>
  </si>
  <si>
    <t>上位机和HMI设置DI1的“DI type”为Counter，“DI Pluse Const”为2，DI1输入2个脉冲信号，上位机和HMI上DI的DIcounter为1</t>
  </si>
  <si>
    <t>1、连接AcuRev1320电表到Acuview2上，链接状态为connected
2、上位机和HMI设置DI1的“DI type”为Counter，“DI Pluse Const”为2
3、DI1输入2 个脉冲信号（20V（dc），大于5ms开和大于5ms关）
4、上位机和HMI查看的DI1 counter计数（Reading—IO Module Reading页面）
注：这里的脉冲开关时间（周期）待定，按功能要求大于5ms即可</t>
  </si>
  <si>
    <t>Function_AcuRev1320_018_01_case21</t>
  </si>
  <si>
    <t>上位机和HMI设置DI2的“DI type”为Counter，“DI Pluse Const”为1，DI2输入1个脉冲信号，上位机和HMI上DI的DIcounter为1</t>
  </si>
  <si>
    <t>1、连接AcuRev1320电表到Acuview2上，链接状态为connected
2、上位机和HMI设置DI2的“DI type”为Counter，“DI Pluse Const”为1
3、DI2输入1个脉冲信号（20V（dc），大于5ms开和大于5ms关）
4、上位机和HMI查看的DI2 counter计数（Reading—IO Module Reading页面）
注：这里的脉冲开关时间（周期）待定，按功能要求大于5ms即可</t>
  </si>
  <si>
    <t>2、上位机和HMI设置DI2成功，显示“DI type”为Counter，“DI Pluse Const”为1，上位机和HMI工具界面无报错
4、上位机和HMI DI2 counter计数加1</t>
    <phoneticPr fontId="10" type="noConversion"/>
  </si>
  <si>
    <t>Function_AcuRev1320_018_01_case22</t>
  </si>
  <si>
    <t>上位机和HMI设置DI2的“DI type”为Counter，“DI Pluse Const”为1，DI2输入2个脉冲信号，上位机和HMI上DI的DIcounter为2</t>
  </si>
  <si>
    <t>2、上位机和HMI设置DI2成功，显示“DI type”为Counter，“DI Pluse Const”为1，上位机和HMI工具界面无报错
4、上位机和HMI DI2 counter计数加2</t>
    <phoneticPr fontId="10" type="noConversion"/>
  </si>
  <si>
    <t>Function_AcuRev1320_018_01_case23</t>
  </si>
  <si>
    <t>上位机和HMI设置DI2的“DI type”为Counter，“DI Pluse Const”为2，DI2输入2个脉冲信号，上位机和HMI上DI的DIcounter为1</t>
  </si>
  <si>
    <t>1、连接AcuRev1320电表到Acuview2上，链接状态为connected
2、上位机和HMI设置DI2的“DI type”为Counter，“DI Pluse Const”为 0.1
3、DI2输入2个脉冲信号（20V（dc），大于5ms开和大于5ms关）
4、上位机和HMI查看的DI2 counter计数（Reading—IO Module Reading页面）
注：这里的脉冲开关时间（周期）待定，按功能要求大于5ms即可</t>
  </si>
  <si>
    <t>2、上位机和HMI设置DI2成功，显示“DI type”为Counter，“DI Pluse Const”为0.1，上位机和HMI工具界面无报错
4、上位机和HMI DI2 counter计数加 0.2</t>
    <phoneticPr fontId="10" type="noConversion"/>
  </si>
  <si>
    <t>Function_AcuRev1320_018_01_case24</t>
  </si>
  <si>
    <t>上位机和HMI设置DI3的“DI type”为Counter，“DI Pluse Const”为1，DI3输入1个脉冲信号，上位机和HMI上DI的DIcounter为1</t>
    <phoneticPr fontId="10" type="noConversion"/>
  </si>
  <si>
    <t>2、上位机和HMI设置DI3成功，显示“DI type”为Counter，“DI Pluse Const”为1，上位机和HMI工具界面无报错
4、上位机和HMI DI3 counter计数加1</t>
  </si>
  <si>
    <t>Function_AcuRev1320_018_01_case25</t>
  </si>
  <si>
    <t>上位机和HMI设置DI的“DI type”为Counter，“DI Pluse Const”保留三位小数</t>
    <phoneticPr fontId="10" type="noConversion"/>
  </si>
  <si>
    <t>2、检查上位机DI的脉冲常数是否精确到3位小数。</t>
    <phoneticPr fontId="10" type="noConversion"/>
  </si>
  <si>
    <t>Function_AcuRev1320_018_01_case26</t>
  </si>
  <si>
    <t>上位机和HMI设置DI3的“DI type”为Counter，“DI Pluse Const”为1，DI3输入2个脉冲信号，上位机和HMI上DI的DIcounter为2</t>
  </si>
  <si>
    <t>1、连接AcuRev1320电表到Acuview2上，链接状态为connected
2、上位机和HMI设置DI3的“DI type”为Counter，“DI Pluse Const”为1
3、DI3输入2个脉冲信号（20V（dc），大于5ms开和大于5ms关）
4、上位机和HMI查看的DI3 counter计数（Reading—IO Module Reading页面）
注：这里的脉冲开关时间（周期）待定，按功能要求大于5ms即可</t>
  </si>
  <si>
    <t>2、上位机和HMI设置DI3成功，显示“DI type”为Counter，“DI Pluse Const”为1，上位机和HMI工具界面无报错
4、上位机和HMI DI3 counter计数加2</t>
  </si>
  <si>
    <t>Function_AcuRev1320_018_01_case27</t>
  </si>
  <si>
    <t>上位机和HMI设置DI3的“DI type”为Counter，“DI Pluse Const”为2，DI3输入2个脉冲信号，上位机和HMI上DI的DIcounter为1</t>
  </si>
  <si>
    <t>2、上位机和HMI设置DI3成功，显示“DI type”为Counter，“DI Pluse Const”为100000，上位机和HMI工具界面无报错
4、上位机和HMI DI3 counter计数加 100000</t>
  </si>
  <si>
    <t>Function_AcuRev1320_018_01_case28</t>
  </si>
  <si>
    <t>上位机和HMI设置DI1、DI2、DI3的“DI type”为Counter，“DI Pluse Const”为1，DI1、DI2、DI3同时输入1个脉冲信号，上位机和HMI上DI1、DI2、DI3的DIcounter为1</t>
  </si>
  <si>
    <t>Function_AcuRev1320_018_01_case29</t>
  </si>
  <si>
    <t>上位机和HMI设置DI1、DI2、DI3的“DI type”为Counter，“DI Pluse Const”为1，DI1、DI2、DI3同时输入2个脉冲信号，上位机和HMI上DI的DIcounter为2，且DI状态正</t>
  </si>
  <si>
    <t>1、连接AcuRev1320电表到Acuview2上，链接状态为connected
2、上位机和HMI设置DI1、DI2、DI3的“DI type”为Counter，“DI Pluse Const”为1
3、DI1、DI2、DI3同时输入2个脉冲信号（20V（dc），5ms开和5ms关）
4、上位机和HMI查看的DI1、DI2、DI3 counter计数（Reading—IO Module Reading页面）
注：这里的脉冲开关时间（周期）待定，按功能要求大于5ms即可</t>
  </si>
  <si>
    <t>2、上位机和HMI设置DI1、DI2、DI3成功，显示“DI type”为Counter，“DI Pluse Const”为1，上位机和HMI工具界面无报错
4、上位机和HMI DI1、DI2、DI3 counter计数都加2</t>
  </si>
  <si>
    <t>Function_AcuRev1320_018_01_case30</t>
  </si>
  <si>
    <t>上位机和HMI设置DI1、DI2、DI3的“DI type”为Counter，“DI Pluse Const”为2，DI1、DI2、DI3同时输入2个脉冲信号，上位机和HMI上DI的DIcounter为1，且DI状态正确</t>
  </si>
  <si>
    <t>2、上位机和HMI设置DI1、DI2、DI3成功，显示“DI type”为Counter，“DI Pluse Const”为2，上位机和HMI工具界面无报错
4、上位机和HMI DI1、DI2、DI3 counter计数都加 4</t>
  </si>
  <si>
    <t>Function_AcuRev1320_018_01_case31</t>
  </si>
  <si>
    <t>“DI Pluse Const”设置范围为0.1-100000</t>
    <phoneticPr fontId="10" type="noConversion"/>
  </si>
  <si>
    <t>2、上位机和HMI设置“DI Pluse Const”为0.1成功，上位机和HMI工具界面无报错
3、上位机和HMI设置“DI Pluse Const”为10成功，上位机和HMI工具界面无报错
4、上位机和HMI设置“DI Pluse Const”为100000成功，上位机和HMI工具界面无报错
5、上位机和HMI设置“DI Pluse Const”为0.01失败
5、上位机和HMI设置“DI Pluse Const”为100000.1失败</t>
  </si>
  <si>
    <t>Function_AcuRev1320_018_01_case32</t>
  </si>
  <si>
    <t>非铅封状态，上位机和HMI上重置DI counter数据, 数据清除成功</t>
    <phoneticPr fontId="10" type="noConversion"/>
  </si>
  <si>
    <t>1、连接AcuRev1320电表到Acuview2上，链接状态为connected，电表非铅封状态
2、上位机和HMI上重置DI counter数据（Reading—IO Module Reading页面，点击Clear DI counter）</t>
  </si>
  <si>
    <t>Function_AcuRev1320_018_01_case33</t>
  </si>
  <si>
    <t>上下电，电表的DI counter数据不会丢失</t>
    <phoneticPr fontId="10" type="noConversion"/>
  </si>
  <si>
    <t>1、连接AcuRev1320电表到Acuview2上，链接状态为connected，电表非铅封状态
2、记录当前所有DI counter数据，上位机和HMIIO Module Reading页面查看DI counter值
3、电表上下电
4、查看所有DI counter数据是否丢失，上位机和HMI再次查看IO Module Reading页面DI counter值</t>
  </si>
  <si>
    <t>4、上下电，电表的DI counter数据一致，不会丢失。</t>
  </si>
  <si>
    <t>Function_AcuRev1320_018_01_case34</t>
  </si>
  <si>
    <t>DI状态扫描周期小于等于5ms</t>
  </si>
  <si>
    <t>1、上位机和HMI设置任选DI的“DI type”为Counter，“DI Pluse Const”为1
2、所选DI输入1个脉冲信号（20V（dc），5ms开和5ms关），上位机和HMI查看的DI counter计数
3、所选DI输入1个脉冲信号（20V（dc），50ms开和50ms关），上位机和HMI查看的DI counter计数</t>
  </si>
  <si>
    <t>2、所选DI 上位机和HMI DI counter计数加1
3、所选DI 上位机和HMI DI counter计数再加1</t>
  </si>
  <si>
    <t>Function_AcuRev1320_018_01_case35</t>
  </si>
  <si>
    <t>电表最多携带配置3个DI，modbus接口验证</t>
  </si>
  <si>
    <t>1、电表外观，只存在3个DI硬件接口
2、使用串口工具（Sscom），读取3个DI pulse count或Status寄存器成功</t>
  </si>
  <si>
    <t>Function_AcuRev1320_018_01_case36</t>
  </si>
  <si>
    <t>DI 导通状态电压验证，输入电压&gt;=15V DC电压，DI的状态OFF-&gt;ON</t>
    <phoneticPr fontId="10" type="noConversion"/>
  </si>
  <si>
    <t>1、Acuview2上位机
2、网线/RTU串口线
3、AcuRev1320电表
4、“DI type”为state</t>
  </si>
  <si>
    <t>1、连接AcuRev1320电表到Acuview2上，链接状态为connected
2、“DI type”为State monitor，电表DI1、DI2、DI3 输入电压改变：0V-&gt;15V（DC）
3、上位机和HMI查看SOE记录</t>
  </si>
  <si>
    <t>3、DI 状态变化，上位机和HMI会新增记录1条SOE log，DI1、DI2、DI3status 改变为：ON</t>
  </si>
  <si>
    <t>Function_AcuRev1320_018_01_case37</t>
  </si>
  <si>
    <t>DI 导通状态电压验证，输入电压&lt;=5V DC电压，DI的状态ON-&gt;OFF</t>
  </si>
  <si>
    <t>1、连接AcuRev1320电表到Acuview2上，链接状态为connected
2、“DI type”为state，电表DI1、DI2、DI3输入电压改变：15V-&gt;5V（DC）
3、上位机和HMI查看SOE记录</t>
  </si>
  <si>
    <t>3、DI 状态变化，上位机和HMI会新增记录1条SOE log，DI1、DI2、DI3 status 改变为：OFF
注：DC电源降压时存在抖动，可能产生3条SOE log，这里测试目的是5V时观察DI的状态是否发生改变，发生改变passed</t>
  </si>
  <si>
    <t>使用IOM单板做为模拟开关(50HZ),直流源下测试4100的DI Counter</t>
  </si>
  <si>
    <t>5、8、DI 1-3计数为700次</t>
    <phoneticPr fontId="10" type="noConversion"/>
  </si>
  <si>
    <t>Function_AcuRev1320_018_01_case40</t>
  </si>
  <si>
    <t>使用IOM单板做为模拟开关(50HZ),交流源下测试4100的DI Counter</t>
  </si>
  <si>
    <t xml:space="preserve">1、连接AcuRev1320电表到Acuview2上，链接状态为connected
2、上位机和HMI设置DI1、DI2、DI3的“DI type”为Counter，“DI Pluse Const”为1
3、 接入20V交流源将环境搭建好后，给IOM单板上电
4、 等待6s左右后，绿色灯开始闪烁
5、4100单板连接上位机，等绿色灯常亮后，观察DI 1-3计数是否为700次
6、 接入33V交流源将环境搭建好后，给IOM单板上电
7、 等待6s左右后，绿色灯开始闪烁
8、4100单板连接上位机，等绿色灯常亮后，观察DI 1-3计数是否为700次
</t>
    <phoneticPr fontId="10" type="noConversion"/>
  </si>
  <si>
    <t>数字输出(DO)验证</t>
  </si>
  <si>
    <t>Function_AcuRev1320_018_02_case1</t>
  </si>
  <si>
    <r>
      <rPr>
        <sz val="8"/>
        <color rgb="FF000000"/>
        <rFont val="微软雅黑"/>
        <family val="2"/>
        <charset val="134"/>
      </rPr>
      <t>上位机和HMI设置DO的“DO type”为Alarm，alarm栏配置告警门限值并勾选"To DO</t>
    </r>
    <r>
      <rPr>
        <sz val="8"/>
        <color rgb="FF0000CC"/>
        <rFont val="微软雅黑"/>
        <family val="2"/>
        <charset val="134"/>
      </rPr>
      <t>1</t>
    </r>
    <r>
      <rPr>
        <sz val="8"/>
        <color rgb="FF000000"/>
        <rFont val="微软雅黑"/>
        <family val="2"/>
        <charset val="134"/>
      </rPr>
      <t>"，告警触发时候DO</t>
    </r>
    <r>
      <rPr>
        <sz val="8"/>
        <color rgb="FF0000CC"/>
        <rFont val="微软雅黑"/>
        <family val="2"/>
        <charset val="134"/>
      </rPr>
      <t>1</t>
    </r>
    <r>
      <rPr>
        <sz val="8"/>
        <color rgb="FF000000"/>
        <rFont val="微软雅黑"/>
        <family val="2"/>
        <charset val="134"/>
      </rPr>
      <t>值为高电平(逻辑1)，告警消除时候DO</t>
    </r>
    <r>
      <rPr>
        <sz val="8"/>
        <color rgb="FF0000CC"/>
        <rFont val="微软雅黑"/>
        <family val="2"/>
        <charset val="134"/>
      </rPr>
      <t>1</t>
    </r>
    <r>
      <rPr>
        <sz val="8"/>
        <color rgb="FF000000"/>
        <rFont val="微软雅黑"/>
        <family val="2"/>
        <charset val="134"/>
      </rPr>
      <t>值为低电平(逻辑0)。</t>
    </r>
  </si>
  <si>
    <t>1、连接AcuRev1320电表到Acuview2上，链接状态为connected
2、上位机和HMI设置DO的“DO type”为Alarm（Setting—IO Module页面）
3、alarm栏配置告警门限值并勾选"To DO1"
4、当告警触发时，观测对应DO值是否高电平(逻辑1)
5、当告警消除时，观测对应DO值是否低电平(逻辑0)
注：alarm在告警模块覆盖，此处只考虑告警后触发DO状态</t>
  </si>
  <si>
    <t>2、上位机和HMI设置“DO type”为Alarm成功，界面无报错
4、当告警触发时，观测对应DO值是高电平(逻辑1)
      DO 外界信号可以测试到，电压24V(外接源为24V)
5、当告警消除时，观测对应DO值是低电平(逻辑0)
    DO 外界信号可以测试到，电压24V(外接源为0V)</t>
  </si>
  <si>
    <t>Function_AcuRev1320_018_02_case2</t>
  </si>
  <si>
    <t>上位机和HMI设置DO的“DO type”为Energy Pluse，“DO1  parameter：1（A项有功输入），,Pluse Width选择20ms，观察是否有20ms脉冲。</t>
  </si>
  <si>
    <t>2、上位机和HMI设置“DO type”为Energy Pluse成功，界面无报错
4、DO输出Pluse Width20ms，1S周期，脉冲常数精度满足首选0.2%</t>
  </si>
  <si>
    <t>Function_AcuRev1320_018_02_case3</t>
  </si>
  <si>
    <t>上位机和HMI设置DO的“DO type”为Energy Pluse，“DO1  parameter：1（A项有功输入）,Pluse Width选择2000ms，观察是否有2000ms脉冲。</t>
    <phoneticPr fontId="10" type="noConversion"/>
  </si>
  <si>
    <t>2、上位机和HMI设置“DO type”为Energy Pluse成功，界面无报错
4、DO输出Pluse Width2000ms，3S周期，脉冲常数精度满足首选0.2%</t>
    <phoneticPr fontId="10" type="noConversion"/>
  </si>
  <si>
    <t>Function_AcuRev1320_018_02_case4</t>
  </si>
  <si>
    <t>上位机和HMI设置DO的“DO type”为Energy Pluse，“DO1  parameter：1（A项有功输入）,Pluse Width选择3000ms，观察是否有3000ms脉冲。</t>
  </si>
  <si>
    <t>1、连接AcuRev1320电表到Acuview2上，链接状态为connected
2、上位机和HMI设置DO的“DO type”为Energy Pluse（Setting—IO Module页面）
3、上位机和HMI设置DO1  parameter：A项有功输入, Pluse Width选择3000ms
4、使用校表台测出脉冲常数精度，输入：200V，5A，夹角0°，脉冲常数配置600，示波器抓取波形
注：这里能量脉冲常数精度测量参考脉冲常数章节，后续更新具体方法</t>
  </si>
  <si>
    <t>2、上位机和HMI设置“DO type”为Energy Pluse成功，界面无报错
4、DO输出Pluse Width3000ms，6S周期，脉冲常数精度满足首选0.2%</t>
  </si>
  <si>
    <t>Function_AcuRev1320_018_02_case5</t>
  </si>
  <si>
    <t>上位机和HMI设置DO的“DO type”为Energy Pluse，“DO1  parameter：为A相有功电能,Pluse Width选择20ms，观察是否有20ms脉冲。</t>
  </si>
  <si>
    <t>1、Acuview2上位机
2、网线/RTU串口线
3、AcuRev1320电表
4、Pluse Width选择20ms，</t>
  </si>
  <si>
    <t>3、A相有功电能（Import、Export、Net、Total）DO电能量脉冲精度均满足0.2%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</si>
  <si>
    <t>Function_AcuRev1320_018_02_case6</t>
  </si>
  <si>
    <t>上位机和HMI设置DO的“DO type”为Energy Pluse，“DO1  parameter：为A相无功电能,Pluse Width选择20ms，观察是否有20ms脉冲。</t>
  </si>
  <si>
    <t>3、A相无功电能（Import、Export、Net、Total）DO电能量脉冲精度均满足0.2%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</si>
  <si>
    <t>Function_AcuRev1320_018_02_case7</t>
  </si>
  <si>
    <t>上位机和HMI设置DO的“DO type”为Energy Pluse，“DO1  parameter为A相视在电能,Pluse Width选择20ms，观察是否有20ms脉冲。</t>
  </si>
  <si>
    <t>3、A相视在DO电能电能量脉冲精度均满足0.2%
备注:脉冲测试方法待和硬件开发讨论
注：parameter selection:9(为A相视在电能)，周期(S)：0.036</t>
    <phoneticPr fontId="10" type="noConversion"/>
  </si>
  <si>
    <t>Function_AcuRev1320_018_02_case8</t>
  </si>
  <si>
    <t>上位机和HMI设置DO的“DO type”为Energy Pluse，“DO1  parameter：系统有功电能,Pluse Width选择20ms，观察是否有20ms脉冲。</t>
  </si>
  <si>
    <t>3、系统有功电能（Import、Export、Net、Total）DO电能量脉冲精度均满足0.2%
备注:脉冲测试方法待和硬件开发讨论</t>
  </si>
  <si>
    <t>Function_AcuRev1320_018_02_case9</t>
  </si>
  <si>
    <t>上位机和HMI设置DO的“DO type”为Energy Pluse，“DO1  parameter：系统无功电能,Pluse Width选择20ms，观察是否有20ms脉冲。</t>
  </si>
  <si>
    <t>1、连接AcuRev1320电表到Acuview2上，连接状态为connected
2、三相电压200V，电流5A,电压电流相角差30°，Energy pulse constant设置为10000，DO  parameter:为系统无功电能（Import、Export、Net、Total）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</si>
  <si>
    <t>3、系统无功电能（Import、Export、Net、Total）DO电能量脉冲精度均满足0.2%
备注:脉冲测试方法待和硬件开发讨论</t>
    <phoneticPr fontId="10" type="noConversion"/>
  </si>
  <si>
    <t>上位机和HMI设置DO的“DO type”为Energy Pluse，“DO1  parameter：系统视在电能,Pluse Width选择20ms，观察是否有20ms脉冲。</t>
  </si>
  <si>
    <t>3、系统视在电能（Import、Export、Net、Total）DO电能量脉冲精度均满足0.2%
备注:脉冲测试方法待和硬件开发讨论</t>
    <phoneticPr fontId="10" type="noConversion"/>
  </si>
  <si>
    <t xml:space="preserve">构造net能量为负值， 且负相增长，脉冲灯不会闪烁 </t>
    <phoneticPr fontId="10" type="noConversion"/>
  </si>
  <si>
    <t>3.DO无电能量脉冲</t>
    <phoneticPr fontId="10" type="noConversion"/>
  </si>
  <si>
    <t>1、Acuview2上位机
2、网线/RTU串口线
3、AcuRev1320电表
5、Pluse Width选择20ms，
6、Energy pulse constant设置为10000</t>
  </si>
  <si>
    <t>1、连接AcuRev1320电表到Acuview2上，连接状态为connected
2、三相电压200V，电流5A,电压电流相角差0°，Energy pulse constant设置为100000，
DO  parameter:2(A相有功电能Export)， 周期s: 0  
3、检查能量脉冲精度是否满足0.2%</t>
  </si>
  <si>
    <t>Function_AcuRev1320_018_02_case13</t>
  </si>
  <si>
    <t>1、连接AcuRev1320电表到Acuview2上，连接状态为connected
2、三相电压200V，电流5A,电压电流相角差0°，Energy pulse constant设置为100000，
DO  parameter:1(A相有功电能Import)，检查能量脉冲精度是否满足0.2%， 周期s: 0.036
3、改变电流方向为Negative Phase， 观察脉冲周期是否为0s</t>
  </si>
  <si>
    <t>2.DO有电能量脉冲 ，电能量脉冲精度均满足0.2%
3.DO无电能量脉冲</t>
    <phoneticPr fontId="10" type="noConversion"/>
  </si>
  <si>
    <t>Function_AcuRev1320_018_02_case14</t>
  </si>
  <si>
    <t>上位机和HMI设置DO1的“DO type”为Energy Pluse，、“Energy Pluse”中DO1 OutPut为None,、Pluse Width选择2000ms，观察是否有2000ms脉冲。</t>
  </si>
  <si>
    <t>1、连接AcuRev1320电表到Acuview2上，链接状态为connected
2、上位机和HMI设置DO的“DO type”为Energy Pluse（Setting—IO Module页面）
3、上位机和HMI, DO1  parameter：0，Pluse Width选择2000ms
4、使用校表台测出脉冲常数精度
注：这里能量脉冲常数精度测量参考脉冲常数章节，后续更新具体方法</t>
  </si>
  <si>
    <t>2、上位机和HMI设置“DO type”为Energy Pluse成功，界面无报错
4、DO输出关闭，脉冲常数精度满足0.2%， 周期s:0</t>
  </si>
  <si>
    <t>Function_AcuRev1320_018_02_case15</t>
  </si>
  <si>
    <t>上位机和HMI上Pluse Width 最大设置范围为20ms-3000ms</t>
    <phoneticPr fontId="10" type="noConversion"/>
  </si>
  <si>
    <t>1、连接AcuRev1320电表到Acuview2上，链接状态为connected
2、上位机和HMI设置Pluse Width 为20ms
3、上位机和HMI设置Pluse Width 为200ms
4、上位机和HMI设置Pluse Width 为3000ms
5、上位机和HMI设置Pluse Width 为19ms
6、上位机和HMI设置Pluse Width 为3001ms</t>
  </si>
  <si>
    <t>2、设置Pluse Width 为20ms，设置成功
3、设置Pluse Width 为200ms，设置成功
5、设置Pluse Width 为3000ms，设置成功
6、设置Pluse Width 为19ms，设置失败
7、设置Pluse Width 为3001ms，设置失败
备注:实际测试会出现0.3-0.5ms的误差， 开发和崔总对齐，有与光耦延迟导致。</t>
  </si>
  <si>
    <t>Function_AcuRev1320_018_02_case16</t>
  </si>
  <si>
    <t>电表寄存器Pluse Width 最大设置范围为20ms-3000ms</t>
  </si>
  <si>
    <t>1、通过串口工具（Sscom）设置
2、Pluse Width 为20ms，发送报文：01 10 11 01 00 01 02 00 14
3、Pluse Width 为200ms，发送报文：01 10 11 01 00 01 02 00 C8
4、Pluse Width 为3000ms，发送报文：01 10 11 01 00 01 02 0B B8
5、Pluse Width 为19ms，发送报文：01 10 11 01 00 01 02 00 13
6、Pluse Width 为3001ms，发送报文：01 10 11 01 00 01 02 0B B9
注：待更新后补充报文</t>
  </si>
  <si>
    <t xml:space="preserve">2、设置Pluse Width 为20ms，设置成功
3、设置Pluse Width 为200ms，设置成功
5、设置Pluse Width 为3000ms，设置成功
6、设置Pluse Width 为19ms，设置失败
7、设置Pluse Width 为3001ms，设置失败，报文为01 90 02 CD C1 </t>
  </si>
  <si>
    <t>Function_AcuRev1320_018_02_case17</t>
  </si>
  <si>
    <t>计时功能</t>
  </si>
  <si>
    <t>Function_AcuRev1320_019_01_case01</t>
  </si>
  <si>
    <t>AcuDC300配备实时时钟（RTC）正常</t>
  </si>
  <si>
    <t>1、连接AcuRev1320电表到Acuview2上，链接状态为connected
2、设置电表上“Use PC Time ”为PC时间
3、检查电表时间设置是否成功
4、掉电重启电表
5、检查电表时间是否和PC时间一致
6、设置电表上“Use Customer Time ”时间， 
    2024-11-04 00:00:00      ---周1
    2024-11-15 23:00:00      ---周5
    2024-11-16 23:59:00      ---周6
    2024-11-24 23:58:59      ---周日
    2024-02-29 23:58:00      ---闰年日期
7、检查设置是否成功
8、掉电重启电表
9、检查电表时间是否未丢失</t>
  </si>
  <si>
    <t>3、电表时间设置成功，AcuView工具界面无报错，电表显示时间为设置时间加上查看延迟的时间
5、电表时间保存且和PC时间同步
7、电表时间设置成功，AcuView工具界面无报错，电表显示时间为设置时间加上查看延迟的时间
9、电表时间未丢失，且电表计时功能正常</t>
  </si>
  <si>
    <t>Function_AcuRev1320_019_01_case02</t>
  </si>
  <si>
    <t>1、Acuview2上位机
2、网线/RTU串口线
3、AcuRev4101电表</t>
  </si>
  <si>
    <t>1、连接AcuRev1320电表到Acuview2上，链接状态为connected
2、设置电表上“Use PC Time ”为当前PC时间。
3、检查设置是否成功
4、等待两天,检查时间误差是否小于1s
5、等待四两天,检查时间误差是否小于2s</t>
  </si>
  <si>
    <t>3、时间设置成功，AcuView工具界面无报错，电表显示时间为设置时间加上查看延迟的时间
4、等待两天,检查时间误差小于1s
5、等待四两天,检查时间误差小于2s</t>
  </si>
  <si>
    <t>Function_AcuRev1320_019_01_case03</t>
  </si>
  <si>
    <t>断电时保留时间为1周</t>
  </si>
  <si>
    <t>1、Acuview2上位机
2、网线/RTU串口线
3、AcuRev4102电表</t>
  </si>
  <si>
    <t>1、连接AcuRev1320电表到Acuview2上，链接状态为connected
2、设置电表上“Use PC Time ”为当前PC时间。
3、检查设置是否成功
4、断开电表电源
5、等待7天
7、连接电表到Acuview2，检查电表时间是否和PC时间误差小于3s</t>
  </si>
  <si>
    <t>3、时间设置成功，AcuView工具界面无报错，电表显示时间为设置时间加上查看延迟的时间
7、电表时间显示和PC时间误差小于3s</t>
  </si>
  <si>
    <t>Function_AcuRev1320_019_01_case04</t>
  </si>
  <si>
    <t>设备开始运行以来的累计时间正常</t>
  </si>
  <si>
    <t>1、Acuview2上位机
2、网线/RTU串口线
3、AcuRev4103电表</t>
  </si>
  <si>
    <t>1、在上位机上是否可查询电表的运行时间T1
2、当前设备运行5min后，电表的运行时间是否为：T2=T+5min
3、设备掉电一段时间后后启动，上电立即查看电表的运行时间是否仍为T2</t>
  </si>
  <si>
    <t>1、上位机和HMI上可查询电表的运行时间T1
2、上位机和HMI上运行时间为T2
3、上位机和HMI上运行时间为T2(未发生变化)</t>
  </si>
  <si>
    <t>Function_AcuRev1320_019_01_case05</t>
  </si>
  <si>
    <t>铅封未封闭，通过上位机设置时间，年/月/日和时/分/秒，遍历所有时间，遍历所有日期(包括闰年)，遍历所有周</t>
    <phoneticPr fontId="10" type="noConversion"/>
  </si>
  <si>
    <t>1、Acuview2上位机
2、网线/RTU串口线
3、AcuRev4104电表
4、铅封未封闭</t>
    <phoneticPr fontId="10" type="noConversion"/>
  </si>
  <si>
    <t>1、连接AcuRev1320电表到Acuview2上，链接状态为connected
2、设置电表上“Use Customer Time ”时间， 
    2000-01-01 00:00:00      ---周6
    2099-12-31 23:59:00      ---周4
    2024-11-04 00:00:00      ---周1
    2024-11-05 00:00:00      ---周2
    2024-11-13 00:00:00      ---周3
    2024-11-15 23:00:00      ---周5
    2024-11-30 23:59:00      ---周6
    2024-11-24 23:58:59      ---周日
    2024-02-29 23:58:00      ---闰年日期
3、检查设置是否成功
3、掉电重启电表
4、检查电表的set目录电表时间是否未丢失，且电表计时功能正常</t>
  </si>
  <si>
    <t>3、电表时间设置成功，AcuView工具界面无报错，电表显示时间为设置时间加上查看延迟的时间
5、电表时间未丢失，且电表计时功能正常</t>
  </si>
  <si>
    <t>Function_AcuRev1320_019_01_case06</t>
  </si>
  <si>
    <t>铅封未封闭，通过上位机设置本地PC时间，年/月/日和时/分/秒，设置和显示正常</t>
  </si>
  <si>
    <t>1、Acuview2上位机
2、网线/RTU串口线
3、AcuRev4104电表
4、铅封未封闭</t>
  </si>
  <si>
    <t>1、连接AcuRev1320电表到Acuview2上，链接状态为connected
2、设置电表上“Use PC Time ”为PC时间，时间精度为1s
3、检查设置是否成功
4、掉电重启电表
5、检查电表时间是否和PC时间一致</t>
  </si>
  <si>
    <t>3、电表时间设置成功，AcuView工具界面无报错，电表显示时间为设置时间加上查看延迟的时间
5、电表时间保存且和PC时间同步</t>
  </si>
  <si>
    <t>Function_AcuRev1320_019_01_case07</t>
  </si>
  <si>
    <t>铅封未封闭，通过HMI 设置时间，年/月/日和时/分/秒，遍历所有时间，遍历所有日期(包括闰年)，遍历所有周</t>
  </si>
  <si>
    <t>1、MHI上设置电表时间， 
    2000-01-01 00:00:00      ---周6
    2099-12-31 23:59:00      ---周4
    2024-11-04 00:00:00      ---周1
    2024-11-05 00:00:00      ---周2
    2024-11-13 00:00:00      ---周3
    2024-11-15 23:00:00      ---周5
    2024-11-30 23:59:00      ---周6
    2024-11-24 23:58:59      ---周日
    2024-02-29 23:58:00      ---闰年日期
    2024-02-01 01:01:00      ---闰年日期
2、检查设置是否成功
3、掉电重启电表
4、检查电表的set目录电表时间是否未丢失，且电表计时功能正常</t>
  </si>
  <si>
    <t>3、电表时间设置成功，HMI界面无报错，电表显示时间为设置时间加上查看延迟的时间
4、电表时间未丢失，且电表计时功能正常</t>
  </si>
  <si>
    <t>Function_AcuRev1320_019_01_case08</t>
  </si>
  <si>
    <t>铅封封闭，通过上位机设置时间，年/月/日和时/分/秒，遍历所有时间，遍历所有日期(包括闰年)，遍历所有周</t>
    <phoneticPr fontId="10" type="noConversion"/>
  </si>
  <si>
    <t>1、Acuview2上位机
2、网线/RTU串口线
3、AcuRev4107电表
4、铅封封闭</t>
  </si>
  <si>
    <t>Function_AcuRev1320_019_01_case09</t>
  </si>
  <si>
    <t>铅封封闭，通过上位机设置本地PC时间，年/月/日和时/分/秒，设置和显示正常</t>
  </si>
  <si>
    <t>Function_AcuRev1320_019_01_case10</t>
  </si>
  <si>
    <t>铅封封闭，通过HMI 设置时间，年/月/日和时/分/秒，遍历所有时间，遍历所有日期(包括闰年)，遍历所有周</t>
  </si>
  <si>
    <t>1、MHI上设置电表时间， 
    2000-01-01 00:00:00      ---周6
    2099-12-31 23:59:00      ---周4
    2024-11-04 00:00:00      ---周1
    2024-11-05 00:00:00      ---周2
    2024-11-13 00:00:00      ---周3
    2024-11-15 23:00:00      ---周5
    2024-11-30 23:59:00      ---周6
    2024-11-24 23:58:59      ---周日
    2024-02-29 23:58:00      ---闰年日期
2、检查设置是否成功
3、掉电重启电表
4、检查电表的set目录电表时间是否未丢失，且电表计时功能正常</t>
  </si>
  <si>
    <t>Function_AcuRev1320_019_01_case11</t>
  </si>
  <si>
    <t>铅封关闭，设置时间同步周期为0</t>
  </si>
  <si>
    <t>1、Acuview2上位机
2、网线/RTU串口线
3、AcuRev4107电表
4、铅封关闭</t>
  </si>
  <si>
    <t>1、电表上电，连接正常
2、设置电表时间同步周期为0
3、利用sscom或者上位机给表同步时间，时间能正常同步
4、长时间不同步时间，查看HMI页面是否无时间未同步标志</t>
  </si>
  <si>
    <t>4、查看HMI页面无时间未同步标志</t>
  </si>
  <si>
    <t>Function_AcuRev1320_019_01_case12</t>
  </si>
  <si>
    <t>铅封关闭，设置时间同步周期为1h</t>
  </si>
  <si>
    <t>4、查看HMI页面无时间未同步标志
5、长时间不同步时间（超过1h），查看HMI页面有时间未同步标志</t>
  </si>
  <si>
    <t>Function_AcuRev1320_019_01_case13</t>
  </si>
  <si>
    <t>铅封关闭，设置时间同步周期为24h</t>
  </si>
  <si>
    <t>1、电表上电，连接正常
2、设置电表时间同步周期为24h
3、利用sscom或者上位机给表从开始设置同步周期后，每24小时同步一次时间，时间能正常同步
4、查看HMI页面是否无时间未同步标志
5、长时间不同步时间（超过24h），查看HMI页面是否有时间未同步标志</t>
  </si>
  <si>
    <t>4、查看HMI页面无时间未同步标志
5、长时间不同步时间（超过24h），查看HMI页面有时间未同步标志</t>
  </si>
  <si>
    <t>Function_AcuRev1320_019_01_case14</t>
  </si>
  <si>
    <t>铅封关闭，设置时间同步周期为168h</t>
  </si>
  <si>
    <t>1、电表上电，连接正常
2、设置电表时间同步周期为168h
3、利用sscom或者上位机给表从开始设置同步周期后，每7天小时同步一次时间，时间能正常同步
4、查看HMI页面是否无时间未同步标志
5、长时间不同步时间（超过168h），查看HMI页面是否有时间未同步标志</t>
  </si>
  <si>
    <t>4、查看HMI页面无时间未同步标志
5、长时间不同步时间（超过168h），查看HMI页面有时间未同步标志</t>
  </si>
  <si>
    <t>使用333mV的CT，设备有负载的累计时间；即电流输入 &gt; Ist (0.005A) 且电压 &gt; 10V</t>
  </si>
  <si>
    <t>1、Acuview2上位机
2、网线/RTU串口线
3、AcuRev4110电表</t>
  </si>
  <si>
    <t>1、在上位机和HMI上是否可查询电表的负载时间T1
2、电表接源，有负载时(电流=Ist (0.005A) 且电压 = 10V)，等待5mins，负载时间是否为：T2=T1+5min
2、电表接源，有负载时(电流=1A 且电压= 20V)，等待5mins，负载时间是否为：T3=T2+5min
4、电表接源，无负载时(电流=0.004A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</si>
  <si>
    <t>1、上位机和HMI上可查询电表的负载时间T1
2、上位机和HMI上负载时间为T2
3、上位机和HMI上负载时间为T3
3、上位机和HMI上负载时间为T3(未发生变化)
4、上位机和HMI上负载时间为T3(未发生变化)</t>
  </si>
  <si>
    <t>使用100mA的CT,设备有负载的累计时间；即电流输入 &gt; Ist (0.02A) 且电压 &gt; 10V</t>
  </si>
  <si>
    <t>1、在上位机和HMI上是否可查询电表的负载时间T1
2、电表接源，有负载时(电流=Ist (0.02A) 且电压 = 10V)，等待5mins，负载时间是否为：T2=T1+5min
2、电表接源，有负载时(电流=1A 且电压= 20V)，等待5mins，负载时间是否为：T3=T2+5min
3、电表接源，无负载时(电流=0.01A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</si>
  <si>
    <t>Function_AcuRev1320_019_01_case17</t>
  </si>
  <si>
    <t>设备开始运行以来的累计时间， HMI记录正常</t>
  </si>
  <si>
    <t>1、Acuview2上位机
2、网线/RTU串口线
3、AcuRev4111电表</t>
  </si>
  <si>
    <t>1、HMI上是否可查询电表的运行时间T1
2、当前设备运行5min后，电表的运行时间是否为：T2=T1+5min
3、设备掉电1min后启动，电表的运行时间是否仍为T2</t>
  </si>
  <si>
    <t>1、HMI上可查询电表的运行时间T1
2、HMI上运行时间为T2
3、HMI上运行时间为T2(未发生变化)</t>
  </si>
  <si>
    <t>Function_AcuRev1320_019_01_case18</t>
  </si>
  <si>
    <t>设备开始运行以来的累计时间， 上位机记录正常</t>
  </si>
  <si>
    <t>1、Acuview2上位机
2、网线/RTU串口线
3、AcuRev4112电表</t>
  </si>
  <si>
    <t>1、在上位机上是否可查询电表的运行时间T1
2、当前设备运行5min后，电表的运行时间是否为：T2=T+5min
3、设备掉电1min后启动，电表的运行时间是否仍为T2</t>
  </si>
  <si>
    <t>1、上位机上可查询电表的运行时间T1
2、上位机上运行时间为T2
3、上位机上运行时间为T2(未发生变化)</t>
  </si>
  <si>
    <t>Function_AcuRev1320_019_01_case19</t>
  </si>
  <si>
    <t>铅封封闭，上位机上用户可重置这些设备运行时间</t>
    <phoneticPr fontId="10" type="noConversion"/>
  </si>
  <si>
    <t>1、Acuview2上位机
2、网线/RTU串口线
3、AcuRev4113电表
4、铅封封闭</t>
  </si>
  <si>
    <t>1、铅封封闭，连接AcuRev1320电表到Acuview2上，链接状态为connected
2、上位机上重置设备运行时间</t>
  </si>
  <si>
    <t>2、电表的设备运行时间被清除。HMI和上位机更新显示运行时间0H</t>
  </si>
  <si>
    <t>Function_AcuRev1320_019_01_case20</t>
  </si>
  <si>
    <t>铅封封闭，上位机上用户可重置这些设备负载时间。</t>
  </si>
  <si>
    <t>1、铅封封闭，连接AcuRev1320电表到Acuview2上，链接状态为connected
2、上位机上重置设备负载时间</t>
  </si>
  <si>
    <t>2、电表的设备负载时间被清除。HMI和上位机更新显示负载时间0H</t>
  </si>
  <si>
    <t>Function_AcuRev1320_019_01_case21</t>
  </si>
  <si>
    <t>铅封未封闭，上位机上用户可重置这些设备运行时间</t>
  </si>
  <si>
    <t>1、Acuview2上位机
2、网线/RTU串口线
3、AcuRev4115电表
4、铅封未封闭</t>
  </si>
  <si>
    <t>1、铅封未封闭，连接AcuRev1320电表到Acuview2上，链接状态为connected
2、上位机上重置设备运行时间</t>
  </si>
  <si>
    <t>Function_AcuRev1320_019_01_case22</t>
  </si>
  <si>
    <t>铅封未封闭，上位机上用户可重置这些设备负载时间。</t>
  </si>
  <si>
    <t>1、铅封未封闭，连接AcuRev1320电表到Acuview2上，链接状态为connected
2、上位机上重置设备负载时间</t>
  </si>
  <si>
    <t>Function_AcuRev1320_019_01_case23</t>
  </si>
  <si>
    <t>铅封封闭，HMI上用户可重置设备运行时间</t>
  </si>
  <si>
    <t>1、Acuview2上位机
2、网线/RTU串口线
3、AcuRev4117电表</t>
  </si>
  <si>
    <t>1、铅封封闭，HMI上重置设备运行时间</t>
  </si>
  <si>
    <t>1、电表的设备运行时间被清除。HMI和上位机更新显示运行时间0H</t>
  </si>
  <si>
    <t>Function_AcuRev1320_019_01_case24</t>
  </si>
  <si>
    <t>铅封封闭，HMI上用户可重置设备负载时间。</t>
  </si>
  <si>
    <t>1、Acuview2上位机
2、网线/RTU串口线
3、AcuRev4118电表</t>
  </si>
  <si>
    <t>1、铅封封闭，HMI上重置设备负载时间</t>
  </si>
  <si>
    <t>1、电表的设备负载时间被清除。HMI和上位机更新显示负载时间0H</t>
  </si>
  <si>
    <t>Function_AcuRev1320_019_01_case25</t>
  </si>
  <si>
    <t>铅封未封闭，HMI上可重置设备运行时间。</t>
  </si>
  <si>
    <t>1、Acuview2上位机
2、网线/RTU串口线
3、AcuRev4119电表</t>
  </si>
  <si>
    <t>1、铅封未封闭，HMI上重置设备运行时间</t>
  </si>
  <si>
    <t>Function_AcuRev1320_019_01_case26</t>
  </si>
  <si>
    <t>铅封未封闭，HMI上可重置设备负载时间。</t>
  </si>
  <si>
    <t>1、Acuview2上位机
2、网线/RTU串口线
3、AcuRev4120电表</t>
  </si>
  <si>
    <t>1、铅封未封闭，HMI上重置设备负载时间</t>
  </si>
  <si>
    <t>Function_AcuRev1320_019_01_case27</t>
  </si>
  <si>
    <t>表计长时间掉电，表计时钟不能未非法值</t>
  </si>
  <si>
    <t>1.表计长时间掉电（超过七天）
2.表计上电查看时钟</t>
  </si>
  <si>
    <t>2.时钟不能为非法值，应该取一个默认值</t>
  </si>
  <si>
    <t>数据重置及恢复出厂设置</t>
  </si>
  <si>
    <t>Function_AcuRev1320_020_01_case01</t>
  </si>
  <si>
    <t>上位机上通过TCP/RTU,断开输入源，重置能量 (clear energy),重置成功</t>
  </si>
  <si>
    <t>1、Acuview2上位机
2、网线/RTU串口线
3、AcuRev1320电表
4、铅封未封闭</t>
  </si>
  <si>
    <t>1、分别通过Tcp/Rtu连接AcuRev1320电表到Acuview2上，链接状态为connected
2、断开输入源，Acuview2上进行重置能量 (clear energy)操作
3、检查电表的能量是否被清0</t>
  </si>
  <si>
    <t>3、上位机和HMI上页面能量被清0</t>
  </si>
  <si>
    <t>Function_AcuRev1320_020_01_case02</t>
  </si>
  <si>
    <t>上位机上通过TCP/RTU,断开输入源，重置最大/最小 (clear max/min),重置成功</t>
  </si>
  <si>
    <t>1、分别通过Tcp/Rtu连接AcuRev1320电表到Acuview2上，链接状态为connected
2、断开输入源，Acuview2上进行重置最大/最小 (clear max/min)操作
3、检查电表的最大/最小 (clear max/min)是否被清0</t>
  </si>
  <si>
    <t>3、上位机页面最大/最小 (clear max/min)被清0</t>
  </si>
  <si>
    <t>Function_AcuRev1320_020_01_case03</t>
  </si>
  <si>
    <t>上位机上通过TCP/RTU,断开输入源，重置当前月TOU需量 (clear demand), 包括sharp、peak、Valley、Normal、Total,重置成功</t>
  </si>
  <si>
    <t>1、分别通过Tcp/Rtu连接AcuRev1320电表到Acuview2上，链接状态为connected
2、断开输入源，Acuview2上进行重置TOU能量 (Clear TOU Energy  )操作
3、检查电表的TOU能量 (Clear TOU Energy )，包括sharp、peak、Valley、Normal、Total,是否被清0</t>
  </si>
  <si>
    <t>3、上位机页面当前月TOU需量 (clear demand)，包括sharp、peak、Valley、Normal、Total,被清0</t>
  </si>
  <si>
    <t>Function_AcuRev1320_020_01_case04</t>
  </si>
  <si>
    <t>上位机上通过TCP/RTU,重置DI counter(clear DI Counter)成功</t>
  </si>
  <si>
    <t>1、分别通过Tcp/Rtu连接AcuRev1320电表到Acuview2上，链接状态为connected
2、Acuview2上进行重置DI counter(clear DI Counter)操作
3、检查电表的DI counter(clear DI Counter)是否被清0</t>
  </si>
  <si>
    <t>3、上位机页面相对应的重置DI counter(clear DI Counter)被清0</t>
  </si>
  <si>
    <t>Function_AcuRev1320_020_01_case05</t>
  </si>
  <si>
    <t>上位机上通过TCP/RTU,清除告警日志(clear alarm log),重置成功</t>
  </si>
  <si>
    <t>1、分别通过Tcp/Rtu连接AcuRev1320电表到Acuview2上，链接状态为connected
2、Acuview2上进行清除告警日志(clear alarm log)操作
3、检查电表的告警日志(clear alarm log)是否被清0</t>
  </si>
  <si>
    <t>3、上位机页面告警日志(clear alarm log)被清0</t>
  </si>
  <si>
    <t>Function_AcuRev1320_020_01_case06</t>
  </si>
  <si>
    <t>上位机上通过TCP/RTU,清除录波日志(clear log),重置成功</t>
  </si>
  <si>
    <t>1、分别通过Tcp/Rtu连接AcuRev1320电表到Acuview2上，链接状态为connected
2、Acuview2上进行清除录波日志(clear log)操作
3、检查电表的录波日志(clear log)是否被清0</t>
  </si>
  <si>
    <t>3、上位机页面录波日志(clear log)被清0</t>
  </si>
  <si>
    <t>Function_AcuRev1320_020_01_case07</t>
  </si>
  <si>
    <t>上位机上通过TCP/RTU,清除电能质量事件日志 (clear PQ eventlog),重置成功</t>
  </si>
  <si>
    <t>1、分别通过Tcp/Rtu连接AcuRev1320电表到Acuview2上，链接状态为connected
2、Acuview2上进行清除电能质量事件日志 (clear PQ eventlog)操作
3、检查电表的电能质量事件日志 (clear PQ eventlog)是否被清0</t>
  </si>
  <si>
    <t>3、上位机页面电能质量事件日志 (clear PQ eventlog)被清0</t>
  </si>
  <si>
    <t>Function_AcuRev1320_020_01_case08</t>
  </si>
  <si>
    <t>上位机上通过TCP/RTU,清除SOE日志 (clear SOE log),重置成功    -----需要澄清在哪里清除，其他交流表上位机上没有看到对应清除按钮</t>
  </si>
  <si>
    <t>1、分别通过Tcp/Rtu连接AcuRev1320电表到Acuview2上，链接状态为connected
2、Acuview2上进行清除SOE日志 (clear SOE log)操作
3、检查电表的SOE日志 (clear SOE log)是否被清0</t>
  </si>
  <si>
    <t>3、上位机页面SOE日志 (clear SOE log)被清0</t>
  </si>
  <si>
    <t>Function_AcuRev1320_020_01_case09</t>
  </si>
  <si>
    <t>HMI上,断开输入源清除能量 (clear energy),重置成功</t>
  </si>
  <si>
    <t>1、断开输入源，HMI上进行清除能量 (clear energy)操作
2、检查电表的能量 (clear energy)是否被清0</t>
  </si>
  <si>
    <t>Function_AcuRev1320_020_01_case10</t>
  </si>
  <si>
    <t>HMI上,断开输入源清除最大/最小值 (clear max/min)，清除成功。</t>
  </si>
  <si>
    <t>1、断开输入源，HMI上进行清除最大/最小值操作
2、检查电表的最大/最小值是否被清0</t>
  </si>
  <si>
    <t>3、上位机页面最大/最小值被清0</t>
  </si>
  <si>
    <t>Function_AcuRev1320_020_01_case11</t>
  </si>
  <si>
    <t>HMI上清除数据日志1/2/3/4，清除成功。</t>
  </si>
  <si>
    <t>1、HMI上进行清除数据日志1
2、检查电表的数据日志1是否被清0
3、HMI上进行清除数据日志2
4、检查电表的数据日志2是否被清0
5、HMI上进行清除数据日志3
6、检查电表的数据日志3是否被清0</t>
  </si>
  <si>
    <t>2、上位机页面数据日志1被清0
4、上位机页面数据日志2被清0
6、上位机页面数据日志3被清0</t>
  </si>
  <si>
    <t>Function_AcuRev1320_020_01_case12</t>
  </si>
  <si>
    <t xml:space="preserve">上位机上设置最大需量复位选项为：手动，点击（Clear Max Demand） ,最大需量数据清0，时间戳恢复默认值。 </t>
  </si>
  <si>
    <t>1、Acuview2上位机
2、网线/RTU串口线
3、AcuRev1320电表
4、铅封未封闭
5、已存在最大需量数据</t>
  </si>
  <si>
    <t>1、上位机上设置最大需量复位选项为：手动
2、上位机上清除最大需量，点击（Clear Max Demand）
3、上位机上查看最大需量数据</t>
  </si>
  <si>
    <t>1、上位机设置成功，无报错、闪退
3、上位机上查看最大需量数据全为0，时间戳恢复默认值00-00-00 00:00:00
注：时间戳恢复默认值地址表中暂未确定，后续更新</t>
  </si>
  <si>
    <t>Function_AcuRev1320_020_01_case13</t>
  </si>
  <si>
    <t>上位机上设置最大需量复位选项为：自动。配置自动复位的日期：如Day 3 00:00:00。每月的第三天00:00:00自动重置最大需量</t>
  </si>
  <si>
    <t>1、上位机上设置最大需量复位选项为：自动；配置自动复位的日期：如Day 3 00:00:00
2、上位机上设置电表时间为Day 2 23:59:00，等待一分钟
3、上位机上查看最大需量数据</t>
  </si>
  <si>
    <t>3、每月的第三天00:00:00自动重置最大需量成功。上位机上查看最大需量数据全为0，时间戳恢复默认值
注：时间戳恢复默认值地址表中暂未确定，后续更新</t>
  </si>
  <si>
    <t>Function_AcuRev1320_020_01_case14</t>
  </si>
  <si>
    <t>上位机上设置最大需量复位选项为：自动，手动重置（Clear Max Demand）失败</t>
  </si>
  <si>
    <t>1、上位机上设置最大需量复位选项为：自动；配置自动复位的日期：如Day 3 00:00:00
2、上位机上手动重置（点击Clear Max Demand）</t>
  </si>
  <si>
    <t>2、上位机上手动重置最大需量失败。（提示用户最大需量复位为自动模式或Clear Max Demand按键置灰）——这里以后续开发为准</t>
  </si>
  <si>
    <t>Function_AcuRev1320_020_01_case15</t>
  </si>
  <si>
    <t>上位机上设置最大需量复位选项为：禁用。重置最大需量失败</t>
  </si>
  <si>
    <t>1、上位机上设置最大需量复位选项为：禁用
2、上位机上清除最大需量，点击（Clear Max Demand）</t>
  </si>
  <si>
    <t>2、上位机上重置最大需量失败。（提示用户最大需量复位被禁用或Clear Max Demand按键置灰）——这里以后续开发为准</t>
  </si>
  <si>
    <t>Function_AcuRev1320_020_01_case16</t>
  </si>
  <si>
    <t>上位机上查看最大需量复位元数据记录正常。记录数：最大需量手动或自动复位的总次数；时间戳：最近一次最大需量复位的日期和时间</t>
  </si>
  <si>
    <t>1、上位机上查看最大需量复位元数据记录
2、上位机上设置最大需量复位为：手动，手动点击（Clear Max Demand）
3、上位机上查看最大需量复位元数据记录
4、上位机上设置最大需量复位为：自动，触发Clear Max Demand
5、上位机上查看最大需量复位元数据记录</t>
  </si>
  <si>
    <t>1、上位机显示复位元数据记录正常。
3、记录数：+1；时间戳：最近一次最大需量复位的日期
5、记录数：+1；时间戳：最近一次最大需量复位的日期
注：记录数：最大需量手动或自动复位的总次数；时间戳：最近一次最大需量复位的日期和时间</t>
  </si>
  <si>
    <t>Function_AcuRev1320_020_01_case17</t>
  </si>
  <si>
    <t>非封印状态，上位机上清除最大需量复位历史记录（Clear MaxDemand ClearCount and Timestamp）正常。</t>
  </si>
  <si>
    <t>1、非封印状态，上位机上清除最大需量复位历史记录（Clear MaxDemand ClearCount and Timestamp）
2、上位机上查看最大需量复位元数据记录</t>
  </si>
  <si>
    <t>2、上位机上清除最大需量复位历史记录成功，记录数：0；时间戳：00-00-00 00:00:00
注：时间戳恢复默认值地址表中暂未确定，后续更新</t>
  </si>
  <si>
    <t>Function_AcuRev1320_020_01_case18</t>
  </si>
  <si>
    <t>封印状态，上位机上清除最大需量复位历史记录（Clear MaxDemand ClearCount and Timestamp）失败。</t>
    <phoneticPr fontId="10" type="noConversion"/>
  </si>
  <si>
    <t>1、Acuview2上位机
2、网线/RTU串口线
3、AcuRev1320电表
4、铅封封闭</t>
  </si>
  <si>
    <t>1、封印状态，上位机上清除最大需量复位历史记录（Clear MaxDemand ClearCount and Timestamp）
2、上位机上查看最大需量复位元数据记录</t>
  </si>
  <si>
    <t>2、上位机上清除最大需量复位历史记录失败。（上位机提示设备封印，不可清除最大需量复位历史记录）——这里以后续开发为准</t>
  </si>
  <si>
    <t>Function_AcuRev1320_020_01_case19</t>
  </si>
  <si>
    <t xml:space="preserve">HMI上设置最大需量复位选项为：手动。点击（Clear Max Demand） ,需量数据清0，时间戳恢复默认值。 </t>
  </si>
  <si>
    <t xml:space="preserve">1、HMI上设置最大需量复位选项为：手动
2、HMI上清除最大需量（Clear Max Demand）
3、HMI上查看最大需量数据 </t>
  </si>
  <si>
    <t>1、HMI设置成功，无报错、闪退
3、上位机上查看最大需量数据全为0，时间戳恢复默认值00-00-00 00:00:00
注：时间戳恢复默认值地址表中暂未确定，后续更新时间戳为2024-01-01 00:00</t>
  </si>
  <si>
    <t>Function_AcuRev1320_020_01_case20</t>
  </si>
  <si>
    <t>HMI上设置最大需量复位选项为：自动。配置自动复位的日期：如Day 3 00:00:00。每月的第三天00:00:00自动重置最大需量</t>
  </si>
  <si>
    <t>1、HMI上设置最大需量复位选项为：自动；配置自动复位的日期：如Day 3 00:00:00
2、HMI上设置电表时间为Day 2 23:59:00，等待一分钟
3、HMI上查看最大需量数据03</t>
  </si>
  <si>
    <t>Function_AcuRev1320_020_01_case21</t>
  </si>
  <si>
    <t>HMI上设置最大需量复位选项为：自动，手动重置（Clear Max Demand）失败</t>
  </si>
  <si>
    <t>1、HMI上设置最大需量复位选项为：自动；配置自动复位的日期：如Day 3 00:00:00
2、HMI上手动重置（Clear Max Demand）</t>
  </si>
  <si>
    <t>2、HMI上手动重置最大需量失败。——这里失败现象（置锁或提示）以后续开发为准</t>
  </si>
  <si>
    <t>Function_AcuRev1320_020_01_case22</t>
  </si>
  <si>
    <t>HMI上设置最大需量复位选项为：禁用。重置最大需量失败</t>
  </si>
  <si>
    <t>1、HMI上设置最大需量复位选项为：禁用
2、HMI上清除最大需量（Clear Max Demand）</t>
  </si>
  <si>
    <t>2、HMI上重置最大需量失败。——这里失败现象（置锁或提示）以后续开发为准</t>
  </si>
  <si>
    <t>Function_AcuRev1320_020_01_case23</t>
  </si>
  <si>
    <t>HMI上查看最大需量复位元数据记录正常。记录数：最大需量手动或自动复位的总次数；时间戳：最近一次最大需量复位的日期和时间</t>
  </si>
  <si>
    <t>1、HMI上查看最大需量复位元数据记录
2、HMI上设置最大需量复位为：手动，手动点击（Clear Max Demand）
3、HMI上查看最大需量复位元数据记录
4、HMI上设置最大需量复位为：自动，触发Clear Max Demand
5、HMI上查看最大需量复位元数据记录</t>
  </si>
  <si>
    <t>1、HMI显示复位元数据记录正常。
3、记录数：+1；时间戳：最近一次最大需量复位的日期
5、记录数：+1；时间戳：最近一次最大需量复位的日期
注：记录数：最大需量手动或自动复位的总次数；时间戳：最近一次最大需量复位的日期和时间</t>
  </si>
  <si>
    <t>Function_AcuRev1320_020_01_case24</t>
  </si>
  <si>
    <t>非封印状态，HMI上清除最大需量复位历史记录（Clear MaxDemand ClearCount and Timestamp）正常。</t>
  </si>
  <si>
    <t>1、非封印状态，HMI上清除最大需量复位历史记录（Clear MaxDemand ClearCount and Timestamp）
2、HMI上查看最大需量复位元数据记录</t>
  </si>
  <si>
    <t>2、HMI上清除最大需量复位历史记录成功，记录数：0；时间戳：2024-01-01 00:00:00
注：时间戳恢复默认值地址表中暂未确定，后续更新，新需求时间戳变为NA</t>
  </si>
  <si>
    <t>Function_AcuRev1320_020_01_case25</t>
  </si>
  <si>
    <t>上位机Timestamp of the most recent MaxDemand Clear不可配置</t>
  </si>
  <si>
    <t xml:space="preserve">
1、上位机上配置Timestamp of the most recent MaxDemand Clear</t>
  </si>
  <si>
    <t>1、Timestamp of the most recent MaxDemand Clear只读，不可配置。</t>
  </si>
  <si>
    <t>Function_AcuRev1320_020_01_case26</t>
  </si>
  <si>
    <t>封印状态，HMI上清除最大需量复位历史记录（Clear MaxDemand ClearCount and Timestamp）失败。</t>
    <phoneticPr fontId="10" type="noConversion"/>
  </si>
  <si>
    <t>1、封印状态，HMI上清除最大需量复位历史记录（Clear MaxDemand ClearCount and Timestamp）
2、HMI上查看最大需量复位元数据记录</t>
  </si>
  <si>
    <t>2、HMI上清除最大需量复位历史记录失败。——这里失败现象（置锁或提示）以后续开发为准</t>
  </si>
  <si>
    <t>Function_AcuRev1320_020_01_case27</t>
  </si>
  <si>
    <t>上位机MaxDemand Clear Total Count不可配置</t>
  </si>
  <si>
    <t xml:space="preserve">
1、上位机配置MaxDemand Clear Total Count</t>
  </si>
  <si>
    <t>1、MaxDemand Clear Total Count只读，不可配置</t>
  </si>
  <si>
    <t>Function_AcuRev1320_020_01_case28</t>
  </si>
  <si>
    <t xml:space="preserve">上位机上通过Tcp/Rtu，"Reading"-&gt;"system status"-&gt;"Reboot Meter"可reboot电表，重启后电表功能正常。  </t>
  </si>
  <si>
    <t>1、分别通过Tcp/Rtu连接AcuRev1320电表到Acuview2上，链接状态为connected
2、Acuview2上进行重启电表操作（"Reading"-&gt;"system status"-&gt;"Reboot Meter"）
3、检查电表是否重启，重启后电表功能是否正常</t>
  </si>
  <si>
    <t>3、电表重启成功。重连上位机观测到电表功能正常，电气参数测量正常（满足精度要求）</t>
  </si>
  <si>
    <t>上位机上通过Tcp/Rtu，恢复出厂设置并重启 (factory reset and reboot). 清除内容如下:  恢复基本设置参数、初始RTC时钟设置、清除用户设置参数、清除data log配置参数、清除data log数据</t>
  </si>
  <si>
    <t>3、电表恢复出厂成功，参数恢复为默认值。重连上位机观测到电表功能正常，电气参数测量正常（满足精度要求）</t>
  </si>
  <si>
    <t>上位机上通过Tcp/Rtu，“Setting”-&gt;“TOU Setting”-&gt;"TOU"-&gt;"Reset To Default" 恢复TOU的设置为默认值</t>
  </si>
  <si>
    <t>1、分别通过Tcp/Rtu连接AcuRev1320电表到Acuview2上，链接状态为connected
2、Acuview2上进行恢复TOU操作（“Setting”-&gt;“TOU Setting”-&gt;"TOU"-&gt;"Reset To Default"）
3、检查电表是否恢复TOU的设置为默认值
注：具体参数待更新</t>
  </si>
  <si>
    <t>3、电表恢复TOU的设置为默认值
注：具体参数待更新</t>
  </si>
  <si>
    <t>Function_AcuRev1320_020_01_case31</t>
  </si>
  <si>
    <t>HMI上恢复出厂设置，对应的参数均恢复默认值。</t>
  </si>
  <si>
    <t>1、分别通过Tcp/Rtu连接AcuRev1320电表到Acuview2上，链接状态为connected
2、Acuview2上进行恢复出厂设置并重启 (factory reset and reboot)操作
3、检查电表是否恢复出厂设置并重启 (factory reset and reboot)，重启后电表功能是否正常
【出厂设置】基本配置信息
Password:9999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1（60）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</si>
  <si>
    <t>2、电表恢复出厂成功，参数恢复为默认值。重连上位机观测到电表功能正常，电气参数测量正常（满足精度要求）</t>
  </si>
  <si>
    <t>空载CT值切换时，real time各个值均为0</t>
  </si>
  <si>
    <t xml:space="preserve">
1.表计空载、恢复出厂设置
2.将毫伏型电表CT值从1000改为5
3.观察表计real time各个值
4.观察max/min中各个值
5.将毫安型电表CT值从1000改为20
6.观察表计real time各个值
7.观察max/min中各个值
</t>
  </si>
  <si>
    <t>1.表计恢复出厂设置后，ct变比值默认为1000
3.表计空载时real time中各个值均为0
4.表计空载时max/min中各个值均为0
6.表计空载时real time中各个值均为0
7.表计空载时max/min中各个值均为0</t>
  </si>
  <si>
    <t>网络模块</t>
  </si>
  <si>
    <t>Function_AcuRev1320_021_01_case1</t>
  </si>
  <si>
    <t>上位机上通过Tcp/Rtu/USB，配置静态IP，及DNS，GW，NetMask，参数配置成功</t>
  </si>
  <si>
    <t>1、Acuview2上位机
2、网线/RTU串口线
3、AcuRev1320电表
4、modbus RTU ON
5、modbus TCP ON</t>
  </si>
  <si>
    <t>1、分别通过Tcp/Rtu/USB连接AcuRev1320电表到Acuview2上，链接状态为connected
设置网络参数（如下参数可参考）：
DHCP enable:0 （0: manual1: DHCP）
IP address:192.168.1.160
Subnet mask:255.255.255.0
Gateway:192.168.1.2
DNS primary server:7.7.8.8
DNS secondary server: 7.7.4.4
port：503
3、检查电表的网络配置是否为：IP2地址，Gateway2，DNS 3，DNS 4 ,port2
4、本地PC机设置和IP2同网段的地址IP22:192.168.1.100
5、cmd窗口下ping IP2， 检查是佛可以ping 通 
6、掉电重启电表
7、检查电表IP配置是否丢失
8、cmd窗口下ping IP2， 检查是否可以ping 通</t>
  </si>
  <si>
    <t>1、参数配置成功，HMI上页面更新显示：
DHCP enable:0 （0: manual1: DHCP）
IP address:192.168.1.160
Subnet mask:255.255.255.0
Gateway:192.168.2.1
DNS primary server:7.7.8.8
DNS secondary server: 7.7.4.4
port：503
5、cmd窗口下ping IP2， 检查可以ping 通
8、cmd窗口下ping IP2， 检查可以ping 通</t>
  </si>
  <si>
    <t>Function_AcuRev1320_021_01_case2</t>
  </si>
  <si>
    <t>上位机上通过Tcp/Rtu/USB，配置静态IP，上位机需更新连接参数自动重连。</t>
  </si>
  <si>
    <t>1、分别通过Tcp/Rtu/USB连接AcuRev1320电表到Acuview2上，链接状态为connected
设置网络参数（如下参数可参考）：
DHCP enable:0 （0: manual1: DHCP）
IP address:192.168.1.161
2、Tcp连接时，查看上位机是否重连
3、Tcp重连后，上位机右下角显示的IP地址是否自动更新（继承于DC300问题单）</t>
  </si>
  <si>
    <t>1、参数配置成功，上位机和HMI上页面更新显示：
DHCP enable:0 （0: manual1: DHCP）
IP address:192.168.1.161
2、Tcp连接时，参数设置成功。上位机提示用户需要重连，选择重连后上位机更新连接参数自动重连
3、Tcp重连后，上位机右下角显示的IP地址会自动更新（192.168.1.161）</t>
  </si>
  <si>
    <t>Function_AcuRev1320_021_01_case3</t>
  </si>
  <si>
    <t>上位机上通过Tcp/Rtu/USB，配置动态DHCP获取IP、GW、NetMask，参数配置成功，电表获取动态IP、GW、NetMask成功</t>
  </si>
  <si>
    <t>1、Acuview2上位机
2、AcuRev1320电表
3、网线插路由器/RTU串口线
4、modbus RTU ON
5、modbus TCP ON</t>
  </si>
  <si>
    <t>1、分别通过Tcp/Rtu/USB连接AcuRev1320电表到Acuview2上，链接状态为connected
设置网络参数：
DHCP enable:1 （0: manual1: DHCP）
01 6A F0 56 00 06 0C 33 30 37 41 35 36 31 30 30 30 30 46</t>
  </si>
  <si>
    <t>1、参数配置成功，动态DHCP获取IP、GW、NetMask成功。HMI上页面更新自动获取的网络参数。</t>
  </si>
  <si>
    <t>Function_AcuRev1320_021_01_case4</t>
  </si>
  <si>
    <t>上位机上通过Tcp/Rtu，配置动态DHCP获取IP，上位机断开连接。</t>
  </si>
  <si>
    <t>1、通过Tcp连接AcuRev1320电表到Acuview2上，链接状态为connected
设置网络参数：
DHCP enable:1 （0: manual1: DHCP）
2、观察上位机是否断开连接
3、使用ip地址重新进行tcp连接</t>
  </si>
  <si>
    <t>2、上位机断开连接。提示用户IP地址更新，需重新连接
3、可以连接成功</t>
  </si>
  <si>
    <t>Function_AcuRev1320_021_01_case5</t>
  </si>
  <si>
    <t>上位机上通过Tcp/Rtu/USB，配置slaveID为1、2，上位机和HMI上显示正常</t>
  </si>
  <si>
    <t>1、分别通过Tcp/Rtu/USB连接AcuRev1320电表到Acuview2上，链接状态为connected
2、设置参数：slaveID:1 
3、设置参数：slaveID:2</t>
  </si>
  <si>
    <t>2、上位机更新连接参数slaveID:1 连接成功，
      上位机和HMI上页面更新显示：slaveID:1 
2、上位机更新连接参数slaveID:2 连接成功，
      上位机和HMI上页面更新显示：slaveID:2</t>
  </si>
  <si>
    <t>Function_AcuRev1320_021_01_case6</t>
  </si>
  <si>
    <t>上位机上通过Tcp/Rtu/USB，配置slaveID为5、247，上位机和HMI上显示正常</t>
  </si>
  <si>
    <t>1、分别通过Tcp/Rtu/USB连接AcuRev1320电表到Acuview2上，链接状态为connected
2、设置参数：slaveID:5
3、设置参数：slaveID:247</t>
  </si>
  <si>
    <t>2、上位机更新连接参数slaveID:5 连接成功，
      上位机和HMI上页面更新显示：slaveID:5
2、上位机更新连接参数slaveID:247 连接成功，
      上位机和HMI上页面更新显示：slaveID:247</t>
  </si>
  <si>
    <t>上位机上通过Tcp/Rtu/USB，配置slaveID为0、255失败</t>
  </si>
  <si>
    <t>2、配置失败。上位机无法输入slaveID:0 提示用户输入范围
3、配置失败。上位机无法输入slaveID:255 提示用户输入范围</t>
  </si>
  <si>
    <t>Function_AcuRev1320_021_01_case8</t>
  </si>
  <si>
    <t>上位机上通过Tcp/Rtu/USB，配置slaveID，上位机需更新连接参数自动重连</t>
  </si>
  <si>
    <t>1、分别通过Tcp/Rtu/USB连接AcuRev1320电表到Acuview2上，链接状态为connected
设置参数（如下参数可参考）：
slaveID:2</t>
  </si>
  <si>
    <t>1、参数设置成功。上位机提示用户需要重连，选择重连后上位机更新连接参数自动重连</t>
  </si>
  <si>
    <t>Function_AcuRev1320_021_01_case9</t>
  </si>
  <si>
    <t>上位机上通过Tcp/Rtu/USB, 配置modbus RTU OFF 成功,  RTU 通信断开，usb通信不会断开</t>
  </si>
  <si>
    <t>1、分别通过Tcp/Rtu/USB,连接AcuRev1320电表到Acuview2上，链接状态为connected
设置参数：
modbus RTU ：OFF
2、查看Rtu连接是否正常
3.查看USB连接是否正常</t>
  </si>
  <si>
    <t>1、参数设置成功。上位机和HMI上页面更新显示：modbus RTU ：OFF/Disable
2、RTU连接通信断开，无法再次通过Rtu连接电表
3.usb连接正常，usb无使能开关</t>
  </si>
  <si>
    <t>Function_AcuRev1320_021_01_case10</t>
  </si>
  <si>
    <t>上位机上通过Tcp/Rtu/USB, 配置modbus RTU ON 成功,  RTU 通信恢复</t>
  </si>
  <si>
    <t>1、Acuview2上位机
2、网线/RTU串口线
3、AcuRev1320电表
4、modbus RTU OFF
5、modbus TCP ON</t>
  </si>
  <si>
    <t xml:space="preserve">1、通过Tcp/USB连接AcuRev1320电表到Acuview2上，链接状态为connected
设置参数：
modbus RTU ：ON
2、通过RTU连接AcuRev1320电表到Acuview2
3.查看USB连接是否正常
</t>
  </si>
  <si>
    <t>1、参数设置成功。上位机和HMI上页面更新显示：modbus RTU ：ON/Enable
2、RTU连接成功
3.usb连接正常，usb无使能开关</t>
  </si>
  <si>
    <t>上位机上通过Tcp/Rtu/USB,配置modbus RTU ON成功，波特率设置为1200、(None1)，通信正常</t>
  </si>
  <si>
    <t xml:space="preserve">1、通过Tcp/USB连接AcuRev1320电表到Acuview2上，链接状态为connected
2、设置波特率设置为1200、奇校验(None1)
3、通过RTU连接AcuRev1320电表到Acuview2上，设置连接参数：波特率设置为1200、奇校验(None1)，是否连接成功。
</t>
  </si>
  <si>
    <t>2、参数设置成功。上位机和HMI上页面更新显示：特率设置为1200、奇校验(None1)
3、RTU连接成功</t>
  </si>
  <si>
    <t>Function_AcuRev1320_021_01_case12</t>
  </si>
  <si>
    <t>上位机上通过Tcp/Rtu/USB,配置modbus RTU ON成功，波特率设置为2400、4800 ，奇校验(ODD)，通信正常</t>
  </si>
  <si>
    <t>2、参数设置成功。上位机和HMI上页面更新显示：特率设置为2400、奇校验(ODD)
3、RTU连接成功
5、参数设置成功。上位机和HMI上页面更新显示：特率设置为4800、奇校验(ODD)
6、RTU连接成功</t>
  </si>
  <si>
    <t>Function_AcuRev1320_021_01_case13</t>
  </si>
  <si>
    <t>上位机上通过Tcp/Rtu/USB,配置modbus RTU ON成功，波特率设置为9600、19200，奇校验(ODD)，通信正常</t>
  </si>
  <si>
    <t>2、参数设置成功。上位机和HMI上页面更新显示：特率设置为9600、奇校验(ODD)
3、RTU连接成功
5、参数设置成功。上位机和HMI上页面更新显示：特率设置为19200、奇校验(ODD)
6、RTU连接成功</t>
  </si>
  <si>
    <t>Function_AcuRev1320_021_01_case14</t>
  </si>
  <si>
    <t>上位机上通过Tcp/Rtu/USB,配置modbus RTU ON成功，波特率设置为38400、57600，偶校验(EVEN)，通信正常</t>
  </si>
  <si>
    <t>2、参数设置成功。上位机和HMI上页面更新显示：特率设置为38400、奇校验(EVEN)
3、RTU连接成功
5、参数设置成功。上位机和HMI上页面更新显示：特率设置为57600、奇校验(EVEN）
6、RTU连接成功</t>
  </si>
  <si>
    <t>Function_AcuRev1320_021_01_case15</t>
  </si>
  <si>
    <t>上位机上通过Tcp/Rtu/USB,配置modbus RTU ON成功，波特率设置为76800、115200，偶校验(EVEN)，通信正常</t>
  </si>
  <si>
    <t>2、参数设置成功。上位机和HMI上页面更新显示：特率设置为76800、奇校验(EVEN)
3、RTU连接成功
5、参数设置成功。上位机和HMI上页面更新显示：特率设置为115200、奇校验(EVEN)
6、RTU连接成功</t>
  </si>
  <si>
    <t>Function_AcuRev1320_021_01_case16</t>
  </si>
  <si>
    <t>上位机上通过Tcp/Rtu/USB,配置modbus RTU ON成功，波特率设置为76800、115200，无校验(None1、None2)，通信正常</t>
  </si>
  <si>
    <t>2、参数设置成功。上位机和HMI上页面更新显示：特率设置为76800、无校验(None1)
3、RTU连接成功
5、参数设置成功。上位机和HMI上页面更新显示：特率设置为115200、无校验(None2)
6、RTU连接成功</t>
  </si>
  <si>
    <t>Function_AcuRev1320_021_01_case17</t>
  </si>
  <si>
    <t>上位机上通过Rtu,配置串口通信参数，上位机需更新连接参数自动重连</t>
  </si>
  <si>
    <t>1、通过RTU连接AcuRev1320电表到Acuview2上，链接状态为connected
2、设置串口参数（如下参数可参考）：
波特率设置为9600、奇校验(ODD)
3、观察上位机是否重连</t>
  </si>
  <si>
    <t>2、参数设置成功。HMI上页面更新显示：特率设置为9600、无校验(ODD)
3、上位机提示用户需要重连，选择重连后上位机更新连接参数自动重连</t>
  </si>
  <si>
    <t>Function_AcuRev1320_021_01_case18</t>
  </si>
  <si>
    <t>上位机上通过Tcp/Rtu/USB,配置modbus RTU ON成功，波特率设置为76800，奇校验(ODD)，串口工具使用偶校验(EVEN)， 链接失败或通信异常</t>
  </si>
  <si>
    <t>2、参数设置成功。上位机和HMI上页面更新显示：特率设置为76800、奇校验(ODD)
3、RTU连接失败
4.USB连接成功</t>
  </si>
  <si>
    <t>上位机上通过Tcp/Rtu/USB,配置modbus RTU ON成功，波特率设置为76800，偶校验(EVEN)，串口工具使用无校验(None2)， 链接失败或通信异常</t>
  </si>
  <si>
    <t>2、参数设置成功。上位机和HMI上页面更新显示：特率设置为76800、偶校验(EVEN)
3、RTU连接失败
4.USB连接成功</t>
  </si>
  <si>
    <t>Function_AcuRev1320_021_01_case20</t>
  </si>
  <si>
    <t>上位机上通过Tcp/Rtu/USB,配置modbus TCP OFF成功， TCP通信断开</t>
  </si>
  <si>
    <t>1、分别通过Tcp/Rtu/USB连接AcuRev1320电表到Acuview2上，链接状态为connected
设置参数：
modbus TCP ：OFF
2、查看TCP连接是否正常</t>
  </si>
  <si>
    <t>1、参数设置成功。上位机和HMI上页面更新显示：modbus TCP  ：OFF/Disable
2、TCP连接通信断开，无法再次通过TCP连接电表</t>
  </si>
  <si>
    <t>Function_AcuRev1320_021_01_case21</t>
  </si>
  <si>
    <t>上位机上通过Tcp/Rtu/USB,配置modbus TCP ON成功， TCP通信恢复</t>
  </si>
  <si>
    <t>1、Acuview2上位机
2、网线/RTU串口线
3、AcuRev1320电表
4、modbus RTU ON
5、modbus TCP OFF</t>
  </si>
  <si>
    <t>1、通过Rtu/USB连接AcuRev1320电表到Acuview2上，链接状态为connected
设置参数：
modbus TCP ：ON
2、通过TCP连接AcuRev1320电表到Acuview2上</t>
  </si>
  <si>
    <t>1、参数设置成功。上位机和HMI上页面更新显示：modbus TCP  ：ON/Enable
2、TCP连接成功</t>
  </si>
  <si>
    <t>Function_AcuRev1320_021_01_case22</t>
  </si>
  <si>
    <t>上位机利用TCP连接，插拔网线端口</t>
  </si>
  <si>
    <t>1.通过Tcp连接AcuRev1320电表到Acuview2上，链接状态为connected
2.断开网线，随后立即插上网线
3.上位机依次点击断开tcp及连接tcp按钮。
4.查看上位机页面状态</t>
  </si>
  <si>
    <t>3.上位机依次正常断开、连接tcp.
4.上位机页面正常</t>
  </si>
  <si>
    <t>Function_AcuRev1320_021_01_case23</t>
  </si>
  <si>
    <t>上位机上通过Tcp/Rtu/USB,配置modbus TCP ON 成功，配置Port为1、502，上位机和HMI上显示正常，通信正常。</t>
  </si>
  <si>
    <t>2、参数设置成功。上位机和HMI上页面更新显示：Port为1
3、TCP连接成功
5、参数设置成功。上位机和HMI上页面更新显示：Port为502
6、TCP连接成功</t>
  </si>
  <si>
    <t>Function_AcuRev1320_021_01_case24</t>
  </si>
  <si>
    <t>上位机上通过Tcp/Rtu/USB,配置modbus TCP ON 成功，配置Port为503、65534，上位机和HMI上显示正常，通信正常。</t>
  </si>
  <si>
    <t>2、参数设置成功。上位机和HMI上页面更新显示：Port为503
3、TCP连接成功
5、参数设置成功。上位机和HMI上页面更新显示：Port为65534
6、TCP连接成功</t>
  </si>
  <si>
    <t>Function_AcuRev1320_021_01_case25</t>
  </si>
  <si>
    <t>上位机上通过Tcp/Rtu/USB,配置modbus TCP ON 成功，配置Port为0、65535失败</t>
  </si>
  <si>
    <t>1、分别通过RTU/TCP连接AcuRev1320电表到Acuview2上，链接状态为connected
2、设置Port为0
5、设置Port为65535</t>
  </si>
  <si>
    <t>2、配置失败。上位机无法输入Port为0 提示用户输入范围
3、配置失败。上位机无法输入Port为65535 提示用户输入范围</t>
  </si>
  <si>
    <t>Function_AcuRev1320_021_01_case26</t>
  </si>
  <si>
    <t>上位机上通过Tcp/Rtu/USB,配置modbus TCP ON 成功，配置Port，上位机需更新连接参数自动重连。</t>
  </si>
  <si>
    <t>1、通过TCP连接AcuRev1320电表到Acuview2上，链接状态为connected
2、设置Port（如下参数可参考）：
Port：500
3、观察上位机是否重连</t>
  </si>
  <si>
    <t>2、参数设置成功。HMI上页面更新显示：Port：500
3、上位机提示用户需要重连，选择重连后上位机更新连接参数自动重连</t>
  </si>
  <si>
    <t>上位机上通过Tcp/Rtu/USB,恢复网络默认配置（network reset）</t>
    <phoneticPr fontId="10" type="noConversion"/>
  </si>
  <si>
    <t>2、电表恢复网络默认配置成功
DHCP enable:0
IP address:192.168.1.254
Subnet mask:255.255.255.0
Gateway:192.168.1.1
DNS primary server:8.8.8.8
DNS secondary server: 8.8.4.4
port：保持原值
3.重启电表后，通过上位机查看表计general中数据正常</t>
  </si>
  <si>
    <t>Function_AcuRev1320_021_01_case28</t>
  </si>
  <si>
    <t>HMI上关闭DHCP开关成功，配置静态IP, DNS，GW，NetMask成功，通信正常。</t>
  </si>
  <si>
    <t>1、HMI上关闭DHCP（manual），并配置网络参数
HMI上设置网络参数：
DHCP enable:0 （0: manual1: DHCP）
IP address:192.168.1.160
Subnet mask:255.255.255.0
Gateway:192.168.1.1
DNS primary server:8.8.8.8
DNS secondary server: 8.8.4.4
port：503
2、使用新配置网络参数，通过TCP方式连接上位机</t>
  </si>
  <si>
    <t>1、参数配置成功，HMI上页面更新显示：
DHCP enable:0 （0: manual1: DHCP）
IP address:192.168.1.160
Subnet mask:255.255.255.0
Gateway:192.168.1.1
DNS primary server:8.8.8.8
DNS secondary server: 8.8.4.4
port：503
2、TCP连接成功，通信正常</t>
  </si>
  <si>
    <t>Function_AcuRev1320_021_01_case29</t>
  </si>
  <si>
    <t>HMI上打开DHCP开关成功，获取动态IP, GW，NetMask成功，通信正常。</t>
  </si>
  <si>
    <t>1、HMI上打开DHCP（DHCP），查看是否获取动态IP, GW，NetMask成功
HMI上设置网络通信参数：
DHCP enable:1（0: manual1: DHCP）
2、使用自动获取的网络参数，通过TCP方式连接上位机</t>
  </si>
  <si>
    <t>1、参数配置成功，动态DHCP获取IP、GW、NetMask成功。HMI上页面更新显示当前网络参数。
2、通过Tcp方式使用更新后的IP地址连接上位机成功</t>
  </si>
  <si>
    <t>Function_AcuRev1320_021_01_case30</t>
  </si>
  <si>
    <t>HMI上配置Port为1、502，上位机和HMI上显示正常，通信正常。</t>
  </si>
  <si>
    <t>1、参数配置成功，HMI上页面更新显示：Port：1
2、TCP连接成功，通信正常
3、参数配置成功，HMI上页面更新显示：Port：502
4、TCP连接成功，通信正常</t>
  </si>
  <si>
    <t>Function_AcuRev1320_021_01_case31</t>
  </si>
  <si>
    <t>HMI上配置Port为503、65534，上位机和HMI上显示正常，通信正常。</t>
  </si>
  <si>
    <t>1、HMI上设置网络通信参数：Port为503
2、通过TCP连接AcuRev1320电表到Acuview2上，设置连接参数：Port为503，是否连接成功
3、HMI上设置网络参数：Port为65534
4、通过TCP连接AcuRev1320电表到Acuview2上，设置连接参数：Port为65534，是否连接成功</t>
  </si>
  <si>
    <t>1、参数配置成功，HMI上页面更新显示：Port：503
2、TCP连接成功，通信正常
3、参数配置成功，HMI上页面更新显示：Port：65534
4、TCP连接成功，通信正常</t>
  </si>
  <si>
    <t>Function_AcuRev1320_021_01_case32</t>
  </si>
  <si>
    <t>HMI上配置Port为0、65535失败</t>
  </si>
  <si>
    <t>1、HMI上设置网络通信参数：Port为0
2、HMI上设置网络通信参数：Port为65535</t>
  </si>
  <si>
    <t>1、参数配置失败，HMI上页面无法设置Port为0
2、参数配置失败，HMI上页面无法设置Port为65535</t>
  </si>
  <si>
    <t>Function_AcuRev1320_021_01_case33</t>
  </si>
  <si>
    <t>HMI上配置slaveID为1、2，上位机和HMI上显示正常</t>
  </si>
  <si>
    <t>1、HMI上设置网络通信参数：slaveID为1
2、分别通过TCP/RTU连接AcuRev1320电表到Acuview2上，设置连接参数：slaveID：1，是否连接成功
3、HMI上设置网络参数：slaveID为2
4、分别通过TCP/RTU/USB连接AcuRev1320电表到Acuview2上，设置连接参数：slaveID：2，是否连接成功</t>
  </si>
  <si>
    <t>1、参数配置成功，HMI上页面更新显示：slaveID：1
2、连接成功，通信正常
1、参数配置成功，HMI上页面更新显示：slaveID：2
2、连接成功，通信正常</t>
  </si>
  <si>
    <t>HMI上配置slaveID为5、247，上位机和HMI上显示正常</t>
  </si>
  <si>
    <t>1、HMI上设置网络通信参数：slaveID为5
2、分别通过TCP/RTU/USB连接AcuRev1320电表到Acuview2上，设置连接参数：slaveID：5，是否连接成功
3、HMI上设置网络通信参数：slaveID为247
4、分别通过TCP/RTU连接AcuRev1320电表到Acuview2上，设置连接参数：slaveID：247，是否连接成功</t>
  </si>
  <si>
    <t>1、参数配置成功，HMI上页面更新显示：slaveID：5
2、连接成功，通信正常
1、参数配置成功，HMI上页面更新显示：slaveID：247
2、连接成功，通信正常</t>
  </si>
  <si>
    <t>Function_AcuRev1320_021_01_case35</t>
  </si>
  <si>
    <t>HMI上配置slaveID为0、255失败</t>
  </si>
  <si>
    <t>1、HMI上设置网络通信参数：slaveID为0
2、HMI上设置网络通信参数：slaveID为255</t>
  </si>
  <si>
    <t>1、参数配置失败，HMI上页面无法设置slaveID为0
2、参数配置失败，HMI上页面无法设置slaveID为255</t>
  </si>
  <si>
    <t>HMI上配置modbus RTU OFF 成功,  参数设置成功</t>
  </si>
  <si>
    <t>1、参数配置成功，HMI上页面更新显示：modbus RTU ：Disable
2、RTU连接失败/USB连接成功
4、上位机连接成功（RTU/USB均能连接成功）</t>
  </si>
  <si>
    <t>Function_AcuRev1320_021_01_case37</t>
  </si>
  <si>
    <t>HMI上配置modbus RTU ON 成功, 参数设置成功</t>
  </si>
  <si>
    <t>1、HMI上设置网络通信参数：modbus RTU ：Enable
2、查看能否通过RTU连接AcuRev1320电表到Acuview2上</t>
  </si>
  <si>
    <t>1、参数配置成功，HMI上页面更新显示：modbus RTU ：Enable
2、RTU连接成功，通信正常</t>
  </si>
  <si>
    <t>HMI上配置modbus RTU ON成功，波特率设置为2400、4800 ，奇校验(ODD)，设置成功</t>
  </si>
  <si>
    <t>1、参数设置成功。HMI上页面更新显示：波特率为2400、奇校验(ODD)
2、RTU/USB连接成功，通信正常
3、参数设置成功。HMI上页面更新显示：波特率为4800、奇校验(ODD)
4、RTU/USB连接成功，通信正常</t>
  </si>
  <si>
    <t>Function_AcuRev1320_021_01_case40</t>
  </si>
  <si>
    <t>HMI上配置modbus RTU ON成功，波特率设置为9600、19200，奇校验(ODD)，设置成功</t>
  </si>
  <si>
    <t>1、HMI上设置网络通信参数：波特率设置为9600，奇校验(ODD)
2、通过RTU/USB连接AcuRev1320电表到Acuview2上，设置连接参数：波特率9600，奇校验(ODD)，是否连接成功
3、HMI上设置网络通信参数：波特率设置为19200，奇校验(ODD)
4、通过RTU/USB连接AcuRev1320电表到Acuview2上，设置连接参数：波特率19200，奇校验(ODD)，是否连接成功</t>
  </si>
  <si>
    <t>1、参数设置成功。HMI上页面更新显示：波特率为9600、奇校验(ODD)
2、RTU/USB方式连接上位机成功，通信正常（Real-Time Reading正常）
3、参数设置成功。HMI上页面更新显示：波特率为19200、奇校验(ODD)
4、RTU/USB方式连接上位机成功，通信正常（Real-Time Reading正常）</t>
  </si>
  <si>
    <t>Function_AcuRev1320_021_01_case41</t>
  </si>
  <si>
    <t>HMI上配置modbus RTU ON成功，波特率设置为38400、57600，偶校验(EVEN)，设置成功</t>
  </si>
  <si>
    <t>1、HMI上设置网络通信参数：波特率设置为38400，奇校验(EVEN)
2、通过RTU/USB连接AcuRev1320电表到Acuview2上，设置连接参数：波特率38400，奇校验(EVEN)，是否连接成功
3、HMI上设置网络通信参数：波特率设置为57600，奇校验(EVEN)
4、通过RTU/USB连接AcuRev1320电表到Acuview2上，设置连接参数：波特率57600，奇校验(EVEN)，是否连接成功</t>
  </si>
  <si>
    <t>1、参数设置成功。HMI上页面更新显示：波特率为38400、奇校验(EVEN)
2、RTU/USB连接成功，通信正常
3、参数设置成功。HMI上页面更新显示：波特率为57600、奇校验(EVEN)
4、RTU/USB连接成功，通信正常</t>
  </si>
  <si>
    <t>Function_AcuRev1320_021_01_case42</t>
  </si>
  <si>
    <t>HMI上配置modbus RTU ON成功，波特率设置为76800、115200，偶校验(EVEN)，设置成功</t>
  </si>
  <si>
    <t>1、HMI上设置网络通信参数：波特率设置为76800，奇校验(EVEN)
2、通过RTU/USB连接AcuRev1320电表到Acuview2上，设置连接参数：波特率76800，奇校验(EVEN)，是否连接成功
3、HMI上设置网络通信参数：波特率设置为115200，奇校验(EVEN)
4、通过RTU/USB连接AcuRev1320电表到Acuview2上，设置连接参数：波特率115200，奇校验(EVEN)，是否连接成功</t>
  </si>
  <si>
    <t>1、参数设置成功。HMI上页面更新显示：波特率为78600、奇校验(EVEN)
2、RTU/USB连接成功，通信正常
3、参数设置成功。HMI上页面更新显示：波特率为115200、奇校验(EVEN)
4、RTU/USB连接成功，通信正常</t>
  </si>
  <si>
    <t>Function_AcuRev1320_021_01_case43</t>
  </si>
  <si>
    <t>HMI上配置modbus RTU ON成功，波特率设置为76800、115200，无校验(None1、None2)，设置成功</t>
  </si>
  <si>
    <t>1、HMI上设置网络通信参数：波特率设置为76800，无校验(None1)
2、通过RTU/USB连接AcuRev1320电表到Acuview2上，设置连接参数：波特率76800，无校验(None1)，是否连接成功
3、HMI上设置网络通信参数：波特率设置为115200，无校验(None2)
4、通过RTU/USB连接AcuRev1320电表到Acuview2上，设置连接参数：波特率115200，无校验(None2)，是否连接成功</t>
  </si>
  <si>
    <t>1、参数设置成功。HMI上页面更新显示：波特率为78600、无校验(None1)
2、RTU/USB连接成功，通信正常
3、参数设置成功。HMI上页面更新显示：波特率为115200、无校验(None2)
4、RTU/USB连接成功，通信正常</t>
  </si>
  <si>
    <t>Function_AcuRev1320_021_01_case44</t>
  </si>
  <si>
    <t>HMI上配置modbus TCP OFF成功， 参数设置成功</t>
  </si>
  <si>
    <t>1、Acuview2上位机
2、网线/RTU串口线
3、AcuRev4139电表</t>
  </si>
  <si>
    <t>1、HMI上设置网络通信参数：modbus TCP：Disable
2、查看能否通过TCP连接AcuRev1320电表到Acuview2上</t>
  </si>
  <si>
    <t>1、参数配置成功，HMI上页面更新显示：modbus TCP：Disable
2、TCP连接失败</t>
  </si>
  <si>
    <t>Function_AcuRev1320_021_01_case45</t>
  </si>
  <si>
    <t>HMI上配置modbus TCP ON成功， 参数设置成功</t>
  </si>
  <si>
    <t>1、HMI上设置网络通信参数：modbus TCP ：Enable
2、查看能否通过TCP连接AcuRev1320电表到Acuview2上</t>
  </si>
  <si>
    <t>1、参数配置成功，HMI上页面更新显示：modbus TCP：Enable
2、TCP连接成功，通信正常</t>
  </si>
  <si>
    <t>Function_AcuRev1320_021_01_case46</t>
  </si>
  <si>
    <t>连接路由器，并在电表上设置DHCP开关为ON，更改IP地址无法保存</t>
  </si>
  <si>
    <t>2、参数配置成功，动态DHCP获取IP、GW、NetMask成功。HMI上页面更新显示当前网络参数。
3、无法更改IP地址</t>
  </si>
  <si>
    <t>Function_AcuRev1320_021_01_case47</t>
  </si>
  <si>
    <t>HMI上恢复网络默认配置（network reset）</t>
  </si>
  <si>
    <t>2、HMI上设置恢复网络默认配置（network reset）
DHCP enable:0
IP address:192.168.1.254
Subnet mask:255.255.255.0
Gateway:192.168.1.1
DNS primary server:8.8.8.8
DNS secondary server: 8.8.4.4
port：502</t>
  </si>
  <si>
    <t>2、电表恢复网络默认配置成功
DHCP enable:0
IP address:192.168.1.254
Subnet mask:255.255.255.0
Gateway:192.168.1.1
DNS primary server:8.8.8.8
DNS secondary server: 8.8.4.4
port：502</t>
  </si>
  <si>
    <t>Function_AcuRev1320_021_01_case48</t>
  </si>
  <si>
    <t>HMI上恢复网络默认配置（network reset），恢复前的ip地址不能进行连接</t>
  </si>
  <si>
    <t xml:space="preserve">1.表计原ip值为192.168.001.160，上位机/HMI上设置恢复网络默认配置（network reset）
2.查看利用原192.168.001.160是否依旧能连接成功
3.原192.168.001.160进行连接（每十几秒连接一次）
4.利用原192.168.001.160连接一次后不重复连
</t>
  </si>
  <si>
    <t xml:space="preserve">
表计在进行设置恢复网络默认配置（network reset）后，只能利用ip为192.168.001.254连接</t>
  </si>
  <si>
    <t>1、两个AcuRev1320已手动分配IP，使用网线通过Daisy Chain接线方式连接在一起，其中一个电表连接电脑PC1
2、PC1上打开两个Acuview2上位机客户端，分别通过TCP方式连接电表A和电表B</t>
  </si>
  <si>
    <t>2、PC1中两个Acuview2上位机都能连接AcuRev1320成功，通信正常</t>
  </si>
  <si>
    <t>Function_AcuRev1320_021_01_case50</t>
  </si>
  <si>
    <t>1、两个AcuRev1320通过Daisy Chain接线方式连接在一起，其中一个电表连接路由器，一个电表直连电脑
2、在HMI上打开两个AcuRev1320的DHCP，查看是否都能获取动态IP, GW，NetMask成功
3、PC1打开两个Acuview2上位机客户端，分别通过AcuRev1320电表自动获取的IP, GW，NetMask进行TCP连接电表A和电表B</t>
  </si>
  <si>
    <t>2、两个AcuRev1320电表都能获取动态IP, GW，NetMask成功
3、两个Acuview2上位机都能连接AcuRev1320成功，通信正常</t>
  </si>
  <si>
    <t>两个AcuRev1320通过Daisy Chain接线方式，链接上位机，配置静态IP地址功能正常</t>
  </si>
  <si>
    <t>Function_AcuRev1320_021_01_case52</t>
  </si>
  <si>
    <t>DHCP在auto模式下,上位机上修改DHCP为manual,并同时修改ip、网关、DNS、port,配置成功</t>
  </si>
  <si>
    <t>1、Acuview2上位机
2、网线/RTU串口线
3、AcuRev4101电表
4、DHCP打开auto</t>
  </si>
  <si>
    <t>3、Acuview2界面无报错，电表网络配置为：
IP1地址：192.168.1.252
Gateway2：192.168.1.2
DNS 3：9.9.9.9
DNS 4：8.8.9.9
port2：503</t>
  </si>
  <si>
    <t>DHCP在auto模式下,连续快速插拔网线20次（断开/连接电表和路由器），电表功能正常</t>
  </si>
  <si>
    <t>2、电表功能正常，无死机。</t>
  </si>
  <si>
    <t>Function_AcuRev1320_021_01_case54</t>
  </si>
  <si>
    <t>HMI上DHCP从manual切换至auto,auto切换至manual，循环20次，电表与上位机运行正常</t>
  </si>
  <si>
    <t>1、HMI上反复将DHCP从manual切换至auto,auto切换至manual（切manual时，手动更改IP：192.168.1.252），循环20次
2、观测电表是否运行正常</t>
  </si>
  <si>
    <t>2、电表运行正常，每次DHCP auto时，都能自动获取到IP ,无死机。</t>
  </si>
  <si>
    <t>Function_AcuRev1320_021_01_case55</t>
  </si>
  <si>
    <t>上位机上DHCP从manual切换至auto,auto切换至manual，循环20次，电表与上位机运行正常</t>
  </si>
  <si>
    <t>1、通过RTU连接AcuRev1320电表到Acuview2上，链接状态为connected
2、上位机上反复将DHCP从manual切换至auto,auto切换至manual（切manual时，同时更改IP：192.168.1.252），循环20次，观测电表和上位机是否运行正常</t>
  </si>
  <si>
    <t>2、电表运行正常，无死机；上位机工作正常，无闪退</t>
  </si>
  <si>
    <t>Function_AcuRev1320_021_01_case56</t>
  </si>
  <si>
    <t>上位机上通过Tcp/Rtu/USB，多次配置静态IP（循环5次），参数配置成功（继承于DC300问题单）</t>
  </si>
  <si>
    <t>1、分别通过Tcp/Rtu/USB连接AcuRev1320电表到Acuview2上，链接状态为connected
2、多次手动配置静态IP（循环5次）
3、查看上位机与电表状态</t>
  </si>
  <si>
    <t>3、电表IP每次都能配置成功，电表运行正常，无死机；上位机每次都能重新连接成功，无报错、闪退</t>
  </si>
  <si>
    <t>Function_AcuRev1320_021_02_case1</t>
  </si>
  <si>
    <t>同时接受最多4个TCP客户端，通信正常</t>
  </si>
  <si>
    <t>1、通过TCP方式把连接到AcuRev1320上，链接状态为connected
2、四个客户端分别做查看电压，修改参数，重置能量，配置时间四个操作。
3、检查四个客户端进行的不同操作否是全部成功
4、创建第5个TCP客户端，并配置时间
5、检查第五个客户端配置时间操作是否成功</t>
  </si>
  <si>
    <t>3、四个客户端进行的不同操作全部成功
5、第五个客户端配置时间操作失败</t>
  </si>
  <si>
    <t>Function_AcuRev1320_021_02_case2</t>
  </si>
  <si>
    <t>时接受4个TCP客户端、1个RTU、1个usb, 通信正常</t>
  </si>
  <si>
    <t>1、Acuview2上建立4个TCP客户端
2、查看电压，并观察客户端链接状态是否稳定
3、Acuview2上建立1个RTU客户端
4、Acuview2上建立1个USB
5、查看电压，并观察4个TCP客户端、1个RTU、1个usb客户端链接状态是否稳定
6、观察客户端链接状态5分钟，4个TCP客户端、1个RTU、1个usb客户端链接状态是否稳定
7、观察客户端链接状态30分钟，4个TCP客户端、1个RTU、1个usb客户端链接状态是否稳定</t>
  </si>
  <si>
    <t>2、查看电压，并观察客户端链接状态稳定
4、查看电压，并观察4个TCP客户端、1个RTU、1个usb客户端链接状态稳定
5、观察客户端链接状态5分钟，4个TCP客户端、1个RTU、1个usb客户端链接状态稳定
6、观察客户端链接状态30分钟，4个TCP客户端、1个RTU、1个usb客户端链接状态稳定</t>
  </si>
  <si>
    <t>Function_AcuRev1320_021_02_case3</t>
  </si>
  <si>
    <t>连接1个TCP客户, TCP链接5分钟超时范围内，TCP链接链接稳定。</t>
  </si>
  <si>
    <t>1、Acuview2上建立1个TCP客户端连接电表
2、查看5mins超时范围内，TCP连接是否稳定</t>
  </si>
  <si>
    <t>2、5mins超时范围内，TCP连接稳定，上位机读取、设置参数正常，无报错</t>
  </si>
  <si>
    <t>Function_AcuRev1320_021_02_case4</t>
  </si>
  <si>
    <t>连接4个TCP客户, TCP链接5分钟超时范围内，TCP链接链接稳定。</t>
  </si>
  <si>
    <t xml:space="preserve">1、Acuview2上建立4个TCP客户端连接电表
2、查看5mins超时范围内，TCP连接是否稳定
</t>
  </si>
  <si>
    <t xml:space="preserve">2、5mins超时范围内，TCP连接稳定，4个上位机客户端读取、设置参数正常，无报错
</t>
  </si>
  <si>
    <t>Function_AcuRev1320_021_02_case5</t>
  </si>
  <si>
    <t>同时连接4个TCP客户，端断开任一个，再次连接可立即链接成功。</t>
  </si>
  <si>
    <t>1、Acuview2上建立4个TCP客户端连接电表
2、断开任意一个客户端
3、建立第5个TCP客户端连接电表是否成功</t>
  </si>
  <si>
    <t>3、断开任一个，再次连接可立即连接成功。第5个TCP客户端读取、设置参数正常，无报错</t>
  </si>
  <si>
    <t>Function_AcuRev1320_021_02_case6</t>
  </si>
  <si>
    <t>同时连接2个TCP客户，端断开任一个，另一个连接状态不受影响。</t>
  </si>
  <si>
    <t>1、Acuview2上建立2个TCP客户端连接电表
2、断开任意一个客户端
3、查看另一个是否受影响</t>
  </si>
  <si>
    <t>3、断开任一个，另一个连接状态不受影响，读取、设置参数正常，无报错</t>
  </si>
  <si>
    <t>同时连接4个TCP客户，同时多次读取日志，读取日志正常， 上位机和电表均为出现闪退或死机现象。</t>
  </si>
  <si>
    <t>1、Acuview2上位机
2、网线/RTU串口线
3、AcuRev1320电表
4、modbus TCP ON
5、日志已配置</t>
  </si>
  <si>
    <t>1、Acuview2上建立4个TCP客户端连接电表
2、多个客户端同时读取日志是否成功
3、上位机循环读取最近50条、100条日志是否成功（循环读取15次）</t>
  </si>
  <si>
    <t>2、多个客户端同时读取日志成功，无报错、死机现象
3、每次都能读取日志成功，无报错、死机现象</t>
  </si>
  <si>
    <t>同时连接4个TCP客户，同时多次设置不同电表参数，设置正常， 上位机和电表均为出现闪退或死机现象。</t>
  </si>
  <si>
    <t>1、Acuview2上建立4个TCP客户端连接电表
2、多个客户端同时多次设置不同电表参数是否成功</t>
  </si>
  <si>
    <t>2、每次参数设置都能成功，无报错、死机现象</t>
  </si>
  <si>
    <t>Function_AcuRev1320_021_02_case9</t>
  </si>
  <si>
    <t>表计连接上位机时，双击连接按钮</t>
  </si>
  <si>
    <t>1.通过RTU/tcp连接AcuRev1320电表到Acuview2上，链接状态为connected
2.断掉RTU/tcp
3.再次连接表计连接上位机时，双击连接按钮，查看页面；
4.点击双击后，在列表头点击一下，查看页面</t>
  </si>
  <si>
    <t>3.页面连接正常
4.页面连接正常</t>
  </si>
  <si>
    <t>Function_AcuRev1320_021_02_case10</t>
  </si>
  <si>
    <t>同时连接4个TCP客户，pc端网线重新插拔后</t>
  </si>
  <si>
    <t>1、Acuview2上建立4个TCP客户端连接电表
2、pc端网线重新插拔
3.查看tcp客户端是否提示重连，重连后是否正常</t>
  </si>
  <si>
    <t>3.提示重连，重连后正常</t>
  </si>
  <si>
    <t>Function_AcuRev1320_021_03_case1</t>
  </si>
  <si>
    <t>连接1个RTU客户端, RTU链接5mins超时范围内，RTU链接链接稳定。</t>
  </si>
  <si>
    <t xml:space="preserve">1、Acuview2上建立1个RTU客户端连接电表
2、查看5mins超时范围内，RTU连接是否稳定
</t>
  </si>
  <si>
    <t xml:space="preserve">2、5mins超时范围内，RTU连接稳定，上位机读取、设置参数正常，无报错
</t>
  </si>
  <si>
    <t>Function_AcuRev1320_021_03_case2</t>
  </si>
  <si>
    <t>连接1个RTU客户端, 上位机利用RTU多次进行连接断开时,超过30次</t>
  </si>
  <si>
    <t>1、Acuview2上建立1个RTU客户端连接电表
2、上位机利用RTU多次进行连接断开时,超过30次
3.查看在多次断开连接过程中是否出现页面异常及连接不上的情况</t>
  </si>
  <si>
    <t xml:space="preserve">3.30次连接均正常
</t>
  </si>
  <si>
    <t>Function_AcuRev1320_021_03_case3</t>
  </si>
  <si>
    <t>连接1个RTU客户端，同时多次读取日志，读取日志正常， 上位机和电表均为出现闪退或死机现象</t>
    <phoneticPr fontId="10" type="noConversion"/>
  </si>
  <si>
    <t>1、Acuview2上建立1个RTU客户端连接电表
2、上位机循环读取最近50条、100条日志是否成功（循环读取15次）</t>
  </si>
  <si>
    <t>2、每次都能读取日志成功，无报错、死机现象</t>
  </si>
  <si>
    <t>Function_AcuRev1320_021_03_case4</t>
  </si>
  <si>
    <t>连接1个USB客户端, USB链接5mins超时范围内，RTU链接链接稳定。</t>
  </si>
  <si>
    <t xml:space="preserve">1、Acuview2上建立1个USB客户端连接电表
2、查看5mins超时范围内，USB连接是否稳定
</t>
  </si>
  <si>
    <t>Function_AcuRev1320_021_03_case5</t>
  </si>
  <si>
    <t>连接1个USB客户端, 上位机利用USB多次进行连接断开时,超过30次</t>
  </si>
  <si>
    <t>1、Acuview2上建立1个USB客户端连接电表
2、上位机利用USB多次进行连接断开时,超过30次
3.查看在多次断开连接过程中是否出现页面异常及连接不上的情况</t>
  </si>
  <si>
    <t>连接1个USB客户端，同时多次读取日志，读取日志正常， 上位机和电表均为出现闪退或死机现象</t>
  </si>
  <si>
    <t>1、Acuview2上建立1个USB客户端连接电表
2、上位机循环读取最近50条、100条日志是否成功（循环读取15次）</t>
  </si>
  <si>
    <t>设备打开dhcp，作为路由器的下行，此时拔掉网线后，HMI端修改ip地址，可以修改</t>
  </si>
  <si>
    <t>1、Acuview2上位机
2、网线连接路由器/RTU串口线
3、AcuRev1320电表</t>
  </si>
  <si>
    <t>1、HMI端打开dhcp开关，网线连接路由器，电表作为路由器的下行
2、查看电表是否被分配到ip地址
3、拔掉网线，在HMI端修改ip地址、子网掩码、网关地址、dns1、dns2
4、在上位机上修改IP地址、子网掩码、网关地址、dns1、dns2</t>
  </si>
  <si>
    <t>2、路由器给电表分配了ip地址
3、拔掉网线后，此时HMI端无法修改ip地址、子网掩码、网关地址、dns1、dns2
4、dhcp开关打开时，上位机上无法修改IP地址、子网掩码、网关地址、dns1、dns2</t>
  </si>
  <si>
    <t>设备打开dhcp，作为路由器的下行，此时拔掉电脑连接路由器端的网线</t>
  </si>
  <si>
    <t>1、HMI端打开dhcp开关，网线连接路由器，电表作为路由器的下行
2、查看电表是否被分配到ip地址
3、拔掉电脑连接路由器端的网线
4.查看表计是否运行是否正常
5.继续插回网线后，表计tcp连接是否能进行重连恢复</t>
  </si>
  <si>
    <t>2、路由器给电表分配了ip地址
4.表计运行正常
5.tcp重连恢复</t>
  </si>
  <si>
    <t>Function_AcuRev1320_021_04_case3</t>
  </si>
  <si>
    <t>打开四个TCP客户端，TCP连接均成功，pc端网线重新插拔后，TCP连接正常</t>
  </si>
  <si>
    <t>1、打开四个TCP客户端，TCP连接均成功，pc端网线重新插拔后
2、重新进行TCP连接上位机</t>
  </si>
  <si>
    <t>2、可以连接成功</t>
  </si>
  <si>
    <t>Function_AcuRev1320_021_04_case4</t>
  </si>
  <si>
    <t>HMI端关闭tcp开关，此时pc仍能ping通电表，使用tcp连接上位机失败，然后pc继续ping电表，pc始终能ping通电表</t>
  </si>
  <si>
    <t>1、HMI端关闭tcp开关
2、pc上进行ping电表的ip
3、使用tcp连接上位机
4、pc上继续ping电表的ip</t>
  </si>
  <si>
    <t>2、可以ping通
3、TCP无法连接
4、可以ping通</t>
  </si>
  <si>
    <t>Function_AcuRev1320_021_04_case5</t>
  </si>
  <si>
    <t>接上行，dhcp打开，连续插拔电表网线20次，HMI端修改tcp port为505，tcp连接上位机成功</t>
  </si>
  <si>
    <t>1、dhcp打开，连续插拔电表网线20次
2、HMI端修改tcp port为505
3、pc使用tcp连接上位机</t>
  </si>
  <si>
    <t>3、tcp可以连接到上位机</t>
  </si>
  <si>
    <t>Function_AcuRev1320_021_04_case6</t>
  </si>
  <si>
    <t>TCP连接上位机成功，停留在real-time metering界面，静止8分钟左右，上位机不会弹出页面读取失败的提示</t>
  </si>
  <si>
    <t>1、TCP连接到上位机，停留在real-time metering界面，静止8分钟左右
2、查看上位机是否报错</t>
  </si>
  <si>
    <t>2、上位机不会报错，TCP不会断开</t>
  </si>
  <si>
    <t>Function_AcuRev1320_021_04_case7</t>
  </si>
  <si>
    <t>两台电表级联，同时打开dhcp且接入上行，使用获取的IP进行TCP连接正常，此时上位机上关闭dhcp开关同时修改ip地址，修改成功且TCP连接上位机成功</t>
  </si>
  <si>
    <t xml:space="preserve">1、两台电表级联，同时打开dhcp且接入上行，使用获取的IP进行TCP连接，
2、此时上位机上关闭dhcp开关同时修改ip地址
</t>
  </si>
  <si>
    <t>1、TCP连接上位机成功
2、修改成功，TCP连接上位机成功</t>
  </si>
  <si>
    <t>两台电表通过rtu连接，配置相同的波特率和校验模式，不同的slave_id，验证上位机可以正常连接两个电表，且测量值正常不会互相传错；同时验证不同校验模式，上位机无法正常连接两个电表</t>
  </si>
  <si>
    <t>1、Acuview2上位机
2、RTU串口线连接两个AcuRev1320电表</t>
  </si>
  <si>
    <t>1、配置第一个电表的Baud Rate为19200、Parity为None1，Slave id配置为1
2、配置第一个电表的Baud Rate为19200、Parity为None1，Slave id配置为3
3、第一个电表不加源
4、第二个电表加源，电压全部为120V、电流全部为4A、压流角为0
5、上位机先后连接两个电表，检查real-time数值
6、配置第一个电表的Baud Rate为19200、Parity为None1，Slave id配置为1
7、配置第一个电表的Baud Rate为19200、Parity为None2，Slave id配置为3
8、尝试通过上位机连接两个电表</t>
  </si>
  <si>
    <t>5、 连接成功，第1个电表的测量值全部为0，第二个电表的测量值为实际值，精度符合预期
8、 奇偶校验方式不同，连接失败</t>
  </si>
  <si>
    <t>Function_AcuRev1320_021_04_case9</t>
  </si>
  <si>
    <t>一台电表通过USB连接到PC，配置不同的slave_id，验证上位机可以正常连接到电表</t>
    <phoneticPr fontId="10" type="noConversion"/>
  </si>
  <si>
    <t>1、配置第电表的Baud Rate为19200、Parity为None1，Slave id配置为1
2、电表加源，电压全部为120V、电流全部为4A、压流角为0
3、上位机通过USB连接电表，检查real-time数值
4、配置电表的Baud Rate为19200、Parity为None1，Slave id配置为3
5、电表加源，电压全部为120V、电流全部为4A、压流角为0
6、上位机通过USB连接电表，检查real-time数值</t>
  </si>
  <si>
    <t>3、上位机通过USB连接电表成功，上位机上real-time数值显示正常
6、上位机通过USB连接电表成功，上位机上上位机real-time数值显示正常</t>
  </si>
  <si>
    <t>电表和电脑都接入路由器，TCP连接四个客户端，重新插拔电脑侧网线后，TCP连接依然成功</t>
  </si>
  <si>
    <t xml:space="preserve">1、Acuview2上位机
</t>
  </si>
  <si>
    <t>1、电表打开DHCP接入路由器，查看路由器给电表分配IP是否成功
2、电脑通过网线接入路由器
3、使用电脑通过TCP连接到上位机，连接四个客户端
4、拔掉电脑侧的网线，等待10s
5、插入电脑侧的网线，继续使用TCP连接上位机</t>
  </si>
  <si>
    <t>1、分配IP成功
3、连接上位机成功
4、四个客户端均断开连接
5、四个客户端均能正常连接</t>
  </si>
  <si>
    <t>电表设置静态IP，电脑连接到电表，TCP连接四个客户端，重新插拔电脑侧网线后，TCP连接依然成功</t>
  </si>
  <si>
    <t>1、电表关闭dhcp设置静态IP
2、电脑设置同网段的IP
3、使用电脑通过TCP连接到上位机，连接四个客户端
4、拔掉电脑侧的网线，等待10s
5、插入电脑侧的网线，继续使用TCP连接上位机</t>
  </si>
  <si>
    <t xml:space="preserve">
3、连接上位机成功
4、四个客户端均断开连接
5、四个客户端均能正常连接</t>
  </si>
  <si>
    <t>两个电表与交换机连接形成环路，分配不同的静态IP，通过电脑访问，验证网络正常，可以稳定连接</t>
  </si>
  <si>
    <t>1、 两个AcuRev1320电表</t>
  </si>
  <si>
    <t>1、 给电表1分配IP 192.168.1.200
2、 给电表2分配IP 192.168.1.207
3、 给电脑分配IP 192.168.1.224
4、 电表1通过网线连接到交换机
5、 电表2通过网线连接到交换机
6、 电脑通过网线连接到交换机
7、 电表1和电表2通过网线互相连接
8、 通过电脑访问两个电表，ping IP 和通过上位机连接</t>
  </si>
  <si>
    <t>8、可以ping通，通过上位机分别连接成功，两个电表可以传递各自的数据，不会传乱</t>
  </si>
  <si>
    <t>Function_AcuRev1320_021_04_case13</t>
  </si>
  <si>
    <t>两个电表与交换机连接形成环路，分配相同的静态IP，通过电脑访问，验证网络正常，可以稳定连接</t>
    <phoneticPr fontId="10" type="noConversion"/>
  </si>
  <si>
    <t>1、 给电表1分配IP 192.168.1.207
2、 给电表2分配IP 192.168.1.207
3、 给电脑分配IP 192.168.1.224
4、 电表1通过网线连接到交换机
5、 电表2通过网线连接到交换机
6、 电脑通过网线连接到交换机
7、 电表1和电表2通过网线互相连接
8、 通过电脑访问两个电表，ping IP 和通过上位机连接</t>
  </si>
  <si>
    <t>8、可以ping通，通过上位机可以随机连接到其中一个电表</t>
    <phoneticPr fontId="10" type="noConversion"/>
  </si>
  <si>
    <t>Function_AcuRev1320_021_04_case14</t>
  </si>
  <si>
    <t>两个电表与交换机连接形成环路，通过路由器分配不同的IP，通过电脑访问，验证网络正常，可以稳定连接</t>
    <phoneticPr fontId="10" type="noConversion"/>
  </si>
  <si>
    <t>1、 电表1修改为DHCP模式，连接到交换机，再连接到路由器，自动分配IP 192.168.1.208
2、 电表1修改为DHCP模式，连接到交换机，再连接到路由器，自动分配IP 192.168.1.209
3、 电脑修改为DHCP模式，连接到交换机，再连接到路由器，自动分配IP
4、 电表1和电表2通过网线互相连接
5、 通过电脑访问两个电表，ping IP 和通过上位机连接</t>
  </si>
  <si>
    <t>BACnet通信协议</t>
    <phoneticPr fontId="10" type="noConversion"/>
  </si>
  <si>
    <t>BACnet通信协议</t>
  </si>
  <si>
    <t>Function_AcuRev1320_022_01_case1</t>
  </si>
  <si>
    <t>Yabe工具读取实时量寄存器成功</t>
    <phoneticPr fontId="10" type="noConversion"/>
  </si>
  <si>
    <t>1、Acuview2上位机
2、网线/RTU串口线
3、AcuRev1320电表
4、BACNet 使能</t>
  </si>
  <si>
    <t>1、使用Yabe软件通过BACNet的方式连接AcuRev1320
2、Yabe软件Address Space中遍历选择OBJECT_ANALOG_INPUT:1~26参数（Real time）
3、检查Yabe上所有参数的ID、Name、Description、Object Type、Data Type、RW、Unit 、返回的实时参数值为vlaue
注：BACNet测试工具和报文待更新</t>
    <phoneticPr fontId="10" type="noConversion"/>
  </si>
  <si>
    <r>
      <t>2、报文发送成功，响应数据帧正确
3、Yabe上所有参数的ID、Name、Description、Object Type、Data Type、RW、Unit 均与地址表要求配置一致，返回的值vlaue</t>
    </r>
    <r>
      <rPr>
        <strike/>
        <sz val="8"/>
        <color rgb="FF000000"/>
        <rFont val="微软雅黑"/>
        <family val="2"/>
        <charset val="134"/>
      </rPr>
      <t>1</t>
    </r>
    <r>
      <rPr>
        <sz val="8"/>
        <color rgb="FF000000"/>
        <rFont val="微软雅黑"/>
        <family val="2"/>
        <charset val="134"/>
      </rPr>
      <t>正确。与HMI或上位机展示的读取实时值数据一致（数据实时刷新，存在一定波动，此处满足精度范围即可接受）</t>
    </r>
  </si>
  <si>
    <t>Function_AcuRev1320_022_01_case2</t>
  </si>
  <si>
    <t>Yabe工具读取电能质量寄存器成功</t>
    <phoneticPr fontId="10" type="noConversion"/>
  </si>
  <si>
    <t>2、报文发送成功，响应数据帧正确
3、Yabe上所有参数的ID、Name、Description、Object Type、Data Type、RW、Unit 均与地址表要求配置一致，返回的值vlaue正确。与HMI或上位机展示的读取实时值数据一致（数据实时刷新，存在一定波动，此处满足精度范围即可接受）</t>
  </si>
  <si>
    <t>Yabe工具读取需量寄存器成功</t>
    <phoneticPr fontId="10" type="noConversion"/>
  </si>
  <si>
    <t>Function_AcuRev1320_022_01_case4</t>
  </si>
  <si>
    <t>Yabe工具读取电能寄存器成功</t>
    <phoneticPr fontId="10" type="noConversion"/>
  </si>
  <si>
    <t>1、使用Yabe软件通过BACNet的方式连接AcuRev1320
2、Yabe软件Address Space中遍历选择OBJECT_LARGE_ANALOG_VALUE:46~69参数（Energy）
3、检查Yabe上所有参数的ID、Name、Description、Object Type、Data Type、RW、Unit 、返回的实时参数值为vlaue
注：BACNet测试工具和报文待更新</t>
  </si>
  <si>
    <t>Function_AcuRev1320_022_01_case5</t>
  </si>
  <si>
    <t>Yabe工具读取独立通道寄存器成功</t>
    <phoneticPr fontId="10" type="noConversion"/>
  </si>
  <si>
    <t>1、使用Yabe软件通过BACNet的方式连接AcuRev1320
2、Yabe软件Address Space中遍历选择OBJECT_ANALOG_INPUT:70~99参数（Demand）
3、检查Yabe上所有参数的ID、Name、Description、Object Type、Data Type、RW、Unit 、返回的实时参数值为vlaue</t>
  </si>
  <si>
    <t>Function_AcuRev1320_022_01_case6</t>
  </si>
  <si>
    <t>Yabe工具读取DI 脉冲寄存器成功</t>
    <phoneticPr fontId="10" type="noConversion"/>
  </si>
  <si>
    <t>Function_AcuRev1320_022_01_case7</t>
  </si>
  <si>
    <t>1、使用Yabe软件通过BACNet的方式连接AcuRev1320
2、Yabe软件Address Space中遍历选择OBJECT_Binary_Input:1~3参数（Demand）
3、检查Yabe上所有参数的ID、Name、Description、Object Type、Data Type、RW、Unit 、返回的实时参数值为vlaue</t>
  </si>
  <si>
    <t>Function_AcuRev1320_022_01_case8</t>
  </si>
  <si>
    <t>上位机上设置BACNet开关 OFF成功，BACNet串口通信断开</t>
  </si>
  <si>
    <t>1、使用Yabe软件通过BACNet的方式连接AcuRev1320
2、上位机（TCP方式）或HMI上设置BACNet开关 OFF
3、查看串口工具与AcuRev1320连接是否断开</t>
  </si>
  <si>
    <t>1、通过BACNet的方式连接AcuRev1320成功，
读取数据成功
2、上位机和HMI无报错，上位机与HMI更新显示BACNet开关OFF（Disable）
3、BACNet串口通信断开
读取数据失败</t>
  </si>
  <si>
    <t>Function_AcuRev1320_022_01_case9</t>
  </si>
  <si>
    <t>上位机上设置BACNet开关 ON成功，BACNet串口通信恢复</t>
  </si>
  <si>
    <t>1、上位机（TCP方式）或HMI上设置BACNet开关 ON
2、使用Yabe软件通过BACNet的方式连接AcuRev1320</t>
  </si>
  <si>
    <t>1、上位机无报错，上位机与HMI更新显示BACNet开关ON（Enable）
2、连接成功，BACNet串口通信恢复
读取数据成功</t>
  </si>
  <si>
    <t>Function_AcuRev1320_022_01_case10</t>
  </si>
  <si>
    <t>上位机上设置BACNet开关 ON成功，波特率设置为9600、19200，无校验None1，通信正常</t>
  </si>
  <si>
    <t>1、上位机上设置BACNet开关 ON，波特率设置为9600，无校验(None1)
2、使用串口工具（Sscom）通过BACNet的方式连接AcuRev1320，参数波特率设置为9600，无校验(None1)
发送读取数据报文:
3、上位机上设置BACNet开关 ON，波特率设置为19200，无校验(None1)
4、使用串口工具（Sscom）通过BACNet的方式连接AcuRev1320，参数波特率设置为19200，无校验(None1)
发送读取数据报文:
注：BACNet测试工具和报文待更新</t>
  </si>
  <si>
    <t>2、连接成功，串口工具无报错
读取数据成功
4、连接成功，串口工具无报错
读取数据成功</t>
  </si>
  <si>
    <t>Function_AcuRev1320_022_01_case11</t>
  </si>
  <si>
    <t>上位机上设置BACNet开关 ON成功，波特率设置为38400、57600，无校验(None1)，通信正常</t>
  </si>
  <si>
    <t>1、上位机上设置BACNet开关 ON，波特率设置为38400，无校验(None1)
2、使用串口工具（Sscom）通过BACNet的方式连接AcuRev1320，参数波特率设置为38400，无校验(None1)
发送读取数据报文:
3、上位机上设置BACNet开关 ON，波特率设置为57600，无校验(None1)
4、使用串口工具（Sscom）通过BACNet的方式连接AcuRev1320，参数波特率设置为57600，无校验(None1)
发送读取数据报文:
注：具体报文待更新</t>
  </si>
  <si>
    <t>Function_AcuRev1320_022_01_case12</t>
  </si>
  <si>
    <t>上位机上设置BACNet开关 ON成功，波特率设置为76800、115200，无校验(None1)，通信正常</t>
  </si>
  <si>
    <t>1、上位机上设置BACNet开关 ON，波特率设置为76800，无校验(None1)
2、使用串口工具（Sscom）通过BACNet的方式连接AcuRev1320，参数波特率设置为76800，无校验(None1)
发送读取数据报文:
3、上位机上设置BACNet开关 ON，波特率设置为115200，无校验(None1)
4、使用串口工具（Sscom）通过BACNet的方式连接AcuRev1320，参数波特率设置为115200，无校验(None1)
发送读取数据报文:
注：具体报文待更新</t>
  </si>
  <si>
    <t>Function_AcuRev1320_022_01_case13</t>
  </si>
  <si>
    <t>上位机上设置BACNet开关 ON成功，波特率设置为19200，无校验(None1)，串口工具波特率使用38400， 链接失败或通信异常</t>
  </si>
  <si>
    <t>1、上位机上设置BACNet开关 ON，波特率设置为19200，无校验(None1)
2、使用串口工具（Sscom）通过BACNet的方式连接AcuRev1320，参数波特率设置为38400，无校验(None1)
发送读取数据报文:</t>
  </si>
  <si>
    <t>2、连接失败，读取数据失败</t>
  </si>
  <si>
    <t>Function_AcuRev1320_022_01_case15</t>
  </si>
  <si>
    <t>BACnet IP 预留一个空用例，已与开发确认第一个版本不转侧，且目前不清楚实现的具体方式</t>
    <phoneticPr fontId="10" type="noConversion"/>
  </si>
  <si>
    <t>预留用例</t>
    <phoneticPr fontId="10" type="noConversion"/>
  </si>
  <si>
    <t>Function_AcuRev1320_022_01_case16</t>
  </si>
  <si>
    <t>1、使用Yabde通过BACNet的方式连接AcuRev1320
2、5mins超时范围内，任意时刻发送读取数据报文：
2、观察RTU链接是否稳定。</t>
  </si>
  <si>
    <t>2、5mins超时范围内，任意时刻读取数据成功
3、5mins超时范围内，RTU链接链接稳定</t>
  </si>
  <si>
    <t>Function_AcuRev1320_022_01_case17</t>
  </si>
  <si>
    <t>连接1个RTU客户端，同时多次读取电气测量值正常， 上位机和电表均为出现闪退或死机现象</t>
  </si>
  <si>
    <t>1、使用Yabe通过BACNet的方式连接AcuRev1320
2、通过TCP方式连接AcuRev1320电表到Acuview2上，链接状态为connected
3、串口工具多次读取电气测量值
4、观察RTU链接是否稳定
5、上位机和电表是否稳定</t>
  </si>
  <si>
    <t>3、读取数据成功
4、RTU链接连接稳定
5、上位机和电表均未出现闪退或死机现象</t>
  </si>
  <si>
    <t>Function_AcuRev1320_022_01_case18</t>
  </si>
  <si>
    <t>两台电表通过BacNet 协议连接，配置BacNet ID分别为1和2，通过niagara 工具连接，验证可以正常连接，且测量值正常不会互相传错</t>
  </si>
  <si>
    <t>1、 BacNet连接两个AcuRev1320电表</t>
  </si>
  <si>
    <t>1、配置第一个电表的BacNet MS/TP ID和BacNet MS/TP Meter Address 为1
2、配置第二个电表的BacNet MS/TP ID和BacNet MS/TP Meter Address 为2
3、第一个电表不加源
4、第二个电表加源，电压全部为120V、电流全部为4A、压流角为0
5、niagara工具先后连接两个电表，检查real-time数值</t>
  </si>
  <si>
    <t>5、 连接成功，第1个电表的测量值全部为0，第二个电表的测量值为实际值，精度符合预期</t>
  </si>
  <si>
    <t>Function_AcuRev1320_022_01_case19</t>
  </si>
  <si>
    <t>10台电表通过BacNet 协议连接，配置BacNet ID分别为1到10，通过niagara 工具连接，验证可以正常连接，且可以持续稳定的保持连接状态</t>
  </si>
  <si>
    <t>1、 BacNet连接10个AcuRev1320电表</t>
  </si>
  <si>
    <t>1、配置十个电表的BacNet MS/TP ID和BacNet MS/TP Meter Address 分别依次为1-10
2、niagara工具先后连接10个电表，检查real-time数值</t>
  </si>
  <si>
    <t>2、 10个电表都可以正常连接，且可以持续稳定的保持连接状态</t>
  </si>
  <si>
    <t>Firmware升级</t>
  </si>
  <si>
    <t>铅封未封闭,上位机通过RTU方式，波特率设置为9600,升级正常。</t>
  </si>
  <si>
    <t>5、升级过程无错误出现
6、电表的FW版本为Rev2
7、电表的日志未丢失，配置未改变；电表的测量数据未改变，仍然为value3(电压,电流,功率)</t>
  </si>
  <si>
    <t>Function_AcuRev1320_023_01_case2</t>
  </si>
  <si>
    <t>铅封未封闭,上位机通过RTU方式，波特率设置为19200,升级正常。注意:间测量数据/日志不会改变, 新版本以继续工作</t>
  </si>
  <si>
    <t>1、通过RTU方式连接AcuRev-1320电表到Acuview2上，链接状态为connected
2、检查电表的FW版本为Rev1
3、记录电表的日志；记录电表的测量数据值为value1(电压,电流,功率)
4、上传电表FW版本(版本号Rev2),升级波特率选择19200，开始升级，并等待升级完成。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</si>
  <si>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7、电表的日志未丢失，配置未改变；电表的测量数据未改变，仍然为value4(电压,电流,功率)</t>
  </si>
  <si>
    <t>Function_AcuRev1320_023_01_case3</t>
  </si>
  <si>
    <t>铅封未封闭,上位机通过RTU方式，波特率设置为38400,升级正常。</t>
  </si>
  <si>
    <t>1、通过RTU方式连接AcuRev-1320电表到Acuview2上，链接状态为connected
2、检查电表的FW版本为Rev1
3、记录电表的日志；记录电表的测量数据值为value1(电压,电流,功率)
4、上传电表FW版本(版本号Rev2),升级波特率选择38400，开始升级，并等待升级完成。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</si>
  <si>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7、电表的日志未丢失，配置未改变；电表的测量数据未改变，仍然为value5(电压,电流,功率)</t>
  </si>
  <si>
    <t>Function_AcuRev1320_023_01_case4</t>
  </si>
  <si>
    <t>铅封未封闭,上位机通过RTU方式，波特率设置为57600,升级正常。</t>
  </si>
  <si>
    <t>5、升级过程无错误出现
6、电表的FW版本为Rev2
7、电表的日志未丢失，配置未改变；电表的测量数据未改变，仍然为value6(电压,电流,功率)</t>
  </si>
  <si>
    <t>Function_AcuRev1320_023_01_case4_01</t>
  </si>
  <si>
    <t>升级过程中断开连接，待通讯正常后能继续升级</t>
  </si>
  <si>
    <t>1.表计正常升级，待表计升级到40%时
2.关闭上位机
3.继续打开上位机点击升级（此时需要按键升级）</t>
  </si>
  <si>
    <t xml:space="preserve">
2.上位机提示升级失败
3.能升级成功</t>
  </si>
  <si>
    <t>Function_AcuRev1320_023_01_case5</t>
  </si>
  <si>
    <t>铅封未封闭,上位机通过RTU方式，波特率设置为115200,升级正常。</t>
  </si>
  <si>
    <t>1、通过RTU方式连接AcuRev-1320电表到Acuview2上，链接状态为connected
2、检查电表的FW版本为Rev1
3、记录电表的日志；记录电表的测量数据值为value1(电压,电流,功率)
4、上传电表FW版本(版本号Rev2),升级波特率选择115200，开始升级，并等待升级完成。
5、观测升级过程是否有错误出现
6、升级完成后，检查电表的FW版本是否为Rev2
7、升级完成后，检查电表的日志是否丢失或改变；检查电表的测量数据是否仍然为value1(电压,电流,功率)</t>
  </si>
  <si>
    <t>5、升级过程无错误出现
6、电表的FW版本为Rev2
7、电表的日志未丢失，配置未改变；电表的测量数据未改变，仍然为value8(电压,电流,功率)</t>
  </si>
  <si>
    <t>Function_AcuRev1320_023_01_case6</t>
  </si>
  <si>
    <t>铅封未封闭,上位机通过TCP方式,升级正常。 注意:间测量数据/日志不会改变, 新版本以继续工作</t>
  </si>
  <si>
    <t>1、通过TCP方式连接AcuRev-1320电表到Acuview2上，链接状态为connected
2、检查电表的FW版本为Rev1
3、记录电表的日志；记录电表的测量数据值为value1(电压,电流,功率)
4、上传电表FW版本(版本号Rev2)，开始升级，并等待升级完成。
5、观测升级过程是否有错误出现
6、升级完成后，检查电表的FW版本是否为Rev2
7、升级完成后，检查电表的日志是否丢失或改变；检查电表的测量数据是否仍然为value1(电压,电流,功率)</t>
  </si>
  <si>
    <t>Function_AcuRev1320_023_01_case7</t>
  </si>
  <si>
    <t>电表直连电脑升级，上位机通过TCP方式， 升级成功（静态升级）</t>
  </si>
  <si>
    <t>1、电表通过网线直接连接电脑，配置电脑与电表同一网段
2、上位机通过TCP方式进行升级</t>
  </si>
  <si>
    <t>2、升级成功，升级过程无错误出现</t>
  </si>
  <si>
    <t>电表链接路由器升级，上位机通过TCP方式， 升级成功（动态升级）</t>
  </si>
  <si>
    <t>1、电表通过网线连接路由器，电脑也通过网线连接路由器
2、上位机通过TCP方式进行升级</t>
  </si>
  <si>
    <t>Function_AcuRev1320_023_01_case9</t>
  </si>
  <si>
    <t>电表Wifi链接升级，上位机通过TCP方式， 升级成功（动态升级）</t>
  </si>
  <si>
    <t>1、电表通过网线连接路由器，电脑通过WIFI连接路由器
2、上位机通过TCP方式进行升级</t>
  </si>
  <si>
    <t>Function_AcuRev1320_023_01_case9_1</t>
  </si>
  <si>
    <t>电表连接如公网，上位机通过TCP方式连接后，升级成功（动态升级）</t>
  </si>
  <si>
    <t>Function_AcuRev1320_023_01_case9_2</t>
  </si>
  <si>
    <t>电表连接如公网，上位机通过TCP方式连接后，升级成功（静态升级）</t>
  </si>
  <si>
    <t>1、电表通过网线连接公网，电脑通过网线连接公网
2、打开电表、电脑dhcp,待分配到ip后，关闭电表dhcp
3、上位机通过TCP方式进行升级</t>
  </si>
  <si>
    <t>3、升级成功，升级过程无错误出现</t>
  </si>
  <si>
    <t>Function_AcuRev1320_023_01_case10</t>
  </si>
  <si>
    <t>升级时需要铅封打开，只能使用Accuenergy发布的文件，固件文件加密并签名。</t>
  </si>
  <si>
    <t>1、通过上位机升级时选择Accuenergy发布的文件（测试时开发提供的正式转测版本）
2、查看文件是否正常加载、解析
3、本地创建一个.MFEA文件，未使用Accuenergy固件文件加密并签名
4、升级时选择步骤3中文件，查看文件是否正常加载、解析</t>
  </si>
  <si>
    <t>2、上位机升级界面正确加载、解析Accuenergy发布的文件，页面能正确显示
Model：AcuRev1320 
Hardware：V1.0.0  ——展示实际版本信息
Firmware：V1.01    ——展示实际版本信息
4、上位机升级界面升级文件解析失败，提示用户“固件文件无效”</t>
  </si>
  <si>
    <t>铅封未封闭,上位机通过RTU方式按键升级（强制升级）</t>
  </si>
  <si>
    <t>3、电表进入boot模式
5、升级成功，升级过程无错误出现</t>
  </si>
  <si>
    <t>Function_AcuRev1320_023_01_case11_01</t>
  </si>
  <si>
    <t>铅封未封闭， 上位机通过TCP方式按键升级，电表与电脑直连（强制升级）</t>
  </si>
  <si>
    <t>1、Acuview2上位机
2、网线/RTU串口线
3、AcuRev1320电表
4、铅封未封闭
5、 电脑与电表通过网线直连，IP在同网段</t>
  </si>
  <si>
    <t>1、通过RTU方式连接AcuRev-1320电表
2、AcuRev1320电表上电后立即按OK键
3、检查电表是否进入boot模式
4、 上位机升级界面，打开Scan Mode，窗口右下角点击Add IP，输入电表的IP、Port Number、Slave ID
5、 选择预期升级的版本文件，勾选IP，点击Connect
6、升级界面, 选择 "Is the device running?" ："NO”, “Button pressed in boot?" ： "YES"，开始升级，并等待升级完成。
7、观测升级过程是否有错误出现</t>
  </si>
  <si>
    <t>3、电表进入boot模式
7、升级成功，升级过程无错误出现</t>
  </si>
  <si>
    <t>Function_AcuRev1320_023_01_case11_02</t>
  </si>
  <si>
    <t>铅封未封闭， 上位机通过TCP方式按键升级，电表与电脑接入公网（强制升级）</t>
  </si>
  <si>
    <t>1、Acuview2上位机
2、网线/RTU串口线
3、AcuRev1320电表
4、铅封未封闭
5、 电脑与电表接入公网，均配置未DHCP模式</t>
  </si>
  <si>
    <t>1、通过RTU方式连接AcuRev-1320电表
2、1320电表上电后立即按OK键
3、检查电表是否进入boot模式
4、 上位机升级界面，打开Scan Mode，窗口右下角点击Add IP，输入电表的IP、Port Number、Slave ID
5、 选择预期升级的版本文件，勾选IP，点击Connect
6、升级界面, 选择 "Is the device running?" ："NO”, “Button pressed in boot?" ： "YES"，开始升级，并等待升级完成。
7、观测升级过程是否有错误出现</t>
  </si>
  <si>
    <t>Stable_AcuRev1320_023_01_case12</t>
  </si>
  <si>
    <t>铅封未封闭, 上位机通过RTU方式，压力升级15次</t>
  </si>
  <si>
    <t>1、通过RTU方式连接AcuRev-1320电表到Acuview2上，链接状态为connected
2、上位机Firmeare Update界面选择升级文件，进行升级
3、连续升级压测10次</t>
  </si>
  <si>
    <t>2、升级成功，升级过程无错误出现
3、每次均能升级成功</t>
  </si>
  <si>
    <t>Stable_AcuRev1320_023_01_case13</t>
  </si>
  <si>
    <t>铅封未封闭, 上位机通过TCP方式，压力升级15次</t>
  </si>
  <si>
    <t>1、通过TCP方式连接AcuRev-1320电表到Acuview2上，链接状态为connected
2、上位机Firmeare Update界面选择升级文件，进行升级
3、连续升级压测10次</t>
  </si>
  <si>
    <t>Function_AcuRev1320_023_01_case14</t>
  </si>
  <si>
    <t>铅封未封闭,上位机通过TCP方式升级，升级期间，Windows上cmd窗口持续ping电表IP地址，升级正常。</t>
  </si>
  <si>
    <t>上位机升级界面显示准确，设备信息栏中IP、Model、 Hardware、 Firmware等信息显示正确</t>
  </si>
  <si>
    <t>1、通过TCP方式连接AcuRev-1320电表到Acuview2上，链接状态为connected
2、检查上位机Firmeare Update界面显示</t>
  </si>
  <si>
    <t>2、设备信息栏中IP、Model、 Hardware、 Firmware等信息显示正确
IP：显示正确、完整、无遮挡
Model：AcuRev1320
Hardware：V 1.01
Firmware：V 1.01
注：这里版本信息为样例格式，具体以测试版本为准；Model未确定，后期更新</t>
  </si>
  <si>
    <t>Function_AcuRev1320_023_01_case16</t>
  </si>
  <si>
    <t>上位机升级后，接入源，查看电压、电流、角度精度</t>
  </si>
  <si>
    <t>1、通过TCP或RTU方式连接AcuRev-1320电表到Acuview2上，链接状态为connected
2、上位机Firmeare Update界面选择升级文件，进行升级
3、接入源，输入电压、电流和角度，查看电压、电流和角度是否符合精度要求</t>
  </si>
  <si>
    <t>2、升级成功
3、电压、电流和角度符合精度要求</t>
  </si>
  <si>
    <t>Function_AcuRev1320_023_01_case17</t>
  </si>
  <si>
    <t>先升级boot，后升级app，接入源，查看电压电流精度</t>
  </si>
  <si>
    <t>1、先升级boot版本
2、再升级app版本
3、接入源，输入电压、电流和角度，查看电压、电流和角度是否符合精度要求</t>
  </si>
  <si>
    <t>1、2、升级成功
3、电压、电流和角度符合精度要求</t>
  </si>
  <si>
    <t>Function_AcuRev1320_023_01_case18</t>
  </si>
  <si>
    <t>修改slave id后进行TCP升级</t>
  </si>
  <si>
    <t>1、修改slave id为2，TCP port为502，TCP连接到上位机
2、进行TCP升级</t>
  </si>
  <si>
    <t>2、TCP升级成功</t>
  </si>
  <si>
    <t>Function_AcuRev1320_023_01_case19</t>
  </si>
  <si>
    <t>修改TCPport后进行TCP升级</t>
  </si>
  <si>
    <t>1、slave id为1，修改TCP port为508，TCP连接到上位机
2、进行TCP升级</t>
  </si>
  <si>
    <t>Function_AcuRev1320_023_02_case1</t>
  </si>
  <si>
    <t>铅封封闭，上位机通过RTU方式, 升级固件失败</t>
  </si>
  <si>
    <t>1、铅封封闭，通过RTU方式连接AcuRev-1320电表到Acuview2上，链接状态为connected
2、上位机Firmeare Update界面选择升级文件，进行升级</t>
  </si>
  <si>
    <t>2、升级失败。上位机提示用户设备处于铅封状态</t>
  </si>
  <si>
    <t>Function_AcuRev1320_023_02_case2</t>
  </si>
  <si>
    <t>铅封封闭，上位机通过TCP方式, 升级固件失败</t>
  </si>
  <si>
    <t>1、铅封封闭，通过TCP方式连接AcuRev-1320电表到Acuview2上，链接状态为connected
2、上位机Firmeare Update界面选择升级文件，进行升级</t>
  </si>
  <si>
    <t>Function_AcuRev1320_023_02_case2_01</t>
  </si>
  <si>
    <t>铅封sealed，无法升级，此时unsealed后，升级界面能否继续升级</t>
  </si>
  <si>
    <t>1、铅封sealed，上位机进入升级界面
2、手动修改铅封状态为unsealed，此时升级界面是否可以继续升级</t>
  </si>
  <si>
    <t>1、此时无法进行升级
2、可以继续升级</t>
  </si>
  <si>
    <t>1、AcuRev1320电表</t>
  </si>
  <si>
    <t>1、 使用STM32 工具连接电表
2、 在工具中点击Connect
3、 在工具中点击DisConnect
4、 在工具中点击Connect</t>
  </si>
  <si>
    <t>Function_AcuRev1320_023_02_case4</t>
  </si>
  <si>
    <t>使用STM32 烧写boot程序成功</t>
    <phoneticPr fontId="10" type="noConversion"/>
  </si>
  <si>
    <t>1、 使用STM32 工具连接电表
2、 在工具中点击Connect
3、 烧写 AcuRev1320-boot-CM7.hex 程序
4、 烧写 AcuRev1320-boot-CM4.hex 程序
5、 重启电表，检查boot Version 版本</t>
  </si>
  <si>
    <t>2、连接成功
3-4、 烧写成功
5、 boot Version 版本为烧写的最新版本</t>
    <phoneticPr fontId="10" type="noConversion"/>
  </si>
  <si>
    <t>Function_AcuRev1320_023_02_case4_01</t>
  </si>
  <si>
    <t>boot界面信息查看</t>
  </si>
  <si>
    <t>1、电表进入boot模式，查看HMI上界面信息显示是否正确</t>
  </si>
  <si>
    <t>1、信息显示正确，如model显示为AcuRev1320，以及版本号</t>
  </si>
  <si>
    <t>Function_AcuRev1320_023_02_case5</t>
  </si>
  <si>
    <t>TCP进行通信时，进行RTU升级</t>
  </si>
  <si>
    <t>1、RTU连接到上位机
2、NetAssist工具建立TCP连接，并进行通信
3、使用RTU进行升级，查看是否升级成功</t>
  </si>
  <si>
    <t>3、RTU升级成功</t>
  </si>
  <si>
    <t>Function_AcuRev1320_023_02_case6</t>
  </si>
  <si>
    <t>RTU进行通信时，进行TCP升级</t>
  </si>
  <si>
    <t>1、TCP连接到上位机
2、使用sscon工具连接RTU端口，扩展中编辑命令01 01 00 20 00 01，延时发送时间设置为10ms，勾选循环发送
3、此时进行TCP升级，点击connect后，立马修改延时发送时间为1ms，查看升级是否成功</t>
  </si>
  <si>
    <t xml:space="preserve">
2、RTU通信成功
3、TCP升级成功</t>
  </si>
  <si>
    <t>TCP升级过程中，新打开一个上位机，tcp连接正在升级的电表</t>
  </si>
  <si>
    <t>1、TCP连接到上位机
2、开始升级
3、 新打开一个上位机，tcp连接电表</t>
  </si>
  <si>
    <t>Function_AcuRev1320_023_02_case7_1</t>
  </si>
  <si>
    <t>升级前后，查看电表各个寄存器数据不会发生变化</t>
  </si>
  <si>
    <t>1、电表上电，升级前保存电表上位机各个reading界面的数据，包括setting界面的设备信息
2、电表升级
3、升级结束后，在上位机上比对升级前后数据（步骤1中提到的数据）</t>
  </si>
  <si>
    <t>Function_AcuRev1320_023_02_case7_2</t>
  </si>
  <si>
    <t>升级前后，查看电表setting界面各个数据不会发生变化</t>
  </si>
  <si>
    <t>1、电表上电，升级前截图保存setting界面各数据
2、电表升级
3、升级结束后，在上位机上比对升级前后setting界面各个数据</t>
  </si>
  <si>
    <t>3、升级不会影响电表原有参数的配置，升级前后，电表各个参数配置不变</t>
  </si>
  <si>
    <t>铅封功能</t>
  </si>
  <si>
    <t>标准铅封功能</t>
    <phoneticPr fontId="10" type="noConversion"/>
  </si>
  <si>
    <t>Function_AcuRev1320_024_01_case1</t>
  </si>
  <si>
    <t>铅封状态，上位机界面无法修改接线配置。</t>
  </si>
  <si>
    <t>1、Acuview2上位机
2、网线/RTU串口线
3、AcuRev1320电表
4、标准铅封
5、铅封封闭</t>
  </si>
  <si>
    <t>1、连接AcuRev1320电表到Acuview2上，链接状态为connected
2、Acuview2上进行修改接线配置操作（Setting页面）
3、上位机和HMI界面上检查电表的修改接线配置是否配置成功</t>
  </si>
  <si>
    <t>3、上位机和HMI界面上观测到电表的接线未改变
配置失败    ——上位机置灰，无法配置</t>
  </si>
  <si>
    <t>Function_AcuRev1320_024_01_case2</t>
  </si>
  <si>
    <t>铅封状态，上位机界面无法修改能量脉冲输出配置。能量脉冲：Parameter(None，import Energy，export Energy，total Energy，Net Energy),  Constant（范围:xx-yy）</t>
  </si>
  <si>
    <t>1、连接AcuRev1320电表到Acuview2上，链接状态为connected
2、Acuview2上进行修改能量脉冲配置操作（Setting—General页面—Pulse LED parameter selection）
3、上位机和HMI界面上检查电表的能量脉冲配置是否配置成功</t>
  </si>
  <si>
    <t>3、上位机和HMI界面上观测到电表的能量脉冲未改变
配置失败    ——上位机置灰，无法配置</t>
  </si>
  <si>
    <t>Function_AcuRev1320_024_01_case3</t>
  </si>
  <si>
    <t>铅封状态，上位机界面无法修改需量配置。 需量配置: Demand Type（sliding Block，Fixed Block），Calculation Interval(范围：1-30mins)， Window Interval（范围:1-30mins）</t>
  </si>
  <si>
    <t>1、连接AcuRev1320电表到Acuview2上，链接状态为connected
2、Acuview2上进行修改需量配置操作（Setting—General页面）
3、上位机和HMI界面上检查电表的需量配置是否配置成功</t>
  </si>
  <si>
    <t>3、上位机和HMI界面上观测到电表的需量未改变
配置失败    ——上位机置灰，无法配置</t>
  </si>
  <si>
    <t>Function_AcuRev1320_024_01_case4</t>
  </si>
  <si>
    <t>铅封状态，上位机界面无法修改功率因素计算方。VAR/PF Convention</t>
    <phoneticPr fontId="10" type="noConversion"/>
  </si>
  <si>
    <t>1、连接AcuRev1320电表到Acuview2上，链接状态为connected
2、Acuview2上进行修改功率因素计算方法操作（Setting—General页面）
3、上位机和HMI界面上检查电表的功率因素(PF)计算方法是否配置成功</t>
  </si>
  <si>
    <t>3、上位机和HMI界面上观测到电表的功率因素(PF)计算方法未改变
配置失败    ——上位机置灰，无法配置</t>
  </si>
  <si>
    <t>Function_AcuRev1320_024_01_case5</t>
  </si>
  <si>
    <t>铅封状态，上位机界面无法修改无功功率计算方法。Reactive Power Calculation Method</t>
    <phoneticPr fontId="10" type="noConversion"/>
  </si>
  <si>
    <t>1、连接AcuRev1320电表到Acuview2上，链接状态为connected
2、Acuview2上进行修改无功功率计算方法操作（Setting—General页面）
3、上位机和HMI界面上检查电表的无功功率（VAR）计算方法配置是否配置成功</t>
  </si>
  <si>
    <t>3、上位机和HMI界面上观测到电表的无功功率（VAR）计算方法未改变
配置失败    ——上位机置灰，无法配置</t>
  </si>
  <si>
    <t>Function_AcuRev1320_024_01_case6</t>
  </si>
  <si>
    <t>铅封状态，上位机界面无法修改TOU配置</t>
    <phoneticPr fontId="10" type="noConversion"/>
  </si>
  <si>
    <t>1、连接AcuRev1320电表到Acuview2上，链接状态为connected
2、Acuview2上进行修改TOU配置操作（Setting—TOU Setting页面）
3、上位机和HMI界面上检查电表的TOU配置是否配置成功</t>
  </si>
  <si>
    <t>3、上位机和HMI界面上观测到电表的TOU配置未改变
配置失败    ——上位机置灰，无法配置</t>
  </si>
  <si>
    <t>Function_AcuRev1320_024_01_case7</t>
  </si>
  <si>
    <t>铅封状态，上位机界面无法重置TOU记录</t>
  </si>
  <si>
    <t>1、连接AcuRev1320电表到Acuview2上，链接状态为connected
2、Acuview2上进行重置TOU记录操作
3、上位机和HMI界面上检查电表的重置TOU记录是否配置成功</t>
  </si>
  <si>
    <t>3、上位机和HMI界面上观测到电表的TOU记录未改变   ——上位机弹窗提示电表处于铅封状态，配置失败</t>
  </si>
  <si>
    <t>Function_AcuRev1320_024_01_case8</t>
  </si>
  <si>
    <t>铅封状态，无法进行电压电流校准</t>
  </si>
  <si>
    <t>2、无法进入校准模式，校准参数写入失败</t>
  </si>
  <si>
    <t>Function_AcuRev1320_024_01_case9</t>
  </si>
  <si>
    <t>铅封状态，上位机界面无法恢复出厂设置 (factory reset and reboot)</t>
  </si>
  <si>
    <t>1、连接AcuRev1320电表到Acuview2上，链接状态为connected
2、Acuview2上进行恢复出厂设置操作
3、检查电表是否恢复出厂设置</t>
  </si>
  <si>
    <t>2、电表恢复出厂设置失败
——上位机弹窗提示电表处于铅封状态，配置失败
3、电表测量数据及配置未改变</t>
  </si>
  <si>
    <t>Function_AcuRev1320_024_01_case10</t>
  </si>
  <si>
    <t>铅封状态，上位机界面可以复网络默认配置 （network reset）</t>
    <phoneticPr fontId="10" type="noConversion"/>
  </si>
  <si>
    <t>2、电表恢复网络默认配置成功，上位机和HMI界面上观测到
DHCP enable:0
IP address:192.168.1.254
Subnet mask:255.255.255.0
Gateway:192.168.1.1
DNS primary server:8.8.8.8
DNS secondary server: 8.8.4.4
port：502（port值不会被重置掉）</t>
  </si>
  <si>
    <t>Function_AcuRev1320_024_01_case11</t>
  </si>
  <si>
    <t>铅封状态，上位机界面无法重置能量 (clear energy)</t>
  </si>
  <si>
    <t>1、连接AcuRev1320电表到Acuview2上，链接状态为connected
2、Acuview2上进行重置能量 (clear energy)
3、检查电表是否重置能量</t>
  </si>
  <si>
    <t>2、电表重置能量 (clear energy) 失败
——上位机弹窗提示电表处于铅封状态，配置失败
3、检查电表的能量未改变</t>
  </si>
  <si>
    <t>Function_AcuRev1320_024_01_case12</t>
  </si>
  <si>
    <t>铅封状态，上位机界面已启用最大需量复位（手动），可以重置最大需量 (clear Max demand)</t>
  </si>
  <si>
    <t>1、连接AcuRev1320电表到Acuview2上，链接状态为connected
2、上位机界面已启用最大需量复位（手动），重置最大需量 (clear Max demand)
3、电表上能否清除复位历史记录</t>
  </si>
  <si>
    <t>2、电表重置需量 (clear Max  demand)成功
3、无法清除</t>
  </si>
  <si>
    <t>Function_AcuRev1320_024_01_case13</t>
  </si>
  <si>
    <t>铅封状态，上位机界面可以重置最大/最小 (clear max/min)</t>
    <phoneticPr fontId="10" type="noConversion"/>
  </si>
  <si>
    <t>1、连接AcuRev1320电表到Acuview2上，链接状态为connected
2、Acuview2上进行重置最大/最小 (clear max/min)
3、检查电表是否重置最大/最小</t>
  </si>
  <si>
    <t>2、电表重置最大/最小 (clear max/min)成功
3、上位机页面电表的最大/最小值清0</t>
  </si>
  <si>
    <t>铅封状态，上位机界面无法修改Independent Input Channel 相关配置</t>
  </si>
  <si>
    <t>2、 置灰无法修改</t>
  </si>
  <si>
    <t>Function_AcuRev1320_024_01_case16</t>
  </si>
  <si>
    <t>铅封状态，上位机界面无法Clear Audit Log 失败</t>
  </si>
  <si>
    <t>1、连接AcuRev1320电表到Acuview2上，链接状态为connected
2、Acuview2上Clear Audit Log</t>
  </si>
  <si>
    <t>2、 Clear 失败</t>
  </si>
  <si>
    <t>Function_AcuRev1320_024_01_case17</t>
  </si>
  <si>
    <t>铅封状态，上位机可以设置时间/日期</t>
  </si>
  <si>
    <t>1、连接AcuRev1320电表到Acuview2上，链接状态为connected
2、Acuview2上修改时间和日期</t>
  </si>
  <si>
    <t>2、 修改成功</t>
  </si>
  <si>
    <t>Function_AcuRev1320_024_01_case18</t>
  </si>
  <si>
    <t>2、 Clear 成功</t>
  </si>
  <si>
    <t>Function_AcuRev1320_024_01_case20</t>
  </si>
  <si>
    <t>铅封状态，HMI界面无法恢复出厂设置 (factory reset and reboot)</t>
    <phoneticPr fontId="10" type="noConversion"/>
  </si>
  <si>
    <t>1、铅封封闭
2、HMI上进行恢复出厂设置  (factory reset)
3、检查电表是否恢复出厂设置</t>
  </si>
  <si>
    <t>3、电表测量数据及配置恢复出厂设置失败（无法配置）</t>
  </si>
  <si>
    <t>Function_AcuRev1320_024_01_case21</t>
  </si>
  <si>
    <t>铅封状态，HMI界面可以恢复网络默认配置 （network reset）</t>
  </si>
  <si>
    <t>Function_AcuRev1320_024_01_case22</t>
  </si>
  <si>
    <t>铅封状态，HMI界面无法重置能量 (clear energy)</t>
  </si>
  <si>
    <t>1、铅封封闭
2、HMI上进行重置能量 (clear energy)
3、检查电表是否重置能量</t>
  </si>
  <si>
    <t>2、电表重置能量 (clear energy) 失败（无法配置）
3、检查电表的能量未改变</t>
  </si>
  <si>
    <t>Function_AcuRev1320_024_01_case23</t>
  </si>
  <si>
    <t>铅封状态，HMI界面已启用最大需量复位（手动），可以重置最大需量 (clear max demand)</t>
  </si>
  <si>
    <t>1、铅封封闭
2、HMI上进行重置最大需量 (clear max demand)</t>
  </si>
  <si>
    <t>2、电表重置最大需量 (clear max demand)成功</t>
  </si>
  <si>
    <t>Function_AcuRev1320_024_01_case24</t>
  </si>
  <si>
    <t>铅封状态，HMI界面可以重置最大/最小 (clear max/min)</t>
  </si>
  <si>
    <t>1、铅封封闭
2、HMI上进行重置最大/最小 (clear max/min)
3、检查电表是否重置最大/最小</t>
  </si>
  <si>
    <t>Function_AcuRev1320_024_01_case25</t>
  </si>
  <si>
    <t>铅封状态，HMI界面无法修改接线配置。</t>
  </si>
  <si>
    <t>1、铅封封闭
2、HMI上进行修改接线配置（setting—basic setting—Service）</t>
  </si>
  <si>
    <t>2、铅封封闭，HMI上修改接线配置失败（无法配置）</t>
  </si>
  <si>
    <t>Function_AcuRev1320_024_01_case26</t>
  </si>
  <si>
    <t>铅封状态，HMI界面无法修改能量脉冲输出配置。能量脉冲：Parameter(None，import Energy，export Energy，total Energy，Net Energy),  Constant（范围:xx-yy）</t>
  </si>
  <si>
    <t>1、铅封封闭
2、HMI上进行修改能量脉冲配置（setting—basic setting页面Energy pulse constant
/Pulse LED  width/Pulse LED parameter selection）</t>
  </si>
  <si>
    <t>2、铅封封闭，HMI上修改能量脉冲配置失败（无法配置）</t>
  </si>
  <si>
    <t>铅封状态，HMI界面无法修改需量配置。 需量配置: Demand Type（sliding Block，Fixed Block），Calculation Interval(范围：1-30mins)， Window Interval（范围:1-30mins）</t>
  </si>
  <si>
    <t>1、铅封封闭
2、HMI上进行修改需量配置（setting—basic setting页面Demand Method/Demand Interval/Demand update rate）</t>
  </si>
  <si>
    <t>2、铅封封闭，HMI上修改需量配置失败（无法配置）</t>
  </si>
  <si>
    <t>Function_AcuRev1320_024_01_case28</t>
  </si>
  <si>
    <t>铅封状态，HMI界面无法修改功率因素计算方式。VAR/PF Convention</t>
  </si>
  <si>
    <t>1、铅封封闭
2、HMI上进行修改功率因素计算方法（setting—basic setting—VAR/PF Convention）</t>
  </si>
  <si>
    <t>2、铅封封闭，HMI上修改功率因素计算方法失败（无法配置）</t>
  </si>
  <si>
    <t>Function_AcuRev1320_024_01_case29</t>
  </si>
  <si>
    <t>铅封状态，HMI界面无法修改无功功率计算方法。Reactive Power Calculation Method</t>
  </si>
  <si>
    <t>1、铅封封闭
2、HMI上进行修改无功功率计算方法（setting—basic setting—Reactive Power Calculation Method）</t>
  </si>
  <si>
    <t>2、铅封封闭，HMI上修改无功功率计算方法失败（无法配置）</t>
  </si>
  <si>
    <t>铅封状态，HMI界面无法修改Independent Input Channel 相关配置</t>
  </si>
  <si>
    <t>2、 无法修改</t>
  </si>
  <si>
    <t>铅封状态，HMI界面无法修改Dual Source Energy相关配置</t>
  </si>
  <si>
    <t>Function_AcuRev1320_024_01_case32</t>
  </si>
  <si>
    <t>铅封状态，HMI界面不能Clear Audit Log</t>
  </si>
  <si>
    <t>Function_AcuRev1320_024_01_case33</t>
  </si>
  <si>
    <t>铅封状态，HMI界面可以设置时间/日期</t>
  </si>
  <si>
    <t>1、铅封封闭
2、 HMI上修改时间和日期</t>
  </si>
  <si>
    <t>Function_AcuRev1320_024_01_case34</t>
  </si>
  <si>
    <t>铅封状态，HMI界面可以Clear Syslog</t>
  </si>
  <si>
    <t>1、铅封封闭
2、 HMI上Clear Sys Log</t>
  </si>
  <si>
    <t>Function_AcuRev1320_024_01_case35</t>
  </si>
  <si>
    <t>铅封状态,  上位机界面可以修改RS485配置。RS485配置:  协议开关、波特率、奇偶校验</t>
  </si>
  <si>
    <t>1、铅封封闭，上位机界面对RS485配置进行修改
Protocol：Modbus、
Modbus Slave ID:2
Baud Rate：9600
Parity：ODD</t>
  </si>
  <si>
    <t>1、上位机界面对RS485配置修改成功，上位机与HMI页面更新显示
Protocol：Modbus
Modbus Slave ID:2
Baud Rate：9600
Parity：ODD</t>
  </si>
  <si>
    <t>Function_AcuRev1320_024_01_case36</t>
  </si>
  <si>
    <t>铅封状态,  上位机界面可以修改网络配置。网络配置: DHCP、IP、GW、DNS、netmask、port</t>
  </si>
  <si>
    <t>1、铅封封闭，上位机RTU方式连接，对网络配置进行修改
DHCP enable:0  （0: manual1: DHCP）
IP address:192.168.1.160
Subnet mask:255.255.255.1
Gateway:192.168.2.1
DNS primary server:7.7.8.8
DNS secondary server: 7.7.4.4
port：503</t>
  </si>
  <si>
    <t>1、上位机界面对RS485配置修改成功，上位机与HMI页面更新显示
DHCP enable:0  （0: manual1: DHCP）
IP address:192.168.1.160
Subnet mask:255.255.255.1
Gateway:192.168.2.1
DNS primary server:7.7.8.8
DNS secondary server: 7.7.4.4
port：503</t>
  </si>
  <si>
    <t>Function_AcuRev1320_024_01_case37</t>
  </si>
  <si>
    <t>铅封状态,  上位机界面可以修改通信协议配置。通信协议开关配置:  Modbus RTU、Modbus TCP、BACnet MS/TP</t>
  </si>
  <si>
    <t>1、铅封封闭，上位机界面对通信协议开关配置进行修改
Modbus TCP：0/1  (0: disable1: enable)
RS485 Protocol：Modbus RTU、BACNet MS/TP、Disable
注：通过TCP方式连接修改RTU/BACnet使能，通过RTU方式连接修改TCP使能</t>
  </si>
  <si>
    <t xml:space="preserve">1、上位机界面对RS485配置修改成功，上位机与HMI页面更新显示
Modbus TCP：0/1  (0: disable1: enable)
RS485 Protocol：Modbus RTU、BACNet MS/TP、Disable
</t>
  </si>
  <si>
    <t>Function_AcuRev1320_024_01_case38</t>
  </si>
  <si>
    <t>铅封状态,  上位机界面重置运行时间/负载时间</t>
    <phoneticPr fontId="10" type="noConversion"/>
  </si>
  <si>
    <t>1、上位机界面进行运行时间重置操作
2、上位机界面进行负载时间重置操作</t>
  </si>
  <si>
    <t>1、上位机与HMI页面运行时间重置，显示0H
2、上位机与HMI页面负载时间重置，显示0H</t>
  </si>
  <si>
    <t>Function_AcuRev1320_024_01_case39</t>
  </si>
  <si>
    <t>铅封状态,  HMI界面可以修改RS485配置。RS485配置:  协议开关、波特率、奇偶校验</t>
  </si>
  <si>
    <t>1、铅封封闭，HMI界面对RS485配置进行修改
Protocol：Modbus
Modbus Slave ID:2
Baud Rate：9600
Parity：ODD</t>
  </si>
  <si>
    <t>1、HMI界面对RS485配置修改成功，上位机与HMI页面更新显示
Protocol：Modbus
Modbus Slave ID:2
Baud Rate：9600
Parity：ODD</t>
  </si>
  <si>
    <t>Function_AcuRev1320_024_01_case40</t>
  </si>
  <si>
    <t>铅封状态,  HMI界面可以修改网络配置。网络配置: DHCP、IP、GW、DNS、netmask、port</t>
  </si>
  <si>
    <t>1、铅封封闭，HMI界面对网络配置进行修改
DHCP enable:0  （0: manual1: DHCP）
IP address:192.168.1.160
Subnet mask:255.255.255.1
Gateway:192.168.2.1
DNS primary server:7.7.8.8
DNS secondary server: 7.7.4.4
port：503</t>
  </si>
  <si>
    <t>1、HMI界面对RS485配置修改成功，上位机与HMI页面更新显示
DHCP enable:0  （0: manual1: DHCP）
IP address:192.168.1.160
Subnet mask:255.255.255.1
Gateway:192.168.2.1
DNS primary server:7.7.8.8
DNS secondary server: 7.7.4.4
port：503</t>
  </si>
  <si>
    <t>Function_AcuRev1320_024_01_case41</t>
  </si>
  <si>
    <t>铅封状态,  HMI界面可以修改通信协议配置。通信协议开关配置:  Modbus RTU、Modbus TCP、BACnet MS/TP</t>
  </si>
  <si>
    <t>1、铅封封闭，HMI界面对通信协议开关配置进行修改
Modbus TCP：0/1  (0: disable1: enable)
RS485 Protocol：Modbus RTU、BACNet MS/TP、Disable</t>
  </si>
  <si>
    <t>1、HMI界面对RS485配置修改成功，上位机与HMI页面更新显示
Modbus TCP：0/1  (0: disable1: enable)
RS485 Protocol：Modbus RTU、BACNet MS/TP、Disable</t>
  </si>
  <si>
    <t>Function_AcuRev1320_024_01_case42</t>
  </si>
  <si>
    <t>铅封状态,  HMI界面重置运行时间/负载时间</t>
  </si>
  <si>
    <t>1、HMI界面进行运行时间重置操作
2、HMI界面进行负载时间重置操作</t>
  </si>
  <si>
    <t>非标准铅封功能</t>
    <phoneticPr fontId="10" type="noConversion"/>
  </si>
  <si>
    <t>Function_AcuRev1320_024_02_case1</t>
  </si>
  <si>
    <t>非铅封状态, 设置RS485配置为非标铅封， 上位机界面RS485配置可正常修改。 RS485配置:  协议开关、波特率、奇偶校验</t>
  </si>
  <si>
    <t>1、RS485配置为非标准铅封
2、铅封未封闭，上位机界面对RS485配置进行修改
Baud Rate：9600
Parity：ODD</t>
  </si>
  <si>
    <t>2、上位机界面对RS485配置修改成功，上位机与HMI页面更新显示
Baud Rate：9600
Parity：ODD</t>
  </si>
  <si>
    <t>铅封状态,   设置RS485配置为非标铅封，上位机界面 RS485配置不可修改</t>
  </si>
  <si>
    <t>1、RS485配置为非标准铅封
2、铅封封闭，上位机界面对RS485配置进行修改</t>
  </si>
  <si>
    <t>2、RS485配置修改失败；上位机RS485配置不可修改（置灰）或提示用户铅封</t>
  </si>
  <si>
    <t>Function_AcuRev1320_024_02_case3</t>
  </si>
  <si>
    <t>非铅封状态, 设置网络配置为非标铅封，上位机界面网络配置配置可正常修改。网络配置: DHCP、IP、GW、DNS、netmask、port</t>
  </si>
  <si>
    <t>1、网络配置为非标准铅封
2、铅封未封闭，上位机RTU方式连接，界面对网络配置进行修改
DHCP enable:0  （0: manual1: DHCP）
IP address:192.168.1.160
Subnet mask:255.255.255.1
Gateway:192.168.2.1
DNS primary server:7.7.8.8
DNS secondary server: 7.7.4.4
port：503</t>
  </si>
  <si>
    <t>2、上位机界面对RS485配置修改成功，上位机与HMI页面更新显示
DHCP enable:0  （0: manual1: DHCP）
IP address:192.168.1.160
Subnet mask:255.255.255.1
Gateway:192.168.2.1
DNS primary server:7.7.8.8
DNS secondary server: 7.7.4.4
port：503</t>
  </si>
  <si>
    <t>铅封状态,   设置网络配置配置为非标铅封， 上位机界面网络配置配置不可修改</t>
  </si>
  <si>
    <t>1、网络配置为非标准铅封
2、铅封封闭，上位机界面对网络配置进行修改</t>
  </si>
  <si>
    <t>2、网络配置修改失败；上位机网络配置不可修改（置灰）或提示用户铅封</t>
  </si>
  <si>
    <t>Function_AcuRev1320_024_02_case5</t>
  </si>
  <si>
    <t>非铅封状态, 设置通信协议配置为非标铅封， 上位机界面通信协议配置可正常修改。通信协议开关配置:  Modbus RTU、Modbus TCP、BACnet MS/TP</t>
  </si>
  <si>
    <t xml:space="preserve">1、通信协议配置为非标准铅封
2、铅封未封闭，上位机界面对通信协议开关配置进行修改
RS485 protocol：
Modbus TCP：0/1  (0: disable1: enable)
Modbus Slave ID:
BACnet MS/TP Meter address:
BACnet MS/TP Maximum number of message frames:
BACnet MS/TP ID:
</t>
  </si>
  <si>
    <t>2、上位机界面对RS485配置修改成功，上位机与HMI页面更新显示
RS485 protocol：
Modbus TCP：0/1  (0: disable1: enable)
Modbus Slave ID:
BACnet MS/TP Meter address:
BACnet MS/TP Maximum number of message frames:
BACnet MS/TP ID:</t>
  </si>
  <si>
    <t>铅封状,    设置通信协议配置为非标铅封， 上位机界面通信协议配置不可修改</t>
  </si>
  <si>
    <t>1、通信协议配置为非标准铅封
2、铅封封闭，上位机界面对通信协议开关配置进行修改</t>
  </si>
  <si>
    <t>2、通信协议开关配置修改失败；上位机通信协议开关配置不可修改（置灰）或提示用户铅封</t>
  </si>
  <si>
    <t>Function_AcuRev1320_024_02_case7</t>
  </si>
  <si>
    <t>铅封状态,  设置运行时间重置为非标铅封， 上位机界面运行时间不可重置</t>
  </si>
  <si>
    <t>1、运行时间重置为非标准铅封，铅封封闭
2、上位机界面进行运行时间重置操作</t>
  </si>
  <si>
    <t>2、运行时间重置失败；上位机运行时间不可重置或提示重置失败</t>
  </si>
  <si>
    <t>Function_AcuRev1320_024_02_case8</t>
  </si>
  <si>
    <t>铅封状态,, 设置负载时间重置为非标铅封， 上位机界面负载时间不可重置</t>
  </si>
  <si>
    <t>1、负载时间重置为非标准铅封，铅封封闭
2、铅封封闭，上位机界面进行负载时间重置操作</t>
  </si>
  <si>
    <t>2、负载时间重置失败；上位机运行时间不可重置或提示重置失败</t>
  </si>
  <si>
    <t>Function_AcuRev1320_024_02_case9</t>
  </si>
  <si>
    <t>铅封状态，设置RS485配置为非标铅封，  HMI界面RS485配置不可修改</t>
  </si>
  <si>
    <t>1、RS485配置为非标准铅封
2、铅封封闭，HMI界面对RS485配置进行修改</t>
  </si>
  <si>
    <t>2、RS485配置修改失败；HMI上RS485配置不可修改</t>
  </si>
  <si>
    <t>铅封状态，设置网络配置配置为非标铅封，HMI界面 网络配置配置不可修改</t>
  </si>
  <si>
    <t>1、网络配置为非标准铅封
2、铅封封闭，HMI界面对网络配置进行修改</t>
  </si>
  <si>
    <t>2、网络配置修改失败；HMI上网络配置不可修改</t>
  </si>
  <si>
    <t>Function_AcuRev1320_024_02_case11</t>
  </si>
  <si>
    <t>铅封状态，设置通信协议配置为非标铅封，HMI界面 通信协议配置不可修改</t>
  </si>
  <si>
    <t>1、通信协议配置为非标准铅封
2、铅封封闭，HMI界面对通信协议开关配置进行修改</t>
  </si>
  <si>
    <t>2、通信协议开关配置修改失败；HMI上通信协议开关配置不可修改</t>
  </si>
  <si>
    <t>Function_AcuRev1320_024_02_case12</t>
  </si>
  <si>
    <t>铅封状态,  设置运行时间重置为非标铅封， HMI界面运行时间不可重置</t>
  </si>
  <si>
    <t>1、运行时间重置为非标准铅封
2、铅封封闭，HMI界面进行运行时间重置操作</t>
  </si>
  <si>
    <t>2、运行时间重置失败；HMI上运行时间不可重置</t>
  </si>
  <si>
    <t>Function_AcuRev1320_024_02_case13</t>
  </si>
  <si>
    <t>铅封状态,, 设置负载时间重置为非标铅封， HMI界面负载时间不可重置</t>
  </si>
  <si>
    <t>1、负载时间重置为非标准铅封
2、铅封封闭，HMI界面进行负载时间重置操作</t>
  </si>
  <si>
    <t>2、负载时间重置失败；HMI上负载时间不可重置</t>
  </si>
  <si>
    <t>Function_AcuRev1320_024_02_case14</t>
  </si>
  <si>
    <t>铅封状态，上位机无法修改DI配置，无法清除DI Counter</t>
  </si>
  <si>
    <t>1、在上位机修改DI 类型为脉冲计数类型，清除DI Counter
2、铅封封闭，在上位机修改DI 类型为脉冲计数类型，清除DI Counter</t>
  </si>
  <si>
    <t>1、 修改成功，清除成功
2、修改失败，清除失败【按键置灰或调用后提示铅封状态】</t>
  </si>
  <si>
    <t>铅封状态，上位机无法修改DO配置</t>
  </si>
  <si>
    <t>1、在上位机修改DO类型，Pluse Width、Paramter Filter、Parameter参数
2、铅封封闭，在上位机修改DO类型，Pluse Width、Paramter Filter、Parameter参数</t>
  </si>
  <si>
    <t>1、 修改成功，可以正常生效
2、修改失败【按键置灰或调用后提示铅封状态】</t>
  </si>
  <si>
    <t>铅封状态，HMI界面无法修改DI配置</t>
  </si>
  <si>
    <t>1、在HMI界面修改DI 类型为脉冲计数类型，清除DI Counter
2、铅封封闭，在HMI界面修改DI 类型为脉冲计数类型，清除DI Counter</t>
  </si>
  <si>
    <t>1、 修改成功，清除成功
2、修改失败，清除失败</t>
  </si>
  <si>
    <t>Function_AcuRev1320_024_02_case17</t>
  </si>
  <si>
    <t>铅封状态，HMI界面无法修改DO配置</t>
  </si>
  <si>
    <t>1、在HMI界面修改DO类型，Pluse Width、Paramter Filter、Parameter参数
2、铅封封闭，在HMI界面修改DO类型，Pluse Width、Paramter Filter、Parameter参数</t>
  </si>
  <si>
    <t>1、 修改成功，可以正常生效
2、修改失败</t>
  </si>
  <si>
    <t>Function_AcuRev1320_024_02_case18</t>
  </si>
  <si>
    <t>配置Ethernet Setting 为非标准铅封，铅封封闭，上位机调用Reset Network失败</t>
  </si>
  <si>
    <t>1、 配置Ethernet Setting 为非标准铅封
2、 铅封封闭
3、 上位机或HMI上调用Reset Network</t>
  </si>
  <si>
    <t>3、 调用失败，检查tcp网络相关配置未重置</t>
  </si>
  <si>
    <t>校准功能</t>
    <phoneticPr fontId="10" type="noConversion"/>
  </si>
  <si>
    <t>校准功能</t>
  </si>
  <si>
    <t>Function_AcuRev1320_025_01_case1</t>
    <phoneticPr fontId="10" type="noConversion"/>
  </si>
  <si>
    <t>CT选型5A/333mV,源输入相电压、电流，校准功能正常</t>
    <phoneticPr fontId="10" type="noConversion"/>
  </si>
  <si>
    <t>1、Acuview2上位机
2、网线/RTU串口线
3、AcuRev1320电表
4、铅封未封闭
5、接入源
6、上位机Setting -Metering-General 页面，将In Method 配置为“Measured”
7、Independent Input Channel 使能</t>
    <phoneticPr fontId="10" type="noConversion"/>
  </si>
  <si>
    <t>1、电表CT选型5A/333mV，配置频率为50HZ，重启电表
2、源输入三路电压幅值均为120V，相位(0°,  240°, 120°)，四路电流幅值为2.5A，相位均为60°，频率为50HZ
3、通过串口工具下发全通路的校准指令，等待1min以上的时间后重启电表
4、源输入三路电压幅值均为120V，相位(0°,  240°, 120°)，四路电流幅值为2.5A，相位均为60°，频率为50HZ
5、上位机检查ABC三相电压幅值和角度，三路电流幅值和角度
6、电表CT选型5A/333mV，配置频率为60HZ，重启电表
7、源输入三路电压幅值均为120V，相位(0°,  240°, 120°)，四路电流幅值为2.5A，相位均为60°，频率为60HZ
8、通过串口工具下发全通路的校准指令，等待1min以上的时间后重启电表
9、源输入三路电压幅值均为120V，相位(0°,  240°, 120°)，四路电流幅值为2.5A，相位均为60°，频率为60HZ
10、上位机检查ABC三相电压幅值和角度，三路电流幅值和角度</t>
    <phoneticPr fontId="10" type="noConversion"/>
  </si>
  <si>
    <t>5、ABC三相电压幅值精度满足0.1%，相位精度满足±0.1°；四路电流幅值精度满足0.1%，相位精度满足±0.1°
10、ABC三相电压幅值精度满足0.1%，相位精度满足±0.1°；四路电流幅值精度满足0.1%，相位精度满足±0.1°</t>
    <phoneticPr fontId="10" type="noConversion"/>
  </si>
  <si>
    <t>Function_AcuRev1320_025_01_case2</t>
  </si>
  <si>
    <t>CT选型20A/100mA,源输入相电压、电流，校准功能正常</t>
  </si>
  <si>
    <t>1、电表CT选型20A/100mA，配置频率为50HZ，重启电表
2、源输入三路电压幅值均为120V，相位(0°,  240°, 120°)，四路电流幅值为10A，相位均为60°，频率为50HZ
3、通过串口工具下发全通路的校准指令，等待1min以上的时间后重启电表
4、源输入三路电压幅值均为120V，相位(0°,  240°, 120°)，四路电流幅值为10A，相位均为60°，频率为50HZ
5、上位机检查ABC三相电压幅值和角度，三路电流幅值和角度
6、电表CT选型20A/100mA，配置频率为60HZ，重启电表
7、源输入三路电压幅值均为120V，相位(0°,  240°, 120°)，四路电流幅值为10A，相位均为60°，频率为60HZ
8、通过串口工具下发全通路的校准指令，等待1min以上的时间后重启电表
9、源输入三路电压幅值均为120V，相位(0°,  240°, 120°)，四路电流幅值为10A，相位均为60°，频率为60HZ
10、上位机检查ABC三相电压幅值和角度，三路电流幅值和角度</t>
    <phoneticPr fontId="10" type="noConversion"/>
  </si>
  <si>
    <t>Function_AcuRev1320_025_01_case3</t>
    <phoneticPr fontId="10" type="noConversion"/>
  </si>
  <si>
    <t>CT选型5A/RCT,源输入相电压、电流，校准功能正常</t>
    <phoneticPr fontId="10" type="noConversion"/>
  </si>
  <si>
    <t>1、电表CT选型5A/RCT，配置频率为50HZ，重启电表
2、源输入三路电压幅值均为120V，相位(0°,  240°, 120°)，四路电流幅值为0.75075A，相位均为150°，频率为50HZ
3、通过串口工具下发全通路的校准指令，等待1min以上的时间后重启电表
4、源输入三路电压幅值均为120V，相位(0°,  240°, 120°)，四路电流幅值为0.75075A，相位均为150°，频率为50HZ
5、上位机检查ABC三相电压幅值和角度，三路电流幅值（2.5A）和角度(60°)
6、电表CT选型20A/100mA，配置频率为60HZ，重启电表
7、源输入三路电压幅值均为120V，相位(0°,  240°, 120°)，四路电流幅值为0.9009A，相位均为150°，频率为60HZ
8、通过串口工具下发全通路的校准指令，等待1min以上的时间后重启电表
9、源输入三路电压幅值均为120V，相位(0°,  240°, 120°)，四路电流幅值为0.9009A，相位均为150°，频率为60HZ
10、上位机检查ABC三相电压幅值和角度，三路电流幅值（2.5A）和角度(60°)</t>
    <phoneticPr fontId="10" type="noConversion"/>
  </si>
  <si>
    <t>Function_AcuRev1320_025_01_case4</t>
  </si>
  <si>
    <t>4路电流串联后统一校表</t>
    <phoneticPr fontId="10" type="noConversion"/>
  </si>
  <si>
    <t>1、Acuview2上位机
2、网线/RTU串口线
3、AcuRev1320电表
4、铅封未封闭
5、接入源</t>
  </si>
  <si>
    <t>模拟工厂校表方式，4路电流串联后统一校表
备注：详见文档</t>
    <phoneticPr fontId="10" type="noConversion"/>
  </si>
  <si>
    <t>校表后精度均满足要求</t>
  </si>
  <si>
    <t>Function_AcuRev1320_025_01_case5</t>
  </si>
  <si>
    <t>电表重启，电表精度不受影响</t>
    <phoneticPr fontId="10" type="noConversion"/>
  </si>
  <si>
    <t>1、电表已完成校准
2、 通过上位机检查电表的电压电流的幅值与相角精度符合预期
3、掉电重启电表
4、 通过上位机检查电表的电压电流的幅值与相角精度符合预期</t>
    <phoneticPr fontId="10" type="noConversion"/>
  </si>
  <si>
    <t>4、 电表掉电重启，精度不受影响</t>
    <phoneticPr fontId="10" type="noConversion"/>
  </si>
  <si>
    <t>Function_AcuRev1320_025_01_case6</t>
  </si>
  <si>
    <t>电表升级，电表精度不受影响</t>
    <phoneticPr fontId="10" type="noConversion"/>
  </si>
  <si>
    <t>1、电表已完成校准
2、 通过上位机检查电表的电压电流的幅值与相角精度符合预期
3、电表升级后启动
2、 通过上位机检查电表的电压电流的幅值与相角精度符合预期</t>
    <phoneticPr fontId="10" type="noConversion"/>
  </si>
  <si>
    <t>HMI测量设置及出厂信息</t>
  </si>
  <si>
    <t>Function_AcuRev1320_026_01_case1</t>
    <phoneticPr fontId="10" type="noConversion"/>
  </si>
  <si>
    <t>1、 HMI上检查Readings的Real-time目录下的所有页面</t>
  </si>
  <si>
    <t>1、检查所有显示布局正常，数值显示为实际值，指示单词拼写及大小写正确，单位拼写及大小写正确</t>
  </si>
  <si>
    <t>Function_AcuRev1320_026_01_case3</t>
  </si>
  <si>
    <t>HMI上检查Readings 页面中，Max Remand 目录下的所有页面</t>
  </si>
  <si>
    <t>1、 HMI上检查Readings的Max Demand目录下的所有页面</t>
  </si>
  <si>
    <t>Function_AcuRev1320_026_01_case4</t>
  </si>
  <si>
    <t>HMI上检查Readings 页面中，Energy 目录下的所有页面</t>
  </si>
  <si>
    <t>1、 HMI上检查Readings的Energy 目录下的所有页面</t>
  </si>
  <si>
    <t>Function_AcuRev1320_026_01_case5</t>
  </si>
  <si>
    <t>HMI上检查Readings 页面中，Power Quality 目录下的所有页面</t>
  </si>
  <si>
    <t>1、 HMI上检查Readings的Power Quality目录下的所有页面</t>
  </si>
  <si>
    <t>Function_AcuRev1320_026_01_case7</t>
  </si>
  <si>
    <t>HMI上检查Readings 页面中，IO目录下的所有页面</t>
  </si>
  <si>
    <t>1、 HMI上检查Readings的IO目录下的所有页面</t>
  </si>
  <si>
    <t>Function_AcuRev1320_026_01_case8</t>
    <phoneticPr fontId="10" type="noConversion"/>
  </si>
  <si>
    <t>HMI上检查Dual Source Energy的Dual source energy enable/disable 参数配置</t>
    <phoneticPr fontId="10" type="noConversion"/>
  </si>
  <si>
    <t>1、 HMI 上配置Dual Source Energy 的使能参数
2、 检查HMI 界面参数的单词拼写正确，
3、 检查支持配置Enable 、Disable，并且不能配置其他值</t>
    <phoneticPr fontId="10" type="noConversion"/>
  </si>
  <si>
    <t>2、 界面显示布局正常，指示单词拼写正确
3、 配置可以成功，不支持其余值</t>
    <phoneticPr fontId="10" type="noConversion"/>
  </si>
  <si>
    <t>Function_AcuRev1320_026_01_case9</t>
  </si>
  <si>
    <t>HMI上检查Dual Source Energy的Energy 1 selection参数配置</t>
    <phoneticPr fontId="10" type="noConversion"/>
  </si>
  <si>
    <t>1、 HMI 上配置Dual Source Energy 的Energy 1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10" type="noConversion"/>
  </si>
  <si>
    <t>Function_AcuRev1320_026_01_case10</t>
  </si>
  <si>
    <t>HMI上检查Dual Source Energy的Energy 2 selection参数配置</t>
    <phoneticPr fontId="10" type="noConversion"/>
  </si>
  <si>
    <t>1、 HMI 上配置Dual Source Energy 的Energy 2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10" type="noConversion"/>
  </si>
  <si>
    <t>Function_AcuRev1320_026_01_case11</t>
  </si>
  <si>
    <t>HMI上检查Dual Source Energy的Energy 3 selection参数配置</t>
    <phoneticPr fontId="10" type="noConversion"/>
  </si>
  <si>
    <t>1、 HMI 上配置Dual Source Energy 的Energy 3 selection参数
2、 检查HMI 界面参数的单词拼写正确，
3、 检查支持配置以下参数，并且不能配置其他值：
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10" type="noConversion"/>
  </si>
  <si>
    <t>Function_AcuRev1320_026_01_case12</t>
  </si>
  <si>
    <t>HMI上检查Dual Source Energy的Control modeL参数配置</t>
    <phoneticPr fontId="10" type="noConversion"/>
  </si>
  <si>
    <t>1、 HMI 上配置Dual Source Energy 的Control modeL参数
2、 检查HMI 界面参数的单词拼写正确，
3、 检查支持配置以下参数，并且不能配置其他值：
0: Controlled by communication
1 ~ 3: Controlled by DI1-DI3</t>
    <phoneticPr fontId="10" type="noConversion"/>
  </si>
  <si>
    <t>Function_AcuRev1320_026_01_case13</t>
  </si>
  <si>
    <t>HMI上检查Dual Source Energy的Direction flag参数配置</t>
    <phoneticPr fontId="10" type="noConversion"/>
  </si>
  <si>
    <t>1、 HMI 上配置Dual Source Energy 的Direction flag参数
2、 检查HMI 界面参数的单词拼写正确，
3、 检查支持配置以下参数，并且不能配置其他值：
0: grid direction; 1: generator direction.</t>
    <phoneticPr fontId="10" type="noConversion"/>
  </si>
  <si>
    <t>Function_AcuRev1320_026_01_case14</t>
    <phoneticPr fontId="10" type="noConversion"/>
  </si>
  <si>
    <t>HMI上检查Independent Input Channel的Enable 配置</t>
    <phoneticPr fontId="10" type="noConversion"/>
  </si>
  <si>
    <t>Function_AcuRev1320_026_01_case15</t>
  </si>
  <si>
    <t>HMI上检查Independent Input Channel的I1 power calculation Voltage selection 配置</t>
    <phoneticPr fontId="10" type="noConversion"/>
  </si>
  <si>
    <t>1、 HMI 上配置Independent Input Channel的I1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10" type="noConversion"/>
  </si>
  <si>
    <t>2、 界面显示布局正常，指示单词拼写正确
3、 遍历6种接线方式，检查参数支持配置对应的值，且不能配置当前接线方式不支持的其他值：</t>
    <phoneticPr fontId="10" type="noConversion"/>
  </si>
  <si>
    <t>HMI测量设置及出厂信息</t>
    <phoneticPr fontId="10" type="noConversion"/>
  </si>
  <si>
    <t>Function_AcuRev1320_026_01_case16</t>
  </si>
  <si>
    <t>HMI上检查Independent Input Channel的I2 power calculation Voltage selection 配置</t>
    <phoneticPr fontId="10" type="noConversion"/>
  </si>
  <si>
    <t>1、 HMI 上配置Independent Input Channel的I2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10" type="noConversion"/>
  </si>
  <si>
    <t>Function_AcuRev1320_026_01_case17</t>
  </si>
  <si>
    <t>HMI上检查Independent Input Channel的I3 power calculation Voltage selection 配置</t>
    <phoneticPr fontId="10" type="noConversion"/>
  </si>
  <si>
    <t>1、 HMI 上配置Independent Input Channel的I3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10" type="noConversion"/>
  </si>
  <si>
    <t>Function_AcuRev1320_026_01_case18</t>
  </si>
  <si>
    <t>HMI上检查Independent Input Channel的I4 power calculation Voltage selection 配置</t>
    <phoneticPr fontId="10" type="noConversion"/>
  </si>
  <si>
    <t>1、 HMI 上配置Independent Input Channel的I4 power calculation Voltage selection 参数
2、 检查HMI 界面参数的单词拼写正确
3、 遍历6种接线方式，检查参数支持配置对应的值，且不能配置当前接线方式不支持的其他值：
全部可支持配置的值如下：
0: disable
1: Va
2: Vb
3: Vc
4: Vab
5: Vbc
6: Vca</t>
    <phoneticPr fontId="10" type="noConversion"/>
  </si>
  <si>
    <t>HMI上检查Independent Input Channel的Summation 1 channel config 和Summation 2 channel config配置</t>
    <phoneticPr fontId="10" type="noConversion"/>
  </si>
  <si>
    <t>1、 HMI 上配置Independent Input Channel的Summation 1 channel config 和Summation 2 channel config参数
2、 检查HMI 界面参数的单词拼写正确
3、 Summation 1 channel config 配置Input1、Input2
4、 Summation 2 channel config 配置Input3、Inpu4
5、 检查两个参数可共同配置Input1-4，可重复配置</t>
    <phoneticPr fontId="10" type="noConversion"/>
  </si>
  <si>
    <t>2、 界面显示布局正常，指示单词拼写正确
3-4、 配置成功
5、 检查可以重复配置</t>
    <phoneticPr fontId="10" type="noConversion"/>
  </si>
  <si>
    <t>Function_AcuRev1320_026_01_case20</t>
    <phoneticPr fontId="10" type="noConversion"/>
  </si>
  <si>
    <t>电表Independent Input Channel 配置为Enable时，检查Reading的Real-time 测量值</t>
    <phoneticPr fontId="10" type="noConversion"/>
  </si>
  <si>
    <t>1、 电表Independent Input Channel 配置为Enable
2、 检查HMI Reading 的Real-time 测量值</t>
    <phoneticPr fontId="10" type="noConversion"/>
  </si>
  <si>
    <t>2、 Real-time 测量的参数项目与测试值与上位机一致
备注： 同时结合Modbus地址表检查</t>
    <phoneticPr fontId="10" type="noConversion"/>
  </si>
  <si>
    <t>电表Independent Input Channel 配置为Enable时，检查Reading的Energy 测量值</t>
    <phoneticPr fontId="10" type="noConversion"/>
  </si>
  <si>
    <t>1、 电表Independent Input Channel 配置为Enable
2、 检查HMI Reading 的Energy测量值</t>
    <phoneticPr fontId="10" type="noConversion"/>
  </si>
  <si>
    <t>2、 Energy 测量的参数项目与测试值与上位机一致
备注： 同时结合Modbus地址表检查</t>
    <phoneticPr fontId="10" type="noConversion"/>
  </si>
  <si>
    <t>电表Independent Input Channel 配置为Enable时，检查Reading的Max&amp;Min测量值</t>
    <phoneticPr fontId="10" type="noConversion"/>
  </si>
  <si>
    <t>1、 电表Independent Input Channel 配置为Enable
2、 检查HMI Reading 的Max&amp;Min 测量值</t>
    <phoneticPr fontId="10" type="noConversion"/>
  </si>
  <si>
    <t>2、 Max&amp;Min测量的参数项目与测试值与上位机一致
备注： 同时结合Modbus地址表检查</t>
    <phoneticPr fontId="10" type="noConversion"/>
  </si>
  <si>
    <t>Function_AcuRev1320_026_01_case23</t>
  </si>
  <si>
    <t>电表Independent Input Channel 配置为Enable时，检查Reading的Demand 测量值</t>
    <phoneticPr fontId="10" type="noConversion"/>
  </si>
  <si>
    <t>1、 电表Independent Input Channel 配置为Enable
2、 检查HMI Reading 的Demand测量值</t>
    <phoneticPr fontId="10" type="noConversion"/>
  </si>
  <si>
    <t>2、 Demand 测量的参数项目与测试值与上位机一致
备注： 同时结合Modbus地址表检查</t>
    <phoneticPr fontId="10" type="noConversion"/>
  </si>
  <si>
    <t>电表Independent Input Channel 配置为Enable时，检查Reading的Max Demand测量值</t>
    <phoneticPr fontId="10" type="noConversion"/>
  </si>
  <si>
    <t>1、 电表Independent Input Channel 配置为Enable
2、 检查HMI Reading 的Max Demand测量值</t>
    <phoneticPr fontId="10" type="noConversion"/>
  </si>
  <si>
    <t>2、 Max Demand 测量的参数项目与测试值与上位机一致
备注： 同时结合Modbus地址表检查</t>
    <phoneticPr fontId="10" type="noConversion"/>
  </si>
  <si>
    <t>Function_AcuRev1320_026_01_case25</t>
  </si>
  <si>
    <t>电表Independent Input Channel 配置为Enable时，检查Reading的THD测量值</t>
    <phoneticPr fontId="10" type="noConversion"/>
  </si>
  <si>
    <t>1、 电表Independent Input Channel 配置为Enable
2、 检查HMI Reading 的THD测量值</t>
    <phoneticPr fontId="10" type="noConversion"/>
  </si>
  <si>
    <t>2、 THD 测量的参数项目与测试值与上位机一致
备注： 同时结合Modbus地址表检查</t>
    <phoneticPr fontId="10" type="noConversion"/>
  </si>
  <si>
    <t>电表Independent Input Channel 配置为Disable时，检查Reading的Real-time 测量值</t>
    <phoneticPr fontId="10" type="noConversion"/>
  </si>
  <si>
    <t>Function_AcuRev1320_026_01_case27</t>
  </si>
  <si>
    <t>电表Independent Input Channel 配置为Disable时，检查Reading的Energy 测量值</t>
    <phoneticPr fontId="10" type="noConversion"/>
  </si>
  <si>
    <t>电表Independent Input Channel 配置为Disable时，检查Reading的Max&amp;Min测量值</t>
    <phoneticPr fontId="10" type="noConversion"/>
  </si>
  <si>
    <t>1、 电表Independent Input Channel 配置为Disable
2、 检查HMI Reading 的Max&amp;Min 测量值</t>
    <phoneticPr fontId="10" type="noConversion"/>
  </si>
  <si>
    <t>Function_AcuRev1320_026_01_case29</t>
  </si>
  <si>
    <t>电表Independent Input Channel 配置为Disable时，检查Reading的Demand 测量值</t>
    <phoneticPr fontId="10" type="noConversion"/>
  </si>
  <si>
    <t>1、 电表Independent Input Channel 配置为Disable
2、 检查HMI Reading 的Demand测量值</t>
    <phoneticPr fontId="10" type="noConversion"/>
  </si>
  <si>
    <t>Function_AcuRev1320_026_01_case30</t>
  </si>
  <si>
    <t>1、 电表Independent Input Channel 配置为Disable
2、 检查HMI Reading 的Max Demand测量值</t>
    <phoneticPr fontId="10" type="noConversion"/>
  </si>
  <si>
    <t>Function_AcuRev1320_026_01_case31</t>
  </si>
  <si>
    <t>1、 电表Independent Input Channel 配置为Disable
2、 检查HMI Reading 的THD测量值</t>
    <phoneticPr fontId="10" type="noConversion"/>
  </si>
  <si>
    <t>Function_AcuRev1320_026_01_case32</t>
    <phoneticPr fontId="10" type="noConversion"/>
  </si>
  <si>
    <t>1、弹窗提示通信繁忙</t>
    <phoneticPr fontId="10" type="noConversion"/>
  </si>
  <si>
    <t>Function_AcuRev1320_026_01_case33</t>
  </si>
  <si>
    <t>HMI上检查Logs目录下，Set PQ Event Log的页面</t>
  </si>
  <si>
    <t>1、 HMI上检查Logs目录下，Set PQ Event Log 页面的内容</t>
  </si>
  <si>
    <t>1、检查显示正常，布局符合预期，可配的日志ID默认为000，可修改至已有日志ID的最大值，指示单词拼写及大小写正确，单位拼写及大小写正确。</t>
  </si>
  <si>
    <t>2、检查日志内容显示正常，布局符合预期，已配置预期显示的日志，显示内容符合预期，指示单词拼写及大小写正确，单位拼写及大小写正确</t>
  </si>
  <si>
    <t>Function_AcuRev1320_026_01_case35</t>
  </si>
  <si>
    <t>HMI上检查Logs目录下，没有读取日志时，Check PQ Event Log 中显示</t>
  </si>
  <si>
    <t>1、 Set PQ Event Log 页面配置读取Log 的ID 为0
2、 HMI上检查Logs目录下，Check PQ Event Log 页面的内容</t>
  </si>
  <si>
    <t>2、提示“There is no pq event log”</t>
  </si>
  <si>
    <t>Function_AcuRev1320_026_01_case36</t>
  </si>
  <si>
    <t>HMI上检查Logs页面中，Set Alarm Log 中显示正常，布局符合预期，可配的日志ID默认为000，可修改至最大值，指示单词拼写及大小写正确，单位拼写及大小写正确。</t>
  </si>
  <si>
    <t>1、 HMI上检查Logs目录下，Set Alarm Log 页面的内容</t>
  </si>
  <si>
    <t>Function_AcuRev1320_026_01_case37</t>
  </si>
  <si>
    <t>1、 Set Alarm Log 页面配置读取Log 的ID 为真实存在的ID
2、 HMI上检查Logs目录下，Check Alarm  Log 页面的内容</t>
  </si>
  <si>
    <t>Function_AcuRev1320_026_01_case38</t>
  </si>
  <si>
    <t>HMI上检查Logs目录下，没有读取日志时，Check Alarm Log 中显示</t>
  </si>
  <si>
    <t>1、 Set Alarm Log 页面配置读取Log 的ID 为0
2、 HMI上检查Logs目录下，Check Alarm Log 页面的内容</t>
  </si>
  <si>
    <t>2、提示“There is no alarm log”</t>
  </si>
  <si>
    <t>Function_AcuRev1320_026_01_case39</t>
  </si>
  <si>
    <t>HMI上检查Logs页面中，Set SOE Log 中显示正常，布局符合预期，可配的日志ID默认为000，可修改至最大值，指示单词拼写及大小写正确，单位拼写及大小写正确。</t>
  </si>
  <si>
    <t>1、 HMI上检查Logs目录下，Set SOE Log 页面的内容</t>
  </si>
  <si>
    <t>Function_AcuRev1320_026_01_case40</t>
  </si>
  <si>
    <t>HMI上检查Logs目录下，Check SOE Log 中日志显示</t>
  </si>
  <si>
    <t>1、 Set SOE Log 页面配置读取Log 的ID 为真实存在的ID
2、 HMI上检查Logs目录下，Check SOE Log 页面的内容</t>
  </si>
  <si>
    <t>Function_AcuRev1320_026_01_case41</t>
  </si>
  <si>
    <t>HMI上检查Logs目录下，没有读取日志时，Check SOE Log 中显示</t>
  </si>
  <si>
    <t>1、 Set SOE Log 页面配置读取Log 的ID 为0
2、 HMI上检查Logs目录下，Check SOE Log 页面的内容</t>
  </si>
  <si>
    <t>2、提示“There is no soe log”</t>
  </si>
  <si>
    <t>HMI上检查Logs页面中，Set Audit Log 中显示正常，布局符合预期，可配的日志ID默认为000，可修改至最大值，指示单词拼写及大小写正确，单位拼写及大小写正确。</t>
    <phoneticPr fontId="10" type="noConversion"/>
  </si>
  <si>
    <t>1、检查显示正常，布局符合预期，可配的日志ID默认为000，可修改至已有日志ID的最大值，指示单词拼写及大小写正确，单位拼写及大小写正确。</t>
    <phoneticPr fontId="10" type="noConversion"/>
  </si>
  <si>
    <t>Function_AcuRev1320_026_01_case43</t>
    <phoneticPr fontId="10" type="noConversion"/>
  </si>
  <si>
    <t>HMI上检查Logs目录下，Check Audit Log 中日志显示</t>
    <phoneticPr fontId="10" type="noConversion"/>
  </si>
  <si>
    <t>2、检查日志内容显示正常，布局符合预期，已配置预期显示的日志，显示内容符合预期，指示单词拼写及大小写正确，单位拼写及大小写正确</t>
    <phoneticPr fontId="10" type="noConversion"/>
  </si>
  <si>
    <t>Function_AcuRev1320_026_01_case44</t>
  </si>
  <si>
    <t>HMI上检查Logs目录下，没有读取日志时，Check Audit Log 中显示</t>
    <phoneticPr fontId="10" type="noConversion"/>
  </si>
  <si>
    <t>1、 Set SOE Log 页面配置读取Log 的ID 为0
2、 HMI上检查Logs目录下，Check Audit Log 页面的内容</t>
    <phoneticPr fontId="10" type="noConversion"/>
  </si>
  <si>
    <t>2、提示“There is no audit log”</t>
    <phoneticPr fontId="10" type="noConversion"/>
  </si>
  <si>
    <t>Function_AcuRev1320_026_01_case45</t>
    <phoneticPr fontId="10" type="noConversion"/>
  </si>
  <si>
    <t>HMI上检查Logs页面中，Set System Log 中显示正常，布局符合预期，可配的日志ID默认为000，可修改至最大值，指示单词拼写及大小写正确，单位拼写及大小写正确。</t>
    <phoneticPr fontId="10" type="noConversion"/>
  </si>
  <si>
    <t>1、 HMI上检查Logs目录下，Set System Log 页面的内容</t>
    <phoneticPr fontId="10" type="noConversion"/>
  </si>
  <si>
    <t>Function_AcuRev1320_026_01_case46</t>
  </si>
  <si>
    <t>HMI上检查Logs目录下，Check System Log 中日志显示</t>
    <phoneticPr fontId="10" type="noConversion"/>
  </si>
  <si>
    <t>1、 Set SOE Log 页面配置读取Log 的ID 为真实存在的ID
2、 HMI上检查Logs目录下，Check System Log 页面的内容</t>
    <phoneticPr fontId="10" type="noConversion"/>
  </si>
  <si>
    <t>Function_AcuRev1320_026_01_case47</t>
  </si>
  <si>
    <t>HMI上检查Logs目录下，没有读取日志时，Check System Log 中显示</t>
    <phoneticPr fontId="10" type="noConversion"/>
  </si>
  <si>
    <t>1、 Set SOE Log 页面配置读取Log 的ID 为0
2、 HMI上检查Logs目录下，Check System Log 页面的内容</t>
    <phoneticPr fontId="10" type="noConversion"/>
  </si>
  <si>
    <t>Function_AcuRev1320_026_01_case48</t>
  </si>
  <si>
    <t>HMI上设置需量方法，接入源，Demand method为"1"(sliding Block)，Demand update rate为1mins， Demand Interval为30mins，设置成功，首次上报为30分钟后，上报时间间隔为1mins</t>
  </si>
  <si>
    <t>1、HMI上进行需量设置如下：（setting—basic setting页面）
Demand method：1(sliding Block)
Demand update rate：5mins
Demand Interval：15mins
2、重置需量最值，时间记录为T1
3、距离最近T1最近15分钟整点开始计时T2
4、则是否T2+15分钟首次上报，过去的15分钟需量平均值(电流、功率)为0
注：需量计算数据准确性在需量计算模块用例覆盖，此处只考虑需量配置相关逻辑</t>
  </si>
  <si>
    <t>1、需量设置成功，上位机和HMI页面更新显示
Demand method：1(sliding Block)
Demand update rate：5mins
Demand Interval：15minss
4、首次上报为15分钟后，后续上报时间间隔为5mins</t>
  </si>
  <si>
    <t>Function_AcuRev1320_026_01_case49</t>
  </si>
  <si>
    <t>HMI上设置需量方法，接入源，Demand method为"1"(sliding Block)，Demand update rate为0mins， Demand Interval为31mins，设置设置失败。</t>
  </si>
  <si>
    <t>1、HMI上进行需量设置如下：（setting—basic setting页面）
Demand method：1(sliding Block)
Demand update rate：0mins
Demand Interval：31mins</t>
  </si>
  <si>
    <t>1、需量设置失败。
Demand update rate：0mins    ——非法值无法输入
Demand Interval：31mins     ——非法值无法输入</t>
  </si>
  <si>
    <t>Function_AcuRev1320_026_01_case50</t>
  </si>
  <si>
    <t>HMI上设置需量方法，接入源，Demand method为"0"(Fixed Block)，Demand update rate为5mins， Demand Interval为10mins，设置成功，首次上报为时间为当前最近首个整10分钟时刻点，后续上报时间间隔为10mins</t>
  </si>
  <si>
    <t>1、需量设置成功，上位机和HMI页面更新显示
Demand method：0 (Fixed Block)
Demand update rate：5mins
Demand Interval：10mins
2、首次上报为时间为当前最近首个整10分钟时刻点，后续上报时间间隔为10mins</t>
  </si>
  <si>
    <t>Function_AcuRev1320_026_01_case51</t>
  </si>
  <si>
    <t>HMI上设置需量方法，接入源，Demand method为"0"(Fixed Block)，Demand update rate为0mins， Demand Interval为31mins，设置设置失败。</t>
  </si>
  <si>
    <t>1、HMI上进行需量设置如下：（setting—basic setting页面）
Demand method：0 (Fixed Block)
Demand update rate：0mins
Demand Interval：31mins</t>
  </si>
  <si>
    <t>1、需量设置失败
Demand update rate：0mins    ——非法值无法输入
Demand Interval：31mins     ——非法值无法输入</t>
  </si>
  <si>
    <t>Function_AcuRev1320_026_01_case52</t>
  </si>
  <si>
    <t>HMI上设置需量方法，接入源，Demand method为2，设置设置失败。</t>
  </si>
  <si>
    <t>1、HMI上进行需量设置如下：（setting—basic setting页面）
Demand method：2   ( 0 Fixed Block、1sliding Block)</t>
  </si>
  <si>
    <t>1、需量设置失败
Demand method：2    ——非法值无法输入</t>
  </si>
  <si>
    <t>Function_AcuRev1320_026_01_case53</t>
  </si>
  <si>
    <t>HMI上设置能量脉冲参数，Pulse LED parameter selection设为0,  Energy pulse constant设为0.1，      Pulse LED width设为20，参数设置成功。     --脉冲精度在脉冲章节覆盖</t>
  </si>
  <si>
    <t>1、HMI上进行能量脉冲参数设置如下：（setting—basic setting页面）
Pulse LED parameter selection：0
Energy pulse constant：0.1
Pulse LED width：20
2、连接AcuRev1320电表到Acuview2上，查看能量脉冲参数
注：脉冲精度在脉冲章节覆盖</t>
  </si>
  <si>
    <t>1、能量脉冲参数设置成功
2、上位机和HMI页面更新显示
Pulse LED parameter selection：0
Energy pulse constant：0.1
Pulse LED width：20</t>
  </si>
  <si>
    <t>Function_AcuRev1320_026_01_case54</t>
  </si>
  <si>
    <t>HMI上设置能量脉冲参数，Pulse LED parameter selection设为360,Energy pulse constant设为100000.000,Pulse LED width设为100，参数设置成功</t>
  </si>
  <si>
    <t>1、能量脉冲参数设置成功
2、上位机和HMI页面更新显示
Pulse LED parameter selection：360
Energy pulse constant：100000.000
Pulse LED width：100</t>
  </si>
  <si>
    <t>Function_AcuRev1320_026_01_case55</t>
  </si>
  <si>
    <t>HMI上设置能量脉冲参数，Pulse LED parameter selection设为2,  Energy pulse constant设为99999.000, Pulse LED width设为50，参数设置成功</t>
  </si>
  <si>
    <t>1、HMI上进行能量脉冲参数设置如下：（setting—basic setting页面）
Pulse LED parameter selection：2
Energy pulse constant：99999.000
Pulse LED width：50
2、连接AcuRev1320电表到Acuview2上，查看能量脉冲参数
注：脉冲精度在脉冲章节覆盖，此用例只考虑配置成功</t>
  </si>
  <si>
    <t>1、能量脉冲参数设置成功
2、上位机和HMI页面更新显示
Pulse LED parameter selection：2
Energy pulse constant：99999.000
Pulse LED width：50</t>
  </si>
  <si>
    <t>Function_AcuRev1320_026_01_case56</t>
  </si>
  <si>
    <t>HMI上设置能量脉冲参数，Pulse LED parameter selection设为361,Energy pulse constant设为99999.000, Pulse LED width设为50，参数设置失败</t>
  </si>
  <si>
    <t>1、HMI上进行能量脉冲参数设置如下：（setting—basic setting页面）
Pulse LED parameter selection：361
Energy pulse constant：99999.000
Pulse LED width：50
注：脉冲精度在脉冲章节覆盖</t>
  </si>
  <si>
    <t>1、能量脉冲参数设置失败
Pulse LED parameter selection：361   ——非法值无法输入</t>
  </si>
  <si>
    <t>Function_AcuRev1320_026_01_case57</t>
  </si>
  <si>
    <t>HMI上设置能量脉冲参数，Pulse LED parameter selection设为360,Energy pulse constant设为100000.001,Pulse LED width设为50，参数设置失败</t>
  </si>
  <si>
    <t>1、HMI上进行能量脉冲参数设置如下：（setting—basic setting页面）
Pulse LED parameter selection：360
Energy pulse constant：100000.001
Pulse LED width：50
注：脉冲精度在脉冲章节覆盖</t>
  </si>
  <si>
    <t>1、能量脉冲参数设置失败
Energy pulse constant：100000.001   ——非法值无法输入</t>
  </si>
  <si>
    <t>Function_AcuRev1320_026_01_case58</t>
  </si>
  <si>
    <t>HMI上设置能量脉冲参数，Pulse LED parameter selection设为360,Energy pulse constant设为0.01,Pulse LED width设为50，参数设置失败</t>
  </si>
  <si>
    <t>1、HMI上进行能量脉冲参数设置如下：（setting—basic setting页面）
Pulse LED parameter selection：360
Energy pulse constant：0.01
Pulse LED width：50
注：脉冲精度在脉冲章节覆盖</t>
  </si>
  <si>
    <t>1、能量脉冲参数设置失败
Energy pulse constant：0.01   ——非法值无法输入</t>
  </si>
  <si>
    <t>Function_AcuRev1320_026_01_case59</t>
  </si>
  <si>
    <t>HMI上设置能量脉冲参数，Pulse LED parameter selection设为360,Energy pulse constant设为0.001,Pulse LED width设为50，参数设置失败</t>
  </si>
  <si>
    <t>1、HMI上进行能量脉冲参数设置如下：（setting—basic setting页面）
Pulse LED parameter selection：360
Energy pulse constant：0.001
Pulse LED width：50
注：脉冲精度在脉冲章节覆盖</t>
  </si>
  <si>
    <t>1、能量脉冲参数设置失败
Energy pulse constant：0.001   ——非法值无法输入</t>
  </si>
  <si>
    <t>HMI上设置能量脉冲参数，Pulse LED parameter selection设为360,Energy pulse constant设为100000.000,Pulse LED width设为101，参数设置失败</t>
  </si>
  <si>
    <t>1、HMI上进行能量脉冲参数设置如下：（setting—basic setting页面）
Pulse LED parameter selection：360
Energy pulse constant：100000.000
Pulse LED width：101
注：脉冲精度在脉冲章节覆盖</t>
  </si>
  <si>
    <t>1、能量脉冲参数设置失败
Pulse LED width：101    ——非法值无法输入</t>
  </si>
  <si>
    <t>Function_AcuRev1320_026_01_case61</t>
  </si>
  <si>
    <t>HMI上设置能量脉冲参数，Pulse LED parameter selection设为360,Energy pulse constant设为100000.000,Pulse LED width设为19，参数设置失败</t>
  </si>
  <si>
    <t>1、HMI上进行能量脉冲参数设置如下：（setting—basic setting页面）
Pulse LED parameter selection：360
Energy pulse constant：100000.000
Pulse LED width：19
注：脉冲精度在脉冲章节覆盖</t>
  </si>
  <si>
    <t>1、能量脉冲参数设置失败
Pulse LED width：19    ——非法值无法输入</t>
  </si>
  <si>
    <t>Function_AcuRev1320_026_01_case62</t>
  </si>
  <si>
    <t>HMI上设置Frequency Selection 参数，只支持修改为50HZ或60HZ</t>
  </si>
  <si>
    <t>1、 HMI上修改Frequency Selection 参数为50HZ
2、 HMI上修改Frequency Selection 参数为60HZ
3、 HMI上检查Frequency Selection 参数可配置的值</t>
  </si>
  <si>
    <t>1-2、修改成功，可以生效
3、 检查只支持修改50HZ或60HZ，不存在其他可选的值</t>
  </si>
  <si>
    <t>Function_AcuRev1320_026_01_case63</t>
  </si>
  <si>
    <t>HMI上设置交流源接线类型(Service Configuration)分别设置为1 ELEMENT 2 WIRE、2 ELEMENT 3 WIRE 1 PHASE、2 ELEMENT 3 WIRE DELTA、2 ELEMENT 3 WIRE NETWORK、3 ELEMENT 4 WIRE Y、3 ELEMENT 4 WIRE DELTA设置参数成功。检查不支持其他参数配置。   -----功能验证接线方式章节覆盖</t>
  </si>
  <si>
    <t xml:space="preserve">1、HMI上进行交流源接线类型设置（setting—basic setting页面）
2、Service Configuration：1 ELEMENT 2 WIRE
3、连接AcuRev1320电表到Acuview2上，查看交流源接线类型
4、Service Configuration：2 ELEMENT 3 WIRE 1 PHASE
5、连接AcuRev1320电表到Acuview2上，查看交流源接线类型
6、Service Configuration：2 ELEMENT 3 WIRE DELTA
7、连接AcuRev1320电表到Acuview2上，查看交流源接线类型
8、Service Configuration：2 ELEMENT 3 WIRE NETWORK
9、连接AcuRev1320电表到Acuview2上，查看交流源接线类型
10、Service Configuration：3 ELEMENT 4 WIRE Y
11、连接AcuRev1320电表到Acuview2上，查看交流源接线类型
12、Service Configuration：3 ELEMENT 4 WIRE DELTA
13、连接AcuRev1320电表到Acuview2上，查看交流源接线类型
14、检查Service Configuration 参数不支持配置为其他值
</t>
  </si>
  <si>
    <t>HMI上设置PT1为50、51、1000000参数设置成功</t>
  </si>
  <si>
    <t>2、PT1设置成功
3、上位机和HMI页面更新显示：PT1：50
4、PT1设置成功
5、上位机和HMI页面更新显示：PT1：51
6、PT1设置成功
7、上位机和HMI页面更新显示：PT1：1000000</t>
  </si>
  <si>
    <t>Function_AcuRev1320_026_01_case65</t>
  </si>
  <si>
    <t>HMI上设置PT1为49、1000001参数设置失败</t>
  </si>
  <si>
    <t>1、HMI上进行PT1设置（setting—basic setting页面）
2、PT1：49
3、PT1：1000001</t>
  </si>
  <si>
    <t>2、PT1设置设置失败
PT1：49    ——非法值无法输入
3、PT1设置设置失败
PT1：1000001    ——非法值无法输入</t>
  </si>
  <si>
    <t>Function_AcuRev1320_026_01_case66</t>
  </si>
  <si>
    <t>HMI上设置PT2为50、51、690参数设置成功</t>
  </si>
  <si>
    <t>1、HMI上进行PT2设置（setting—basic setting页面）
2、PT2：50
3、连接AcuRev1320电表到Acuview2上，查看PT2
4、PT2：51
5、连接AcuRev1320电表到Acuview2上，查看PT2
6、PT2：690
7、连接AcuRev1320电表到Acuview2上，查看PT2</t>
  </si>
  <si>
    <t>2、PT2设置成功
3、上位机和HMI页面更新显示：PT2：50
4、PT2设置成功
5、上位机和HMI页面更新显示：PT2：51
6、PT2设置成功
7、上位机和HMI页面更新显示：PT2：690</t>
    <phoneticPr fontId="10" type="noConversion"/>
  </si>
  <si>
    <t>Function_AcuRev1320_026_01_case67</t>
  </si>
  <si>
    <t>HMI上设置PT2为49、691参数设置失败</t>
  </si>
  <si>
    <t>1、HMI上进行PT2设置（setting—basic setting页面）
2、PT2：49
3、PT2：691</t>
    <phoneticPr fontId="10" type="noConversion"/>
  </si>
  <si>
    <t>2、PT2设置设置失败
PT2：49    ——非法值无法输入
3、PT2设置设置失败
PT2：691    ——非法值无法输入</t>
  </si>
  <si>
    <t>Function_AcuRev1320_026_01_case68</t>
  </si>
  <si>
    <t>HMI上设置VAR/PF Convention为IEC、IEEE，参数设置成功。检查不支持配置为其他值。</t>
  </si>
  <si>
    <t>1、HMI上进行VAR/PF Convention设置（setting—basic setting页面）
2、VAR/PF Convention：IEC
3、连接AcuRev1320电表到Acuview2上，查看VAR/PF Convention
4、VAR/PF Convention：IEEE
5、连接AcuRev1320电表到Acuview2上，查看VAR/PF Convention
6、 检查VAR/RF Convention 参数不支持配置其他值</t>
  </si>
  <si>
    <t>2、VAR/PF Convention设置成功
3、上位机和HMI页面更新显示
VAR/PF Convention：IEC
4、VAR/PF Convention设置成功
5、上位机和HMI页面更新显示
VAR/PF Convention：IEEE
6、 VAR/RF Convention 参数不支持配置其他值</t>
  </si>
  <si>
    <t>Function_AcuRev1320_026_01_case69</t>
  </si>
  <si>
    <t>HMI上设置VAR/PF Convention为IEC，参数设置成功，无功功率因素遵循IEC标准。  备注: 无功功率 Q（感性负载）是正数， 无功功率 Q（容性负载）是负数</t>
  </si>
  <si>
    <t>Function_AcuRev1320_026_01_case70</t>
  </si>
  <si>
    <t>1、HMI上进行设置：VAR/PF Convention：IEEE
2、查看无功功率因素是否遵循IEEE标准:
设置电压电流夹角为30°，功率因素为负数
设置电压电流夹角为120°，功率因素为正数
设置电压电流夹角为240°，功率因素为负数
设置电压电流夹角为300°，功率因素为正数</t>
  </si>
  <si>
    <t>Function_AcuRev1320_026_01_case71</t>
  </si>
  <si>
    <t xml:space="preserve">HMI上设置Reactive Power Calculation Method为 True Reactive Power、 Generic Reactive Power，参数设置成功，检查Reactive Power Calculation Method 参数不支持配置其他值。 </t>
  </si>
  <si>
    <t>2、Reactive Power Calculation Method设置成功，上位机和HMI页面更新显示
Reactive Power Calculation Method：Generic Reactive Power
3、Reactive Power Calculation Method设置成功，上位机和HMI页面更新显示
Reactive Power Calculation Method：True Reactive Power 
4、 Reactivr Power Calculation Method 不支持配置其他参数</t>
  </si>
  <si>
    <t>Function_AcuRev1320_026_01_case72</t>
  </si>
  <si>
    <t>HMI上进行Phase order设置，配置为ABC、ACB；参数设置成功，不支持配置其他参数</t>
  </si>
  <si>
    <t>1、HMI上进行Phase order设置（setting—basic setting页面）
2、Phase order：ABC
3、Phase order：ACB
4、 检查Phase order 不支持配置其他参数</t>
  </si>
  <si>
    <t>2、Phase order设置成功，上位机和HMI页面更新显示
Phase order：ABC
3、Phase order设置成功，上位机和HMI页面更新显示
Phase order：ACB
4、 Phase order 不支持配置其他参数</t>
  </si>
  <si>
    <t>HMI上设置Energy Reading Display format为0，参数设置成功,Energy Reading显示格式为Primary in 0.1 kWh。</t>
  </si>
  <si>
    <t>Function_AcuRev1320_026_01_case74</t>
  </si>
  <si>
    <t>HMI上设置Energy Reading Display format为1，参数设置成功,Energy Reading显示格式为Primary in 0.01kWh</t>
  </si>
  <si>
    <t>2、Energy Reading Display format设置成功，上位机和HMI页面更新显示
Energy Reading Display format：0.01kWh
3、HMI和上位机Energy Reading显示格式为Primary in 0.01kWh</t>
  </si>
  <si>
    <t>Function_AcuRev1320_026_01_case75</t>
  </si>
  <si>
    <t>HMI上设置Energy Reading Display format为2，参数设置成功,Energy Reading显示格式为Primary in 0.001kWh</t>
  </si>
  <si>
    <t>2、Energy Reading Display format设置成功，上位机和HMI页面更新显示
Energy Reading Display format：0.001kWh
3、HMI和上位机Energy Reading显示格式为Primary in 0.001kWh</t>
  </si>
  <si>
    <t>Function_AcuRev1320_026_01_case76</t>
  </si>
  <si>
    <t>HMI上检查Energy Reading Display format只支持配置0.1kWh、0.01kWh、0.001kWh</t>
  </si>
  <si>
    <t>2、Energy Reading Display format 只支持配置0.1kWh、0.01kWh、0.001kWh</t>
  </si>
  <si>
    <t>Function_AcuRev1320_026_01_case77</t>
  </si>
  <si>
    <t>HMI上工厂设置和上位机上显示一致， 且显示准确、正常、无乱码、无排版错误。 工厂设置: Manufacture，Model，SN，Hardware Version，Boot version，Firmware Version，Seal，MAC。</t>
  </si>
  <si>
    <t>Function_AcuRev1320_026_01_case78</t>
  </si>
  <si>
    <t>手动写入serial number</t>
  </si>
  <si>
    <t>1、打开sscom工具，发送对应的modbus命令，进行写入SN操作
2、命令发送成功后，查看SN号是否写入成功
3、电表分别进行重启和恢复出厂后，查看写入的SN号是否仍存在且正确
4、电表进行升级后，查看SN号是否会丢失</t>
  </si>
  <si>
    <t>2、SN号写入成功
3、重启和恢复出厂后，SN号仍存在，显示正确
4、电表升级后SN号不会发生改变</t>
  </si>
  <si>
    <t>Function_AcuRev1320_026_01_case79</t>
  </si>
  <si>
    <t>手动写入硬件版本号</t>
  </si>
  <si>
    <t>1、打开sscom工具，发送对应的modbus命令，进行写入hardware操作
2、命令发送成功后，查看hardware号是否写入成功
3、电表分别进行重启和恢复出厂后，查看写入的hardware号是否仍存在且正确
4、电表进行升级后，查看hardware号是否会清空</t>
  </si>
  <si>
    <t>2、hardware号写入成功
3、重启和恢复出厂后，hardware号仍存在，显示正确
4、电表升级后hardware号不会被清空</t>
  </si>
  <si>
    <t>Function_AcuRev1320_026_01_case80</t>
  </si>
  <si>
    <t>手动写入mac地址</t>
  </si>
  <si>
    <t>1、打开sscom工具，发送对应的modbus命令，进行写入mac操作
2、命令发送成功后，查看mac号是否写入成功
3、电表分别进行重启和恢复出厂后，查看写入的mac号是否仍存在且正确
4、电表进行升级后，查看mac号是否会丢失</t>
  </si>
  <si>
    <t>2、mac号写入成功
3、重启和恢复出厂后，mac号仍存在，显示正确
4、电表升级后mac号不会发生改变</t>
  </si>
  <si>
    <t>Function_AcuRev1320_026_01_case81</t>
  </si>
  <si>
    <t>boot模式下设备型号</t>
  </si>
  <si>
    <t>1、进入boot模式下查看设备型号</t>
  </si>
  <si>
    <t>Function_AcuRev1320_026_01_case82</t>
  </si>
  <si>
    <t>HMI端时间戳英文显示</t>
  </si>
  <si>
    <t>1、在HMI端查看各个界面的时间戳，查看时间戳的英文是否正确</t>
  </si>
  <si>
    <t>1、英文表示正确</t>
  </si>
  <si>
    <t>Function_AcuRev1320_026_01_case83</t>
  </si>
  <si>
    <t>电表上电后state灯需要为1s频率闪烁</t>
  </si>
  <si>
    <t>1、电表上电，查看state灯是否为1s频率闪烁</t>
  </si>
  <si>
    <t>1、电表上电后，state灯为1s频率闪烁</t>
  </si>
  <si>
    <t>Function_AcuRev1320_026_01_case84</t>
  </si>
  <si>
    <t>HMI上日期及时间显示准确、正常、无乱码、无排版错误。</t>
  </si>
  <si>
    <t>1、电表上电
2、观察电表HMI上日期及时间显示是否准确、正常、无乱码、无排版错误。</t>
  </si>
  <si>
    <t>2、HMI上日期及时间显示准确、正常、无乱码、无排版错误。</t>
  </si>
  <si>
    <t>Function_AcuRev1320_026_01_case85</t>
  </si>
  <si>
    <t>HMI上运行时间、负载时间显示准确、正常、无乱码、无排版错误。</t>
  </si>
  <si>
    <t>1、电表上电
2、观察电表HMI上运行时间、负载时间是否准确、正常、无乱码、无排版错误。</t>
  </si>
  <si>
    <t>2、HMI上运行时间、负载时间显示准确、正常、无乱码、无排版错误。</t>
  </si>
  <si>
    <t>Function_AcuRev1320_026_01_case86</t>
  </si>
  <si>
    <t>mV型电表当电流超出最大阈值时，HMI上显示“Over Current Alarm！”</t>
  </si>
  <si>
    <t>1、 mV型电表上电，input1输入的电流不超过6.25A
2、 观察HMI界面
3、 input2输入的电流超过6.25A
4、 观察HMI界面</t>
  </si>
  <si>
    <t>2、 HMI界面上不显示“Over Current Alarm！”
4、 HMI界面上显示“Over Current Alarm！”</t>
  </si>
  <si>
    <t>Function_AcuRev1320_026_01_case87</t>
  </si>
  <si>
    <t>mA型电表当电流超出最大阈值时，HMI上显示“Over Current Alarm！”</t>
  </si>
  <si>
    <t>1、 mA型电表上电，input1输入的电流不超过25A
2、 观察HMI界面
3、 input2输入的电流超过25A
4、 观察HMI界面</t>
  </si>
  <si>
    <t>密码及背光设置</t>
    <phoneticPr fontId="10" type="noConversion"/>
  </si>
  <si>
    <t>密码及背光设置</t>
  </si>
  <si>
    <t>Function_AcuRev1320_027_01_case1</t>
  </si>
  <si>
    <t>HMI上设置密码分别为0001、1000、9999，使用设置密码可以进入对应目录，输入错误密码不可以。</t>
  </si>
  <si>
    <t>1、AcuRev1320电表HMI上密码设置界面（Setting—Maintenance—Password）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</si>
  <si>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2、设置密码0001，设置成功
3、使用0001登录，登录成功
4、设置密码1000，设置成功
5、使用1000登录，登录成功
6、设置密码9999，设置成功
7、使用9999登录，登录成功
8、输入错误4位数密码，HMI提示密码错误，登录失败</t>
  </si>
  <si>
    <t>忘记密码，利用HMI进入setting</t>
  </si>
  <si>
    <t xml:space="preserve">
2.页面提示密码错误，请联系我们
3.将电表SN号及电表当前日期通过计算得出临时密码
4.表计页面提示该临时密码只针对今天，是否要立即修改密码
5.表计立即进入重置密码界面
6.表计进入setting子菜单界面</t>
  </si>
  <si>
    <t>Function_AcuRev1320_027_01_case3</t>
  </si>
  <si>
    <t>1、AcuRev1320电表HMI上Setting
2.忘记密码后，输入错误密码
3.提供电表SN号及电表当前日期
4.输入临时密码
5.选择是
6.重置密码
7.点击确定
8.进行修改
9.修改后查看是否能继续使用临时密码</t>
  </si>
  <si>
    <t xml:space="preserve">
2.页面提示密码错误，请联系我们
3.将电表SN号及电表当前日期通过计算得出临时密码
4.表计页面提示该临时密码只针对今天，是否要立即修改密码
5.表计立即进入重置密码界面
7.表计密码重置为原密码（忘记的那个密码），表计能利用该密码进行各种设置
8.表计能利用修改后的密码进行各种设置
9.临时密码当天有效，可多次使用</t>
  </si>
  <si>
    <t>Function_AcuRev1320_027_01_case4</t>
  </si>
  <si>
    <t>1、AcuRev1320电表HMI上Setting
2.忘记密码后，输入错误密码
3.提供电表SN号及电表当前日期
4.输入临时密码
5.选择否
6.退出setting后再次进入，输入临时密码
7.选择是
8.选择否</t>
  </si>
  <si>
    <t xml:space="preserve">
2.页面提示密码错误，请联系我们
3.将电表SN号及电表当前日期通过计算得出临时密码
4.表计页面提示该临时密码只针对今天，是否要立即修改密码
5.表计进入setting子菜单界面
6.表计页面提示该临时密码只针对今天，是否要立即修改密码
7.表计立即进入重置密码界面
8.表计进入setting子菜单界面</t>
  </si>
  <si>
    <t>Function_AcuRev1320_027_01_case5</t>
  </si>
  <si>
    <t>1、AcuRev1320电表HMI上Setting
2.忘记密码后，输入错误密码
3.提供电表SN号及电表当前日期
4.输入临时密码
5.选择否
6.退出setting界面
7.修改电表时间到第二天
8.重复步骤2~4</t>
  </si>
  <si>
    <t xml:space="preserve">
2.上位机页面提示密码错误，请联系我们
3.将电表SN号及电表当前日期通过计算得出临时密码
4.上位机页面提示该临时密码只针对今天，是否要立即修改密码
5.上位机进入setting可设置界面
7.利用3中产生的临时密码不能进入setting
8.重复步骤2~4</t>
  </si>
  <si>
    <t xml:space="preserve">上位机上Tcp/Rtu, 设置密码分别为0001、1000、9999，使用设置密码可以进入对应目录，输入错误密码不可以。  </t>
  </si>
  <si>
    <t>1、Acuview2上位机
2、网线/RTU串口线
3、AcuRev4101电表</t>
    <phoneticPr fontId="10" type="noConversion"/>
  </si>
  <si>
    <t>Function_AcuRev1320_027_01_case7</t>
  </si>
  <si>
    <t>忘记密码，利用上位机进入setting</t>
  </si>
  <si>
    <t>1、分别通过Tcp/Rtu连接AcuRev1320电表到Acuview2上，链接状态为connected，密码设置界面
2.忘记密码后，输入错误密码
3.提供电表SN号及电表当前日期
4.修改general中任意参数
5.输入临时密码</t>
  </si>
  <si>
    <t xml:space="preserve">
2.上位机页面提示密码错误，请联系我们
3.将电表SN号及电表当前日期通过计算得出临时密码
4.弹出提示框要求输入密码
5.修改成功，此时密码框显示原本密码，且上位机此后修改无需再输入验证密码</t>
  </si>
  <si>
    <t>Function_AcuRev1320_027_01_case8</t>
  </si>
  <si>
    <t>1、分别通过Tcp/Rtu连接AcuRev1320电表到Acuview2上，链接状态为connected，密码设置界面
2.忘记密码后，输入错误密码
3.提供电表SN号及电表当前日期
4.修改general中任意参数
5.输入临时密码
6.给表掉电，一段时间后上电，继续输入临时密码</t>
  </si>
  <si>
    <t xml:space="preserve">
2.上位机页面提示密码错误，请联系我们
3.将电表SN号及电表当前日期通过计算得出临时密码
4.弹出提示框要求输入密码
5.修改成功，此时密码框显示原本密码，且上位机此后修改无需再输入验证密码
6.上位机重新连接，临时密码依旧有效</t>
  </si>
  <si>
    <t>Function_AcuRev1320_027_01_case9</t>
  </si>
  <si>
    <t>1、分别通过Tcp/Rtu连接AcuRev1320电表到Acuview2上，链接状态为connected，密码设置界面
2.忘记密码后，输入错误密码
3.提供电表SN号及电表当前日期
4.修改general中任意参数
5.输入临时密码
6.修改时钟到第二天
7.提供电表SN号及电表当前新日期</t>
  </si>
  <si>
    <t xml:space="preserve">
2.上位机页面提示密码错误，请联系我们
3.将电表SN号及电表当前日期通过计算得出临时密码
4.弹出提示框要求输入密码
5.修改成功，此时密码框显示原本密码，且上位机此后修改无需再输入验证密码
6.原临时密码不可用
7.新临时密码可用</t>
  </si>
  <si>
    <t>Function_AcuRev1320_027_01_case10</t>
  </si>
  <si>
    <t>HMI上默认密码为9999，回车即可进入目标目录。</t>
  </si>
  <si>
    <t>1、新电表或恢复出厂后电表
2、任意输入密码界面（如进入basic setting页面）
3、使用默认密码“0000”,登录目标界面</t>
  </si>
  <si>
    <t>3、登录目标界面成功</t>
  </si>
  <si>
    <t>Function_AcuRev1320_027_02_case1</t>
  </si>
  <si>
    <t>HMI上设置背光延迟参数0成功，电表HMI无操作，电表背光不关闭。</t>
  </si>
  <si>
    <t>1、Acuview2上位机
2、网线/RTU串口线
3、AcuRev4104电表</t>
  </si>
  <si>
    <t>1、AcuRev1320电表HMI上背光设置界面（Setting—Maintenance—LCD Backlight Time）
2、设置背光关闭时间为0min
3、HMI上按键操作后停止，观察HMI是否背光常亮状态</t>
  </si>
  <si>
    <t>3、观察到HMI常亮背光</t>
  </si>
  <si>
    <t>Function_AcuRev1320_027_02_case2</t>
  </si>
  <si>
    <t>HMI上设置背光延迟参数1成功，电表HMI无操作，等待1min LCD背光闭关。</t>
  </si>
  <si>
    <t>1、Acuview2上位机
2、网线/RTU串口线
3、AcuRev4105电表</t>
  </si>
  <si>
    <t>1、AcuRev1320电表HMI上背光设置界面（Setting—Maintenance—LCD Backlight Time）
2、设置背光关闭时间为1min
3、HMI上按键操作后停止，观察HMI背光状态</t>
  </si>
  <si>
    <t>3、观察到停止操作HMI，等待1min关闭背光</t>
  </si>
  <si>
    <t>Function_AcuRev1320_027_02_case3</t>
  </si>
  <si>
    <t>HMI上设置背光延迟参数10成功，电表HMI无操作，等待10min LCD背光闭关。</t>
  </si>
  <si>
    <t>1、Acuview2上位机
2、网线/RTU串口线
3、AcuRev4106电表</t>
  </si>
  <si>
    <t>1、AcuRev1320电表HMI上背光设置界面（Setting—Maintenance—LCD Backlight Time）
2、设置背光关闭时间为10min
3、HMI上按键操作后停止，观察HMI背光状态</t>
  </si>
  <si>
    <t>3、观察到停止操作HMI，等待10min关闭背光</t>
  </si>
  <si>
    <t>Function_AcuRev1320_027_02_case4</t>
  </si>
  <si>
    <t>HMI上设置背光延迟参数120成功，电表HMI无操作，等待120min LCD背光闭关。</t>
  </si>
  <si>
    <t>1、Acuview2上位机
2、网线/RTU串口线
3、AcuRev4107电表</t>
  </si>
  <si>
    <t>1、AcuRev1320电表HMI上背光设置界面（Setting—Maintenance—LCD Backlight Time）
2、设置背光关闭时间为120min
3、HMI上按键操作后停止，观察HMI背光状态</t>
  </si>
  <si>
    <t>3、观察到停止操作HMI，等待120min关闭背光</t>
  </si>
  <si>
    <t>Function_AcuRev1320_027_02_case5</t>
  </si>
  <si>
    <t>HMI上设置背光延迟参数121失败。</t>
  </si>
  <si>
    <t>1、Acuview2上位机
2、网线/RTU串口线
3、AcuRev4108电表</t>
  </si>
  <si>
    <t>1、AcuRev1320电表HMI上背光设置界面
2、设置背光关闭时间为121min</t>
  </si>
  <si>
    <t>3、背光延迟参数无法设置成121，设置失败</t>
  </si>
  <si>
    <t>Function_AcuRev1320_027_02_case6</t>
  </si>
  <si>
    <t xml:space="preserve">上位机上Tcp/Rtu, 设置背光延迟参数0成功，电表HMI无操作，电表背光不关闭。 </t>
  </si>
  <si>
    <t>1、Acuview2上位机
2、网线/RTU串口线
3、AcuRev4109电表</t>
    <phoneticPr fontId="10" type="noConversion"/>
  </si>
  <si>
    <t>1、分别通过Tcp/Rtu连接AcuRev1320电表到Acuview2上，链接状态为connected
2、背光延迟设置界面（Setting—General—Other—Power On Backlight）
3、设置背光关闭时间为0min
4、HMI上按键操作后停止，观察HMI是否背光常亮状态</t>
  </si>
  <si>
    <t>4、观察到HMI常亮背光</t>
  </si>
  <si>
    <t>Function_AcuRev1320_027_02_case7</t>
  </si>
  <si>
    <t xml:space="preserve">上位机上Tcp/Rtu, 设置背光延迟参数2成功，电表HMI无操作，等待2min LCD背光闭关。 </t>
  </si>
  <si>
    <t>1、分别通过Tcp/Rtu连接AcuRev1320电表到Acuview2上，链接状态为connected
2、背光延迟设置界面（Setting—General—Other—Power On Backlight）
3、设置背光关闭时间为2min
4、HMI上按键操作后停止，观察HMI背光状态</t>
  </si>
  <si>
    <t>4、观察到停止操作HMI，等待2min关闭背光</t>
  </si>
  <si>
    <t>Function_AcuRev1320_027_02_case8</t>
  </si>
  <si>
    <t>上位机上Tcp/Rtu, 设置背光延迟参数10成功，HMI上显示设置成功。</t>
  </si>
  <si>
    <t>1、分别通过Tcp/Rtu连接AcuRev1320电表到Acuview2上，链接状态为connected
2、背光延迟设置界面（Setting—General—Other—Power On Backlight）
3、设置背光关闭时间为10min
4、HMI上按键操作后停止，观察HMI背光状态</t>
  </si>
  <si>
    <t>4、观察到停止操作HMI，等待10min关闭背光</t>
  </si>
  <si>
    <t>Function_AcuRev1320_027_02_case9</t>
  </si>
  <si>
    <t>上位机上Tcp/Rtu, 设置背光延迟参数120成功，HMI上显示设置成功。</t>
  </si>
  <si>
    <t>1、分别通过Tcp/Rtu连接AcuRev1320电表到Acuview2上，链接状态为connected
2、背光延迟设置界面（Setting—General—Other—Power On Backlight）
3、设置背光关闭时间为120min
4、HMI上按键操作后停止，观察HMI背光状态</t>
  </si>
  <si>
    <t>4、观察到停止操作HMI，等待120min关闭背光</t>
  </si>
  <si>
    <t>Function_AcuRev1320_027_02_case10</t>
  </si>
  <si>
    <t>上位机上Tcp/Rtu, 设置背光延迟参数121失败。</t>
  </si>
  <si>
    <t>1、Acuview2上位机
2、网线/RTU串口线
3、AcuRev4113电表</t>
  </si>
  <si>
    <t>1、分别通过Tcp/Rtu连接AcuRev1320电表到Acuview2上，链接状态为connected
2、背光延迟设置界面（Setting—General—Other—Power On Backlight）
3、设置背光关闭时间为121min</t>
  </si>
  <si>
    <t>3、上位机背光延迟参数无法设置成121，设置失败</t>
  </si>
  <si>
    <t>Function_AcuRev1320_027_02_case11</t>
  </si>
  <si>
    <t>背光常亮时，上位机上更改背光时间为1min</t>
  </si>
  <si>
    <t>1、Acuview2上位机
2、网线/RTU串口线
3、AcuRev4113电表
4、背光为常亮</t>
  </si>
  <si>
    <t>1、分别通过Tcp/Rtu连接AcuRev1320电表到Acuview2上，链接状态为connected
2、上位机上设置背光时间为1min
3、查看HMI端屏幕是否1min后关闭背光</t>
  </si>
  <si>
    <t>3、HMI端屏幕1min后关闭背光</t>
  </si>
  <si>
    <t>上位机配置参数权限管理</t>
    <phoneticPr fontId="10" type="noConversion"/>
  </si>
  <si>
    <t>Function_AcuRev1320_027_03_case1</t>
    <phoneticPr fontId="10" type="noConversion"/>
  </si>
  <si>
    <t>首次连接上位机进入general，修改参数</t>
  </si>
  <si>
    <t>1、通过RTU方式连接AcuRev1320电表到Acuview2上，链接状态为connected
2、进入general界面，随意修改参数后，点击update
3、输入错误的密码
4、输入正确的密码
5、切换reading界面，再次进入general界面，修改参数，点击update</t>
  </si>
  <si>
    <t>3、提示密码错误
4、参数修改成功，上位机密码栏会显示正确的密码
5、此时无需输入密码，即可进行修改参数
备注：若关闭RTU客户端后，重新连接上位机，修改参数时仍需输入密码</t>
  </si>
  <si>
    <t>Function_AcuRev1320_027_03_case2</t>
  </si>
  <si>
    <t>首次连接上位机进入User and CT，修改参数</t>
  </si>
  <si>
    <t>3、提示密码错误
4、参数修改成功
5、此时无需输入密码，即可进行修改参数
备注：若关闭RTU客户端后，重新连接上位机，修改参数时仍需输入密码</t>
  </si>
  <si>
    <t>Function_AcuRev1320_027_03_case3</t>
  </si>
  <si>
    <t>首次连接上位机进入I/O Module，修改参数</t>
  </si>
  <si>
    <t>1、通过RTU方式连接AcuRev1320电表到Acuview2上，链接状态为connected
2、进入I/O Module界面，随意修改参数后，点击update
3、输入错误的密码
4、输入正确的密码
5、切换reading界面，再次进入general界面，修改参数，点击update</t>
  </si>
  <si>
    <t>首次连接上位机进入Alarm，修改参数</t>
  </si>
  <si>
    <t>1、通过RTU方式连接AcuRev1320电表到Acuview2上，链接状态为connected
2、进入Alarm界面，随意修改参数后，点击update
3、输入错误的密码
4、输入正确的密码
5、切换reading界面，再次进入general界面，修改参数，点击update</t>
  </si>
  <si>
    <t>Function_AcuRev1320_027_03_case5</t>
  </si>
  <si>
    <t>首次连接上位机进入waveform，修改参数</t>
  </si>
  <si>
    <t>1、通过RTU方式连接AcuRev1320电表到Acuview2上，链接状态为connected
2、进入waveform界面，随意修改参数后，点击update
3、输入错误的密码
4、输入正确的密码
5、切换reading界面，再次进入general界面，修改参数，点击update</t>
  </si>
  <si>
    <t>Function_AcuRev1320_027_03_case6</t>
  </si>
  <si>
    <t>首次连接上位机进入TOU Setting，修改参数</t>
  </si>
  <si>
    <t>1、通过RTU方式连接AcuRev1320电表到Acuview2上，链接状态为connected
2、进入TOU Setting界面，随意修改参数后，点击update
3、输入错误的密码
4、输入正确的密码
5、切换reading界面，再次进入general界面，修改参数，点击update</t>
  </si>
  <si>
    <t>Function_AcuRev1320_027_03_case7</t>
  </si>
  <si>
    <t>首次连接上位机进入datalog，修改参数</t>
  </si>
  <si>
    <t>1、通过RTU方式连接AcuRev1320电表到Acuview2上，链接状态为connected
2、进入datalog界面，随意修改参数后，点击update
3、输入错误的密码
4、输入正确的密码
5、切换reading界面，再次进入general界面，修改参数，点击update
6、分别遍历datalog1、2、3、4</t>
  </si>
  <si>
    <t>Function_AcuRev1320_027_03_case8</t>
  </si>
  <si>
    <t>首次连接上位机进入daylight saving time，修改参数</t>
  </si>
  <si>
    <t xml:space="preserve">1、通过RTU方式连接AcuRev1320电表到Acuview2上，链接状态为connected
2、进入daylight saving time界面，随意修改参数后，点击update
3、输入错误的密码
4、输入正确的密码
5、切换reading界面，再次进入general界面，修改参数，点击update
</t>
  </si>
  <si>
    <t>Function_AcuRev1320_027_03_case9</t>
  </si>
  <si>
    <t>首次连接上位机进入system status，reset netwotk</t>
  </si>
  <si>
    <t xml:space="preserve">1、通过RTU方式连接AcuRev1320电表到Acuview2上，链接状态为connected
2、点击reset network
3、输入错误的密码
4、输入正确的密码
</t>
  </si>
  <si>
    <t xml:space="preserve">3、提示密码错误
4、网络配置恢复成功
</t>
  </si>
  <si>
    <t>Function_AcuRev1320_027_03_case10</t>
  </si>
  <si>
    <t>首次连接上位机进入system status，factory reset</t>
  </si>
  <si>
    <t xml:space="preserve">1、通过RTU方式连接AcuRev1320电表到Acuview2上，链接状态为connected
2、点击factory reset
3、输入错误的密码
4、输入正确的密码
</t>
  </si>
  <si>
    <t xml:space="preserve">3、提示密码错
4、恢复出厂设置成功
</t>
  </si>
  <si>
    <t>Function_AcuRev1320_027_03_case11</t>
  </si>
  <si>
    <t>首次连接上位机进入system status，reboot meter</t>
  </si>
  <si>
    <t xml:space="preserve">3、提示密码错误
4、重启成功
</t>
  </si>
  <si>
    <t>Function_AcuRev1320_027_03_case12</t>
  </si>
  <si>
    <t>首次连接上位机进入system status，设置时间和clear run time/load time</t>
  </si>
  <si>
    <t>1、通过RTU方式连接AcuRev1320电表到Acuview2上，链接状态为connected
2、进行设置时间
3、输入错误的密码
4、输入正确的密码
5、重新连接上位机，重复上述步骤，遍历clear run time和load time</t>
  </si>
  <si>
    <t>3、提示密码错误
4、时间设置成功
5、首次连接上位机，点击clear run time 和 clear load time都需要输入密码</t>
  </si>
  <si>
    <t>电源要求</t>
    <phoneticPr fontId="10" type="noConversion"/>
  </si>
  <si>
    <t>电源要求</t>
  </si>
  <si>
    <t>Function_AcuRev1320_028_01_case1</t>
  </si>
  <si>
    <t>VLN 60V，独立供电（100V，50HZ）， 电表启动正常，稳定工作</t>
    <phoneticPr fontId="10" type="noConversion"/>
  </si>
  <si>
    <t>1、AcuRev-1320供电电源独立供电（100V，50HZ），输入相电压VLN (60V,50HZ)
2、观察电表是否启动正常
3、交流源输入相电压Van、Vbn、Vcn的额定电压为60V,50HZ。
4、输入三路电流分别为(3A、5A，10A)，在上位机上分别配置为对应A相、B相、C相。</t>
  </si>
  <si>
    <t>2、电表是否启动正常
3、Acuview2上和HMI上检查交流电相电压均在精度范围内，范围(V):59.94 ~ 60.06，Vlnavg范围(V)：59.94 ~ 60.06
4、Acuview2上和HMI上检查交流电相电流均在精度范围内，Ia范围(A):2.997 ~ 3.003，Ib范围(A):4.995 ~ 5.005，Ic范围(A):9.99 ~ 10.01， Iavg范围(A)：5.994 ~ 6.006</t>
  </si>
  <si>
    <t>Function_AcuRev1320_028_01_case3</t>
  </si>
  <si>
    <t>1、AcuRev-1320供电电源独立供电（300V,58HZ），输入相电压VLN 240V,58HZ
2、观察电表是否启动正常
3、交流电源输入相电压Van、Vbn、Vcn的额定电压为240V,58HZ
4、输入三路电流分别为(3A、5A，10A)，在上位机上分别配置为对应A相、B相、C相。</t>
  </si>
  <si>
    <t>2、电表是否启动正常
3、Acuview2上和HMI上检查交流电相电压均在精度范围内，范围(V):239.76 ~ 240.24，Vlnavg范围(V)：239.76 ~ 240.24
4、Acuview2上和HMI上检查交流电相电流均在精度范围内，Ia范围(A):2.997 ~ 3.003，Ib范围(A):4.995 ~ 5.005，Ic范围(A):9.99 ~ 10.01， Iavg范围(A)：5.994 ~ 6.006</t>
  </si>
  <si>
    <t>性能验证</t>
  </si>
  <si>
    <t>Function_AcuRev1320_029_02_case1</t>
  </si>
  <si>
    <t>上位机通过modbus TCP连接设备，上位机发送请求到收到响应这个时间不应超过20ms</t>
  </si>
  <si>
    <t>3、Wireshark上查看上位机发送请求到收到响应这个时间不应超过20ms</t>
  </si>
  <si>
    <t>Function_AcuRev1320_029_02_case2</t>
  </si>
  <si>
    <t>上位机通过modbus RTU连接设备，上位机发送请求到收到响应这个时间不应超过20ms</t>
  </si>
  <si>
    <t>1、波特率配置为115200，通过RTU方式连接AcuRev-1320电表到Acuview2上，链接状态为connected
2、打开AccessProt串口监控工具
3、上位机发送任意请求，AccessProt上查看请求发出到收到响应的时间</t>
  </si>
  <si>
    <t>3、AccessProt上查看上位机发送请求到收到响应这个时间不应超过20ms
备注：波特率低于115200bps的场景未验证，因为要保证静默时间，较低的波特率响应时间有可能会超过20ms；优先用115200bps验证</t>
  </si>
  <si>
    <t>串口工具通过modbus RTU 发送请求到收到响应的时间要保证超过静默时间</t>
  </si>
  <si>
    <t>电气参数稳定性&amp;压力验证</t>
  </si>
  <si>
    <t>相电压电流稳定性测试</t>
  </si>
  <si>
    <t>Stable_AcuRev1320_030_01_case1</t>
  </si>
  <si>
    <t>ABC相电压为120V，ABC三相电流输入20A，持续测量1h，测试精度均满足0.1%</t>
  </si>
  <si>
    <t>1、通过TCP方式连接AcuRev-1320电表到Acuview2上，链接状态为connected
2、ABC相电压为120V，ABC三相电流输入20A
3、持续1小时，间隔5分钟观测一次ABC相电压和ABC三相电流是否满足精度要求0.1%</t>
  </si>
  <si>
    <t>3、持续1小时，间隔5分钟观测一次ABC相电压和ABC三相电流满足精度要求0.1%</t>
  </si>
  <si>
    <t>Stable_AcuRev1320_030_01_case2</t>
  </si>
  <si>
    <t>ABC相电压为120V，ABC三相电流输入20A，持续测量4h，测试精度均满足0.1%</t>
  </si>
  <si>
    <t>1、通过TCP方式连接AcuRev-1320电表到Acuview2上，链接状态为connected
2、ABC相电压为120V，ABC三相电流输入20A
3、持续4小时，间隔5分钟观测一次ABC相电压和三相电流，是否满足精度要求0.1%</t>
  </si>
  <si>
    <t>3、持续3小时，间隔5分钟观测一次ABC相电压和三相电流满足精度要求0.1%</t>
  </si>
  <si>
    <t>Stable_AcuRev1320_030_01_case3</t>
  </si>
  <si>
    <t>ABC相电压为220V，ABC三相电流输入5A，持续测量1h，测试精度均满足0.1%</t>
  </si>
  <si>
    <t>1、通过TCP方式连接AcuRev-1320电表到Acuview2上，链接状态为connected
2、ABC相电压为220V，ABC三相电流输入5A
3、持续1小时，间隔5分钟观测一次ABC相电压和三相电流是否满足精度要求0.1%</t>
  </si>
  <si>
    <t>3、持续1小时，间隔5分钟观测一次ABC相电压和三相电流满足精度要求0.1%</t>
  </si>
  <si>
    <t>Stable_AcuRev1320_030_01_case4</t>
  </si>
  <si>
    <t>ABC相电压为220V，ABC三相电流输入5A，持续测量3h，测试精度均满足0.1%</t>
  </si>
  <si>
    <t>1、通过TCP方式连接AcuRev-1320电表到Acuview2上，链接状态为connected
2、ABC相电压为220V，ABC三相电流输入5A
3、持续3小时，间隔5分钟观测一次ABC相电压和三相电流是否满足精度要求0.1%</t>
  </si>
  <si>
    <t>Stable_AcuRev1320_030_01_case5</t>
  </si>
  <si>
    <t>ABC相电压为400V，三相电流输5A，持续测量1h，测试精度均满足0.1%</t>
  </si>
  <si>
    <t>1、通过TCP方式连接AcuRev-1320电表电表到Acuview2上，链接状态为connected
2、ABC相电压为400V，三相电流输入5A
3、持续1小时，间隔5分钟观测一次ABC相电压和三相电流是否满足精度要求0.1%</t>
  </si>
  <si>
    <t>Stable_AcuRev1320_030_01_case6</t>
  </si>
  <si>
    <t>ABC相电压为400V，三相电流输入1A，持续测量4h，测试精度均满足0.1%</t>
  </si>
  <si>
    <t>1、通过TCP方式连接AcuRev-1320电表到Acuview2上，链接状态为connected
2、ABC相电压为400V，三相电流输入1A
3、持续4小时，间隔5分钟观测一次ABC相电压和三相电流是否满足精度要求0.1%</t>
  </si>
  <si>
    <t>相电压电流相角稳定性测试</t>
  </si>
  <si>
    <t>Stable_AcuRev1320_030_02_case1</t>
  </si>
  <si>
    <t>ABC相电压为120V，三相电流输入1A，电流相角位0°、240°、120°，ABC电压相角设置为0°、240°、120°，持续测量1h，相角测试精度均满足0.1%</t>
  </si>
  <si>
    <t>1、通过TCP方式连接AcuRev-1320电表到Acuview2上，链接状态为connected
2、ABC相电压为120V，三相电流输入1A
3、三相电流相角位0°、240°、120°，ABC电压相角设置为0°、240°、120°
4、持续1小时，间隔5分钟观测一次ABC相电压和三相电流对应相角是否满足精度要求±0.1</t>
  </si>
  <si>
    <t>4、持续1小时，间隔5分钟观测一次ABC相电压和三相电流对应相角满足精度要求0.1%</t>
  </si>
  <si>
    <t>Stable_AcuRev1320_030_02_case2</t>
  </si>
  <si>
    <t>ABC相电压为120V，三相电流输入1A，电流相角位0°、240°、120°，ABC电压相角设置为0°、240°、120°，持续测量4h，相角测试精度均满足0.1%</t>
  </si>
  <si>
    <t>1、Acuview2上位机
2、网线/RTU串口线
3、AcuRev4109电表</t>
  </si>
  <si>
    <t>1、通过TCP方式连接AcuRev-1320电表到Acuview2上，链接状态为connected
2、ABC相电压为120V，三相电流输入1A
3、三相电流相角位0°、240°、120°，ABC电压相角设置为0°、240°、120°
4、持续4小时，间隔5分钟观测一次ABC相电压和三相电流对应相角是否满足精度要求±0.1</t>
  </si>
  <si>
    <t>4、持续4小时，间隔5分钟观测一次ABC相电压和三相电流对应相角满足精度要求0.1%</t>
  </si>
  <si>
    <t>Stable_AcuRev1320_030_02_case3</t>
  </si>
  <si>
    <t>ABC相电压为120V，三相电流输入1A，电流相角位0°、120°、240°，ABC电压相角设置为0°、120°、240°，持续测量1h，相角测试精度均满足0.1%</t>
  </si>
  <si>
    <t>1、通过TCP方式连接AcuRev-1320电表到Acuview2上，链接状态为connected
2、ABC相电压为120V，三相电流输入1A
3、三相电流相角位0°、120°、240°，ABC电压相角设置为0°、120°、240°
4、持续1小时，间隔5分钟观测一次ABC相电压和三相电流对应相角是否满足精度要求±0.1</t>
  </si>
  <si>
    <t>Stable_AcuRev1320_030_02_case4</t>
  </si>
  <si>
    <t>ABC相电压为120V，三相电流输入1A，电流相角位0°、120°、240°，ABC电压相角设置为0°、120°、240°，持续测量4h，相角测试精度均满足0.1%</t>
  </si>
  <si>
    <t>1、通过TCP方式连接AcuRev-1320电表到Acuview2上，链接状态为connected
2、ABC相电压为120V，三相电流输入1A
3、三相电流相角位0°、120°、240°，ABC电压相角设置为0°、120°、240°
4、持续4小时，间隔5分钟观测一次ABC相电压和电流对应相角是否满足精度要求±0.1</t>
  </si>
  <si>
    <t>Stable_AcuRev1320_030_02_case5</t>
  </si>
  <si>
    <t>ABC相电压为120V，三相电流输入1A，电流相角位30°、60°、120°，ABC电压相角设置为0°、120°、240°，持续测量1h，相角测试精度均满足0.1%</t>
  </si>
  <si>
    <t>1、通过TCP方式连接AcuRev-1320电表到Acuview2上，链接状态为connected
2、ABC相电压为120V，三相电流输电表到Acuview2上，链接状态为connected
2、ABC相电压为120V，三相电流输入1A
3、电流相角位30°、60°、120°，ABC电压相角设置为0°、120°、240°
4、持续1小时，间隔5分钟观测一次ABC相电压和电流对应相角是否满足精度要求±0.1</t>
  </si>
  <si>
    <t>Stable_AcuRev1320_030_02_case6</t>
  </si>
  <si>
    <t>ABC相电压为120V，三相电流输入1A，电流相角位30°、60°、120°，ABC电压相角设置为0°、60°、120°，持续测量1h，相角测试精度均满足0.1%</t>
  </si>
  <si>
    <t>1、通过TCP方式连接AcuRev-1320电表到Acuview2上，链接状态为connected
2、ABC相电压为120V，三相电流输入1A
3、电流相角位30°、60°、120°，ABC电压相角设置为0°、60°、120°
4、持续1小时，间隔5分钟观测一次ABC相电压和三相电流对应相角是否满足精度要求±0.1°</t>
  </si>
  <si>
    <t>4、持续1小时，间隔5分钟观测一次ABC相电压和三相电流对应相角满足精度要求±0.1°</t>
  </si>
  <si>
    <t>电流压力测试</t>
  </si>
  <si>
    <t>Stress_AcuRev1320_030_02_case8</t>
  </si>
  <si>
    <t>ABC相电压为120V，三相电流输入5A，间隔10s接入和断开，测量100次，电流测试精度均满足0.1%</t>
  </si>
  <si>
    <t>1、Acuview2上位机
2、网线/RTU串口线
3、AcuRev4115电表</t>
  </si>
  <si>
    <t>1、通过TCP方式连接AcuRev-1320电表到Acuview2上，链接状态为connected
2、ABC相电压为120V，三相电流输入5A
3、间隔10s接入和断开，观测ABC相电压和三相电流是否测量准确
4、重复步骤3 100次
修改间隔时间，间隔时间为3分钟，</t>
  </si>
  <si>
    <t>3、观测ABC相电压和三相电流测量准确。</t>
  </si>
  <si>
    <t>设备上下电压力测试</t>
  </si>
  <si>
    <t>Stress_AcuRev1320_030_02_case9</t>
  </si>
  <si>
    <t>设备循环上下电500次 ，每次上电正常，测量数据正常</t>
  </si>
  <si>
    <t>1、AcuRev-1320设备循环上下电500次
2、观测每次上电是否正常
3、测量数据是否正常（此处控源输入任意电压、电流，能读数）电压、电流是否符合精度要求
注：此用例需自动化脚本测试，后续更新</t>
  </si>
  <si>
    <t>2、每次上电正常。正常开机，跳转APP界面，无黑屏、boot不跳转等异常现象
3、电压和电流测量值符合精度要求</t>
  </si>
  <si>
    <t>挂测专项</t>
  </si>
  <si>
    <t>mV型单板挂测</t>
  </si>
  <si>
    <t>Function_AcuRev1320_031_01_case1</t>
  </si>
  <si>
    <t>1、将AB相电流回路下分别接实负载，C相空载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</si>
  <si>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2-5、所有检查项均符合实际情况</t>
  </si>
  <si>
    <t>mV型单板，3 Element 4Wire Delta  接线方式，带灯泡负载,挂测一周</t>
  </si>
  <si>
    <t>1、将C相电流回路下分别接实负载，A相空载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</si>
  <si>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mA型单板挂测</t>
  </si>
  <si>
    <t>Function_AcuRev1320_031_01_case2</t>
  </si>
  <si>
    <t>1、准备两块mA型单板，一块下面接入实负载，一块下面空载，同时间开始挂测，挂测一周
2、检查有负载和无负载电能累计是否正常
3、检查有负载和无负载需量是否正常
4、检查有负载和无负载最大最小值是否正常，下载log
5、检查有负载和无负载日志是否有丢失</t>
  </si>
  <si>
    <t>Function_AcuRev1320_031_01_case3</t>
  </si>
  <si>
    <r>
      <t>mA型单板，2 Element 3 Wire 1 Phase 接线方式，带灯泡负载，</t>
    </r>
    <r>
      <rPr>
        <strike/>
        <sz val="8"/>
        <color theme="1"/>
        <rFont val="微软雅黑"/>
        <family val="2"/>
        <charset val="134"/>
      </rPr>
      <t>串联6路电流，</t>
    </r>
    <r>
      <rPr>
        <sz val="8"/>
        <color theme="1"/>
        <rFont val="微软雅黑"/>
        <family val="2"/>
        <charset val="134"/>
      </rPr>
      <t>挂测一周</t>
    </r>
  </si>
  <si>
    <t>1、将A相电流回路下接实负载，C相空载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phoneticPr fontId="10" type="noConversion"/>
  </si>
  <si>
    <t>Function_AcuRev1320_031_01_case4</t>
  </si>
  <si>
    <t>mV型单板，2 Element 3 Wire Network 接线方式，带灯泡负载，挂测一周</t>
  </si>
  <si>
    <t>1、将A相电流回路下接实负载，B相空载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</si>
  <si>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Function_AcuRev1320_031_01_case5</t>
  </si>
  <si>
    <t>mV型单板，2 Element 3 Wire Delta 接线方式，带灯泡负载，挂测一周</t>
  </si>
  <si>
    <t>1、将A相电流回路下接实负载，C相空载
2、检查有负载channel和无负载channel电能累计是否正常
3、检查有负载channel和无负载channel需量是否正常
4、检查有负载channel和无负载channel最大最小值是否正常，下载log
5、检查有负载channel和无负载channel日志是否有丢失</t>
  </si>
  <si>
    <t>TCP 串联</t>
  </si>
  <si>
    <t>Function_AcuRev1320_031_01_case6</t>
  </si>
  <si>
    <t>10个电表通过TCP串联，上位机连接10个电表正常</t>
  </si>
  <si>
    <t>1、 10个电表分配连续的Mac地址
2、 10个电表DHCP配置为Enable模式，串联后接入交换机，再接入路由器
3、 电脑接入路由器，以太网配置为DHCP模式
4、 上位机连接10个电表</t>
  </si>
  <si>
    <t>4、 10个电表全部连接成功</t>
  </si>
  <si>
    <t>无负载挂测</t>
  </si>
  <si>
    <t>Function_AcuRev1320_031_01_case7</t>
  </si>
  <si>
    <t>4块电表正常上电，将每块电表HMI界面均切换到date-time界面，静置5天</t>
    <phoneticPr fontId="10" type="noConversion"/>
  </si>
  <si>
    <t>1.表计正常上电，将HMI页面保持在date-time界面；
2.挂机静置5天，查看表计是否会有重启现象、HMI是否出现白屏</t>
  </si>
  <si>
    <t>2.表计HMI页面保持在date-time界面,无白屏出现</t>
  </si>
  <si>
    <t>上位机DataLogSetting</t>
  </si>
  <si>
    <t>日志参数选择</t>
  </si>
  <si>
    <t>Function_AcuRev1320_032_01_case1</t>
  </si>
  <si>
    <t>上边栏Setting的Data Log Setting中，选择已经连接的设备，验证Real-time Metering 所有参数，配置Logging Interval 为1 min时，Test 成功，生成日志符合预期</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</si>
  <si>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保存日志配置，设备状态从Unready更新为Ready；选中设备后，点击Apply
7、 点击上边栏的Operatioin - Start Data Logging，开始生成日志
8、 等待10min后，点击上边栏的Operatioin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</si>
  <si>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在对应连接设备下，可以找到最新生成的日志文件，点击查看，日志内容包含所有Real-time Metering的参数，每隔1min生成1条日志</t>
  </si>
  <si>
    <t>Function_AcuRev1320_032_01_case2</t>
  </si>
  <si>
    <t>5、 Test失败，Action 模块显示Not Passed
7、 设备配置未通过，生成日志失败，上位机提示：No Ready Meters！</t>
  </si>
  <si>
    <t>Function_AcuRev1320_032_01_case3</t>
  </si>
  <si>
    <t>上边栏Setting的Data Log Setting中，选择已经连接的设备，验证Energy所有参数，配置Logging Interval 为10 s时，Test 成功，生成日志符合预期</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</si>
  <si>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保存日志配置，设备状态从Unready更新为Ready；选中设备后，点击Apply
7、 点击上边栏的Operatioin - Start Data Logging，开始生成日志
8、 等待3min后，点击上边栏的Operatioin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</si>
  <si>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在对应连接设备下，可以找到最新生成的日志文件，点击查看，日志内容包含所有Energy的参数，每隔10s生成1条日志</t>
  </si>
  <si>
    <t>Function_AcuRev1320_032_01_case4</t>
  </si>
  <si>
    <t>上边栏Setting的Data Log Setting中，选择已经连接的设备，验证Demand所有参数，配置Logging Interval 为1500 ms时，Test 成功，生成日志符合预期</t>
  </si>
  <si>
    <t>1、 电表通过rtu 连接，Baud Rate配置为19200，Parity配置为None1
2、 点击上边栏的Setting - Data Log Setting 
3、 选择已经连接成功的设备
4、 Select Parameters 中，选择Demand，右侧对应参数显示全选中
5、 Logging Interval 配置为1500 ms，点击下方Action模块中的Test
6、 保存日志配置，设备状态从Unready更新为Ready；选中设备后，点击Apply
7、 点击上边栏的Operatioin - Start Data Logging，开始生成日志
8、 等待3min后，点击上边栏的Operatioin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</si>
  <si>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在对应连接设备下，可以找到最新生成的日志文件，点击查看，日志内容包含所有Demand的参数，每隔1500ms生成1条日志</t>
  </si>
  <si>
    <t>Function_AcuRev1320_032_01_case5</t>
  </si>
  <si>
    <t>1、 电表通过rtu 连接，Baud Rate配置为19200，Parity配置为None1
2、 点击上边栏的Setting - Data Log Setting 
3、 选择已经连接成功的设备
4、 Select Parameters 中，选择Power Quality，右侧对应参数显示全选中
5、 Logging Interval 配置为1 min，点击下方Action模块中的Test
6、 保存日志配置，设备状态从Unready更新为Ready；选中设备后，点击Apply
7、 点击上边栏的Operatioin - Start Data Logging，开始生成日志
8、 等待10min后，点击上边栏的Operatioin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</si>
  <si>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在对应连接设备下，可以找到最新生成的日志文件，点击查看，日志内容包含所有Power Quality的参数，每隔1 min生成1条日志</t>
  </si>
  <si>
    <t>Function_AcuRev1320_032_01_case6</t>
  </si>
  <si>
    <t>上边栏Setting的Data Log Setting中，选择已经连接的设备，验证IO所有参数，配置Logging Interval 为200 ms时，Test 成功，生成日志符合预期</t>
  </si>
  <si>
    <t>1、 电表通过rtu 连接，Baud Rate配置为19200，Parity配置为None1
2、 点击上边栏的Setting - Data Log Setting 
3、 选择已经连接成功的设备
4、 Select Parameters 中，选择IO，右侧对应参数显示全选中
5、 Logging Interval 配置为200ms，点击下方Action模块中的Test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</si>
  <si>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在对应连接设备下，可以找到最新生成的日志文件，点击查看，日志内容包含所有IO的参数，每隔200ms生成1条日志</t>
  </si>
  <si>
    <t>Function_AcuRev1320_032_01_case7</t>
  </si>
  <si>
    <t>上边栏Setting的Data Log Setting中，选择已经连接的设备，验证Dual Source Energy所有参数，配置Logging Interval 为10 s 时，Test 成功，生成日志符合预期</t>
  </si>
  <si>
    <t>1、 电表通过rtu 连接，Baud Rate配置为19200，Parity配置为None1
2、 点击上边栏的Setting - Data Log Setting 
3、 选择已经连接成功的设备
4、 Select Parameters 中，选择Dual Source Energy，右侧对应参数显示全选中
5、 Logging Interval 配置为10 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</si>
  <si>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在对应连接设备下，可以找到最新生成的日志文件，点击查看，日志内容包含所有Dual Source Energy的参数，每隔10 s 生成1条日志</t>
  </si>
  <si>
    <t>Function_AcuRev1320_032_01_case8</t>
  </si>
  <si>
    <t>上边栏Setting的Data Log Setting中，选择已经连接的设备，验证Independent Input Channel所有参数，配置Logging Interval 为10 s 时，Test 成功，生成日志符合预期</t>
  </si>
  <si>
    <t>1、 电表通过rtu 连接，Baud Rate配置为19200，Parity配置为None1
2、 点击上边栏的Setting - Data Log Setting 
3、 选择已经连接成功的设备
4、 Select Parameters 中，选择Independent Input Channel，右侧对应参数显示全选中
5、 Logging Interval 配置为10 s，点击下方Action模块中的Test
6、 保存日志配置，设备状态从Unready更新为Ready；选中设备后，点击Apply
7、 点击上边栏的Operatioin - Start Data Logging，开始生成日志
8、 等待2 min后，点击上边栏的Operatioin - StopData Logging，停止生成日志
9、 进入 Data Log Setting页面，点击Browse Log Filed</t>
  </si>
  <si>
    <t>5、 Test通过，Action 模块显示Passed
8、 停止生成日志成功，
9、 在对应连接设备下，可以找到最新生成的日志文件，点击查看，日志内容包含所有Independent Input Channel的参数，每隔10 s 生成1条日志</t>
  </si>
  <si>
    <t>Function_AcuRev1320_032_01_case9</t>
  </si>
  <si>
    <t>日志正在生成中，进入Data Log Setting页面，正在生成日志的设备显示置灰无法修改</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</si>
  <si>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保存日志配置，设备状态从Unready更新为Ready；选中设备后，点击Apply
7、 点击上边栏的Operatioin - Start Data Logging，开始生成日志
8、 生成日志过程中，重新进入Data Log Setting 页面</t>
  </si>
  <si>
    <t>5、 Test通过，Action 模块显示Passed
8、 正在生成日志的设备置灰，无法进入修改配置</t>
  </si>
  <si>
    <t>日志生成配置</t>
  </si>
  <si>
    <t>Function_AcuRev1320_032_01_case10</t>
  </si>
  <si>
    <t>Creat A New File Every 参数配置为 “1 day”,将本地电脑时间配置到当前的23:59,观察到第二天时，生成一个新的日志文件：</t>
  </si>
  <si>
    <t>1、Acuview2上位机
2、网线/RTU串口线
3、AcuRev1320电表
4、 将本地电脑时间配置为当天的23：55</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</si>
  <si>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day”
7、 保存日志配置，设备状态从Unready更新为Ready；选中设备后，点击Apply
8、 点击上边栏的Operatioin - Start Data Logging，开始生成日志
9、 等待10 min后，点击上边栏的Operatioin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</si>
  <si>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在对应连接设备下，可以找到最新生成的两个日志文件，时间戳分别为当天和第二天，点击查看，日志内容包含所有Real-time Metering的参数，每隔1min生成1条日志</t>
  </si>
  <si>
    <t>日志生成配置</t>
    <phoneticPr fontId="10" type="noConversion"/>
  </si>
  <si>
    <t>Function_AcuRev1320_032_01_case11</t>
  </si>
  <si>
    <t>Creat A New File Every 参数配置为 “5 day”,观察到第6天时，生成一个新的日志文件：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</si>
  <si>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“5 day”
7、 保存日志配置，设备状态从Unready更新为Ready；选中设备后，点击Apply
8、 点击上边栏的Operatioin - Start Data Logging，开始生成日志
9、 等待6 day后，点击上边栏的Operatioin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</si>
  <si>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在对应连接设备下，可以找到最新生成的两个日志文件，时间戳分别为当天和第6天，点击查看，日志内容包含所有Real-time Metering的参数，每隔1min生成1条日志</t>
  </si>
  <si>
    <t>Function_AcuRev1320_032_01_case12</t>
  </si>
  <si>
    <t>Creat A New File Every 参数配置为 “45 day”,观察到第46天时，生成一个新的日志文件：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</si>
  <si>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“45 day”
7、 保存日志配置，设备状态从Unready更新为Ready；选中设备后，点击Apply
8、 点击上边栏的Operatioin - Start Data Logging，开始生成日志
9、 等待46 day后，点击上边栏的Operatioin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</si>
  <si>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在对应连接设备下，可以找到最新生成的两个日志文件，时间戳分别为当天和第46天，点击查看，日志内容包含所有Real-time Metering的参数，每隔1min生成1条日志</t>
  </si>
  <si>
    <t>Function_AcuRev1320_032_01_case13</t>
  </si>
  <si>
    <t>Creat A New File Every 参数配置为 “1 Week”,观察到下周的第1天时，生成一个新的日志文件：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</si>
  <si>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Week”
7、 保存日志配置，设备状态从Unready更新为Ready；选中设备后，点击Apply
8、 点击上边栏的Operatioin - Start Data Logging，开始生成日志
9、 等待到达下1周的第1天，点击上边栏的Operatioin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</si>
  <si>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在对应连接设备下，可以找到最新生成的两个日志文件，时间戳分别为当天和下周第1天，点击查看，日志内容包含所有Real-time Metering的参数，每隔1min生成1条日志</t>
  </si>
  <si>
    <t>Function_AcuRev1320_032_01_case14</t>
  </si>
  <si>
    <t>Creat A New File Every 参数配置为 “1 Month”,观察到下周的第1天时，生成一个新的日志文件：</t>
  </si>
  <si>
    <t>1、 电表通过rtu 连接，Baud Rate配置为19200，Parity配置为None1
2、 点击上边栏的Setting - Data Log Setting 
3、 选择已经连接成功的设备
4、 Select Parameters 中，选择Real-time Metering，右侧对应参数显示全选中
5、 Logging Interval 配置为1 min，点击下方Action模块中的Test
6、 Creat A New File Every 参数配置为 “1 Month”
7、 保存日志配置，设备状态从Unready更新为Ready；选中设备后，点击Apply
8、 点击上边栏的Operatioin - Start Data Logging，开始生成日志
9、 等待到达下1月的第1天，点击上边栏的Operatioin - StopData Logging，停止生成日志
10、 进入 Data Log Setting页面，点击Browse Log Filed</t>
  </si>
  <si>
    <t>5、 Test通过，Action 模块显示Passed
8、 停止生成日志成功，
9、 在对应连接设备下，可以找到最新生成的两个日志文件，时间戳分别为当天和下月第1天，点击查看，日志内容包含所有Real-time Metering的参数，每隔1min生成1条日志</t>
  </si>
  <si>
    <t>Function_AcuRev1320_032_01_case15</t>
  </si>
  <si>
    <t>1、 电表通过rtu 连接，Baud Rate配置为19200，Parity配置为None1
2、 点击上边栏的Setting - Data Log Setting 
3、 选择已经连接成功的设备
4、 Select Parameters 中，选择Real-time Metering和Energy中的部分参数，勾选上Split Fileds By Category
5、 Logging Interval 配置为10s，点击下方Action模块中的Test
6、 保存日志配置，设备状态从Unready更新为Ready；选中设备后，点击Apply
7、 点击上边栏的Operatioin - Start Data Logging，开始生成日志
8、 等待3 min后，点击上边栏的Operatioin - StopData Logging，停止生成日志
9、 进入 Data Log Setting页面，点击Browse Log Filed</t>
  </si>
  <si>
    <t>5、 Test通过，Action 模块显示Passed
8、 停止生成日志成功，
9、 在对应连接设备下，可以找到最新生成的两个日志文件，文件名关键词中分别包含Real-time Metering和Energy；对应文件中参数与配置保持一致，每隔10s中生成1条日志</t>
  </si>
  <si>
    <t>Function_AcuRev1320_032_01_case16</t>
  </si>
  <si>
    <t>上边栏Setting的Data Log Setting中，选择已经连接的设备，验证Real-time Metering 所有参数，配置Logging Interval 为10s，修改文件名称关键字，Test 成功，生成日志符合预期</t>
  </si>
  <si>
    <t>1、 电表通过rtu 连接，Baud Rate配置为19200，Parity配置为None1
2、 点击上边栏的Setting - Data Log Setting 
3、 选择已经连接成功的设备
4、 Select Parameters 中，选择Real-time Metering，右侧对应参数显示全选中
5、 修改文件名称中的关键字，可增加aaa-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t>
  </si>
  <si>
    <t>5、 Test通过，Action 模块显示Passed
8、 停止生成日志成功，
9、 在Untraced Filed选项下，可以找到最新生成的日志文件，文件名称中包含关键字aaa-，点击查看，日志内容包含所有Real-time Metering的参数，每隔10s生成1条日志</t>
  </si>
  <si>
    <t>Function_AcuRev1320_032_01_case17</t>
  </si>
  <si>
    <t>上边栏Setting的Data Log Setting中，选择已经连接的设备，验证Real-time Metering 所有参数，配置Logging Interval 为10s，修改文件保存的目标位置到“桌面”，Test 成功，生成日志符合预期</t>
  </si>
  <si>
    <t>5、 Test通过，Action 模块显示Passed
8、 停止生成日志成功，
9、 在对应连接设备下，可以找到最新生成的日志文件，文件名称中包含关键字aaa-，点击查看，日志内容包含所有Real-time Metering的参数，每隔10s生成1条日志
10、电脑的桌面目录下，可以找到最新生成的日志文件</t>
  </si>
  <si>
    <t>Function_AcuRev1320_032_01_case18</t>
  </si>
  <si>
    <t>修改过文件名称和目标位置之后，Reset Log File Name，手动选择保存文件的目标位置到默认，能够正常生成保存日志</t>
  </si>
  <si>
    <t>1、Acuview2上位机
2、网线/RTU串口线
3、AcuRev1320电表
4、 修改过文件名称关键字和文件保存的目标位置，并成功生成日志文件</t>
  </si>
  <si>
    <t>1、 电表通过rtu 连接，Baud Rate配置为19200，Parity配置为None1
2、 点击上边栏的Setting - Data Log Setting 
3、 选择已经连接成功的设备
4、 Select Parameters 中，选择Real-time Metering，右侧对应参数显示全选中
5、 点击“Reset Log File Name”，手动选择保存问价的目标位置到默认目录（通常为上位机所在位置的Datalog 目录）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
11、进入上位机保存日志的默认目录</t>
  </si>
  <si>
    <t>5、 Test通过，Action 模块显示Passed
8、 停止生成日志成功，
9、 在对应连接设备下，可以找到最新生成的日志文件，文件名称为默认，点击查看，日志内容包含所有Real-time Metering的参数，每隔10s生成1条日志
10、上位机保存日志的默认目录下，可以找到最新生成的日志文件</t>
  </si>
  <si>
    <t>Function_AcuRev1320_032_01_case19</t>
  </si>
  <si>
    <t>Browse Log Field 中，点击Remove图标，能够删除对应日志</t>
  </si>
  <si>
    <t>1、 进入Data Log Setting页面，点击Browse Log Filed
2、 点击预期删除的日志文件的Remove图标
3、 在文件目录下检查</t>
  </si>
  <si>
    <t>2、 Remove 成功，日志删除
3、 电脑对应目录下的日志也已被删除</t>
  </si>
  <si>
    <t>Function_AcuRev1320_032_01_case20</t>
    <phoneticPr fontId="10" type="noConversion"/>
  </si>
  <si>
    <t>1、 电表通过rtu 连接，Baud Rate配置为19200，Parity配置为None1
2、 点击上边栏的Setting - Data Log Setting 
3、 选择已经连接成功的设备
4、 Select Parameters 中，选择所有模块的全部参数，勾选上Split Fileds By Category
5、 Logging Interval 配置为30s，点击下方Action模块中的Test
6、 保存日志配置，设备状态从Unready更新为Ready；选中设备后，点击Apply
7、 点击上边栏的Operatioin - Start Data Logging，开始生成日志
8、 等待5 min后，点击上边栏的Operatioin - StopData Logging，停止生成日志
9、 进入 Data Log Setting页面，点击Browse Log Filed</t>
  </si>
  <si>
    <t>日志高级设置功能</t>
    <phoneticPr fontId="10" type="noConversion"/>
  </si>
  <si>
    <t>Function_AcuRev1320_032_02_case01</t>
    <phoneticPr fontId="10" type="noConversion"/>
  </si>
  <si>
    <t>验证文件结束时，添加“EOF”</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</si>
  <si>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
7、 勾选中 Append an “EOF”line at the end of life；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</si>
  <si>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在对应连接设备下，可以找到最新生成的日志文件，点击查看，日志内容包含所有Energy的参数，每隔10s生成1条日志；日志最后一行写入"EOF"</t>
  </si>
  <si>
    <t>日志高级设置功能</t>
  </si>
  <si>
    <t>Function_AcuRev1320_032_02_case02</t>
  </si>
  <si>
    <t>验证文件结束时，不添加“EOF”</t>
  </si>
  <si>
    <t>1、 电表通过rtu 连接，Baud Rate配置为19200，Parity配置为None1
2、 点击上边栏的Setting - Data Log Setting 
3、 选择已经连接成功的设备
4、 Select Parameters 中，选择Energy，右侧对应参数显示全选中
5、 Logging Interval 配置为10 s，点击下方Action模块中的Test
6、 保存日志配置，设备状态从Unready更新为Ready，选中设备
7、 不勾选 Append an “EOF”line at the end of life；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</si>
  <si>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在对应连接设备下，可以找到最新生成的日志文件，点击查看，日志内容包含所有Energy的参数，每隔10s生成1条日志；日志最后一行为空，没有"EOF"</t>
  </si>
  <si>
    <t>Function_AcuRev1320_032_02_case03</t>
  </si>
  <si>
    <t>验证等待“严格时刻”</t>
  </si>
  <si>
    <t>Function_AcuRev1320_032_02_case04</t>
  </si>
  <si>
    <t>验证不等待“严格时刻”</t>
  </si>
  <si>
    <t>1、 电表通过rtu 连接，Baud Rate配置为19200，Parity配置为None1
2、 点击上边栏的Setting - Data Log Setting 
3、 选择已经连接成功的设备
4、 Select Parameters 中，选择Energy，右侧对应参数显示全选中
5、 Logging Interval 配置为7 s，点击下方Action模块中的Test
6、 保存日志配置，设备状态从Unready更新为Ready，选中设备
7、 不勾选 Wait for the next strict moment； 点击Apply
8、 点击上边栏的Operatioin - Start Data Logging，开始生成日志
9、 等待3min后，点击上边栏的Operatioin - StopData Logging，停止生成日志
10、 进入 Data Log Setting页面，点击Browse Log Filed</t>
  </si>
  <si>
    <t>5、 Test通过，Action 模块显示Passed
9、 停止生成日志成功，
10、 在对应连接设备下，可以找到最新生成的日志文件，点击查看，日志内容包含所有Energy的参数，第一条日志时间戳为随机时间，不是7秒的整数倍，后续每隔7s生成1条日志</t>
  </si>
  <si>
    <t>Function_AcuRev1320_032_02_case05</t>
  </si>
  <si>
    <t>验证生成日志时，允许数据刷新</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</si>
  <si>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勾选 Allow data refreshing if possible； 点击Apply
8、 点击上边栏的Operatioin - Start Data Logging，开始生成日志
9、 生成日志过程中，查看上位机页面
10、等待3min后，点击上边栏的Operatioin - StopData Logging，停止生成日志
11、 进入 Data Log Setting页面，点击Browse Log Filed</t>
  </si>
  <si>
    <t>5、 Test通过，Action 模块显示Passed
9、 等待日志生成过程中，点击上位机reading界面的任意模块，可以正常响应刷新
10、 停止生成日志成功，
11、 在对应连接设备下，可以找到最新生成的日志文件，点击查看，日志内容包含所有Energy的参数，每隔10s生成1条日志</t>
  </si>
  <si>
    <t>Function_AcuRev1320_032_02_case06</t>
  </si>
  <si>
    <t>验证生成日志时，不允许数据刷新</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</si>
  <si>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不勾选 Allow data refreshing if possible； 点击Apply
8、 点击上边栏的Operatioin - Start Data Logging，开始生成日志
9、 生成日志过程中，查看上位机页面
10、等待3min后，点击上边栏的Operatioin - StopData Logging，停止生成日志，查看上位机页面</t>
  </si>
  <si>
    <t>5、 Test通过，Action 模块显示Passed
9、 等待日志生成过程中，上位机页面无法查看，提示“Please Stop Datalogging To View Meter！”
10、 停止生成日志成功，上位机恢复所有页面的正常显示</t>
  </si>
  <si>
    <t>Function_AcuRev1320_032_02_case07</t>
  </si>
  <si>
    <t>验证生成日志时，未接收到数据时写入空</t>
  </si>
  <si>
    <t>1、 电表通过rtu 连接，Baud Rate配置为19200，Parity配置为None1
2、 点击上边栏的Setting - Data Log Setting 
3、 选择已经连接成功的设备
4、 Select Parameters 中，选择Energy，右侧对应参数显示全选中
5、 Logging Interval 配置为10s，点击下方Action模块中的Test
6、 保存日志配置，设备状态从Unready更新为Ready，选中设备
7、 勾选Insert empty data when no response； 点击Apply
8、 点击上边栏的Operatioin - Start Data Logging，开始生成日志
9、 等待3min后，点击上边栏的Operatioin - StopData Logging，停止生成日志
10、进入 Data Log Setting页面，点击Browse Log Filed</t>
  </si>
  <si>
    <t>5、 Test通过，Action 模块显示Passed
9、 停止生成日志成功
10、 在对应连接设备下，可以找到最新生成的日志文件，点击查看，日志内容包含所有Energy的参数，每隔10s生成1条日志；如果存在未响应的日志，对应时间戳后面的参数全部为空
注：当前用例无必现场景，可以在测试过程中保持全程勾选，出现响应不及时时，生成日志为空</t>
  </si>
  <si>
    <t>Function_AcuRev1320_032_02_case08</t>
  </si>
  <si>
    <t>验证连接两个设备，参数配置完全一致时，进行智能求和:</t>
  </si>
  <si>
    <t>1、Acuview2上位机
2、网线/RTU串口线
3、两台AcuRev1320电表</t>
  </si>
  <si>
    <t>1、 两台电表通过rtu或tcp 连接
2、 点击上边栏的Setting - Data Log Setting 
3、 选择已经连接成功的第一台设备
4、 Select Parameters 中，选择Energy，右侧对应参数显示全选中
5、 Logging Interval 配置为10s，点击下方Action模块中的Test
6、 保存日志配置，设备状态从Unready更新为Ready，选中设备
7、 第二台设备的所有配置与第一台保持一致
8、 勾选“Smart Sum”Function； 点击Apply
9、 点击上边栏的Operatioin - Start Data Logging，开始生成日志
10、 等待3min后，点击上边栏的Operatioin - StopData Logging，停止生成日志
12、进入 Data Log Setting页面，点击Browse Log Filed</t>
  </si>
  <si>
    <t>5、 Test通过，Action 模块显示Passed
10、 停止生成日志成功
11、 在两台对应连接设备下，可以找到最新生成的日志文件，点击查看，日志内容包含所有Energy的参数，每隔10s生成1条日志；在Smart Sum 下，可以找到最新生成的1个日志文件，日志内容为同一个参数，两台设备测量值之和</t>
  </si>
  <si>
    <t>Function_AcuRev1320_032_02_case09</t>
  </si>
  <si>
    <t>验证连接两个设备，参数配置不一致时，进行智能求和:</t>
  </si>
  <si>
    <t>1、 两台电表通过rtu或tcp 连接
2、 点击上边栏的Setting - Data Log Setting 
3、 选择已经连接成功的第一台设备
4、 Select Parameters 中，选择Energy，右侧对应参数显示全选中
5、 Logging Interval 配置为10s，点击下方Action模块中的Test
6、 保存日志配置，设备状态从Unready更新为Ready，选中设备
7、 将第二台设备的参数配选择配置的与第一台不同
8、 勾选“Smart Sum”Function； 点击Apply
9、 点击上边栏的Operatioin - Start Data Logging，开始生成日志
10、 等待3min后，点击上边栏的Operatioin - StopData Logging，停止生成日志
12、进入 Data Log Setting页面，点击Browse Log Filed</t>
  </si>
  <si>
    <t>5、 Test通过，Action 模块显示Passed
10、 停止生成日志成功
11、 在两台对应连接设备下，可以找到最新生成的日志文件，点击查看，日志内容包含所有Energy的参数，每隔10s生成1条日志；在Smart Sum 下，没有最新生成的日志文件</t>
  </si>
  <si>
    <t>Function_AcuRev1320_032_02_case10</t>
  </si>
  <si>
    <t>未连接设备，点击Data Log  Setting，上位机提示，没有已连接的电表</t>
  </si>
  <si>
    <t xml:space="preserve">1、 上位机未连接任何设备时，点击上边栏的Setting - Data Log Setting </t>
  </si>
  <si>
    <t>1、 上位机提示“No Available Meters!”</t>
  </si>
  <si>
    <t>脉冲计算器</t>
    <phoneticPr fontId="10" type="noConversion"/>
  </si>
  <si>
    <t>脉冲计算器</t>
  </si>
  <si>
    <t>Function_AcuRev1320_033_01_case1</t>
  </si>
  <si>
    <t>model选择AcuRev1320,Primary Maximum Power写入6kW、CT1：5A,CT2：100mA,Output Energy Pulse Width:80ms,Minimum Pulse Interval:80ms</t>
  </si>
  <si>
    <t>1.双击打开Acuview2上位机
2.在导航栏点击operation--Calculate Pulase Constant
3.model选择AcuRev1320,Primary Maximum Power写入6kW、CT1：5A,CT2：100mA,Output Energy Pulse Width:80ms,Minimum Pulse Interval:80ms
4.点击calculate,查看Output Energy Pulse Constant中数据是否准确
5.查看Convent Energy Pulse Constant中的值，Secondary=1，查看Primary 的值</t>
  </si>
  <si>
    <t>3.正确输入，无误
4.数据计算准确；
备注：
Secondary Minimum默认为1;
Primary Maximum=CT1/CT2;
Secondary Maximum
Primary Minimum
Primary=1/【（CT1/CT2）*Secondary】</t>
  </si>
  <si>
    <t>Function_AcuRev1320_033_01_case2</t>
  </si>
  <si>
    <t>model选择AcuRev1320,Primary Maximum Power写入1kW、CT1：20A,CT2：100mA,Output Energy Pulse Width:100ms,Minimum Pulse Interval:100ms</t>
  </si>
  <si>
    <t>1.双击打开Acuview2上位机
2.在导航栏点击operation--Calculate Pulase Constant
3.model选择AcuRev1320,Primary Maximum Power写入1kW、CT1：20A,CT2：100mA,Output Energy Pulse Width:100ms,Minimum Pulse Interval:100ms
4.点击calculate,查看Output Energy Pulse Constant中数据是否准确
5.查看Convent Energy Pulse Constant中的值，Secondary=11，查看Primary 的值</t>
  </si>
  <si>
    <t>Function_AcuRev1320_033_01_case3</t>
  </si>
  <si>
    <t>model选择AcuRev1320,Primary Maximum Power写入10kW、CT1：10A,CT2：100mA,Output Energy Pulse Width:50ms,Minimum Pulse Interval:100ms</t>
  </si>
  <si>
    <t xml:space="preserve">1.双击打开Acuview2上位机
2.在导航栏点击operation--Calculate Pulase Constant
3.model选择AcuRev1320,Primary Maximum Power写入10kW、CT1：10A,CT2：100mA,Output Energy Pulse Width:50ms,Minimum Pulse Interval:100ms
4.点击calculate,查看Output Energy Pulse Constant中数据是否准确
5.查看Convent Energy Pulse Constant中的值，Primary =0.05，查看的Secondary值
</t>
  </si>
  <si>
    <t>3.正确输入，无误
4.数据计算准确；
备注：
Secondary Minimum默认为1;
Primary Maximum=CT1/CT2;
Secondary Maximum
Primary Minimum
Secondary=1/【（CT1/CT2）*Primary 】</t>
    <phoneticPr fontId="10" type="noConversion"/>
  </si>
  <si>
    <t>model选择AcuRev1320,Primary Maximum Power写入5kW、CT1：20A,CT2：80mA,Output Energy Pulse Width:100ms,Minimum Pulse Interval:50ms</t>
  </si>
  <si>
    <t>1.双击打开Acuview2上位机
2.在导航栏点击operation--Calculate Pulase Constant
3.model选择AcuRev1320,Primary Maximum Power写入5kW、CT1：20A,CT2：80mA,Output Energy Pulse Width:100ms,Minimum Pulse Interval:50ms
4.点击calculate,查看Output Energy Pulse Constant中数据是否准确
5.查看Convent Energy Pulse Constant中的值，Primary =0.001，查看的Secondary值</t>
  </si>
  <si>
    <t>3.正确输入，无误
4.数据计算准确；
备注：
Secondary Minimum默认为1;
Primary Maximum=CT1/CT2;
Secondary Maximum
Primary Minimum
Secondary=1/【（CT1/CT2）*Primary 】</t>
  </si>
  <si>
    <t>Function_AcuRev1320_033_01_case5</t>
  </si>
  <si>
    <t>model选择AcuRev1320,Primary Maximum Power写入5kW、CT1：20A,CT2：80mA,Output Energy Pulse Width:80ms,Minimum Pulse Interval:5ms</t>
  </si>
  <si>
    <t>1.双击打开Acuview2上位机
2.在导航栏点击operation--Calculate Pulase Constant
3.model选择AcuRev1320,Primary Maximum Power写入5kW、CT1：20A,CT2：80mA,Output Energy Pulse Width:80ms,Minimum Pulse Interval:5ms
4.点击calculate,查看Output Energy Pulse Constant中数据是否准确
5.查看Convent Energy Pulse Constant中的值，Primary =0.002，查看的Secondary值</t>
  </si>
  <si>
    <t>Function_AcuRev1320_033_01_case6</t>
  </si>
  <si>
    <t>检查Primary Maximum Power、CT1、Output Energy Pulse Width、Minimum Pulse Interval是否能填入0或者负数</t>
  </si>
  <si>
    <t xml:space="preserve">1.双击打开Acuview2上位机
2.在导航栏点击operation--Calculate Pulase Constant
3.Primary Maximum Power、CT1、Output Energy Pulse Width、Minimum Pulse Interval填入0或者负数
</t>
  </si>
  <si>
    <t>3.不能输入0或者负数</t>
  </si>
  <si>
    <t>lv4</t>
  </si>
  <si>
    <t>Function_AcuRev1320_033_01_case7</t>
  </si>
  <si>
    <t>3.数据输入正确
4.Primary Maximum Power被重置为6kW、CT1、CT2分别被重置为5A、100mA;Output Energy Pulse Width被重置为80ms,Minimum Pulse Interval被重置为5ms；</t>
  </si>
  <si>
    <t>数据导出导入</t>
    <phoneticPr fontId="10" type="noConversion"/>
  </si>
  <si>
    <t>数据导出</t>
  </si>
  <si>
    <t>Function_AcuRev1320_034_01_case1</t>
  </si>
  <si>
    <t>RTU连接，setting数据全部导出</t>
  </si>
  <si>
    <t>1、Acuview2上位机
2、RTU串口线
3、AcuRev1320电表</t>
  </si>
  <si>
    <t>1.双击打开Acuview2上位机，保证表计RTU连接正常
2.进入setting后，将setting的各个模块进行配置（区别于出厂参数），记录这些数据修改值
3.在导航栏点击operation--Export Configuration，全选后点击Export 将数据导出保存</t>
  </si>
  <si>
    <t>2.数据修改正常
3.数据保存正常</t>
  </si>
  <si>
    <t>Function_AcuRev1320_034_01_case2</t>
  </si>
  <si>
    <t>TCP连接，setting数据全部导出</t>
  </si>
  <si>
    <t>1、Acuview2上位机
2、网线
3、AcuRev1320电表</t>
  </si>
  <si>
    <t>1.双击打开Acuview2上位机，保证表计TCP连接正常
2.进入setting后，将setting的各个模块进行配置（区别于出厂参数），记录这些数据修改值
3.在导航栏点击operation--Export Configuration，全选后点击Export 将数据导出保存</t>
  </si>
  <si>
    <t>Function_AcuRev1320_034_01_case3</t>
  </si>
  <si>
    <t>RTU连接，setting数据部分导出</t>
  </si>
  <si>
    <t>1.双击打开Acuview2上位机，保证表计RTU连接正常
2.进入setting后，将setting的各个模块进行配置（区别于出厂参数），记录这些数据修改值
3.在导航栏点击operation--Export Configuration，选择commuination、tou两个模块后点击Export 将数据导出保存</t>
  </si>
  <si>
    <t>Function_AcuRev1320_034_01_case4</t>
  </si>
  <si>
    <t>TCP连接，setting数据部分导出</t>
  </si>
  <si>
    <t>1.双击打开Acuview2上位机，保证表计TCP连接正常
2.进入setting后，将setting的各个模块进行配置（区别于出厂参数），记录这些数据修改值
3.在导航栏点击operation--Export Configuration，选择commuination、tou两个模块后点击Export 将数据导出保存</t>
  </si>
  <si>
    <t>数据保存</t>
  </si>
  <si>
    <t>Function_AcuRev1320_034_01_case5</t>
  </si>
  <si>
    <t>setting导出后保存（不修改命名）</t>
  </si>
  <si>
    <t>1.双击打开Acuview2上位机
2.进入setting后，将setting的各个模块进行配置（区别于出厂参数），记录这些数据修改值
3.在导航栏点击operation--Export Configuration，全选后点击Export 将数据导出，按照原始名称进行保存
4.在导航栏点击operation--Export Configuration，选择commuination、tou两个模块后点击Export 将数据导出，按照原始名称进行保存</t>
  </si>
  <si>
    <t>Function_AcuRev1320_034_01_case6</t>
  </si>
  <si>
    <t>setting导出后保存（修改命名）</t>
  </si>
  <si>
    <t>1.双击打开Acuview2上位机
2.进入setting后，将setting的各个模块进行配置（区别于出厂参数），记录这些数据修改值
3.在导航栏点击operation--Export Configuration，全选后点击Export 将数据导出，修改名称为first Configuration
4.在导航栏点击operation--Export Configuration，选择commuination、tou两个模块后点击Export 将数据导出保存,修改名称为second Configuration</t>
  </si>
  <si>
    <t>3.保存成功
4.保存成功，能正常保存两份文件</t>
  </si>
  <si>
    <t>数据导入</t>
  </si>
  <si>
    <t>Function_AcuRev1320_034_02_case1</t>
  </si>
  <si>
    <t>RTU连接，setting全部导入</t>
  </si>
  <si>
    <t>3.数据正常导出
4.表计恢复出厂后重启一次，表计参数被恢复为默认值
5.数据正常导入
6.setting中各个模块数据与2中保存的数据一致</t>
  </si>
  <si>
    <t>Function_AcuRev1320_034_02_case2</t>
  </si>
  <si>
    <t>TCP连接，setting全部导入</t>
  </si>
  <si>
    <t>1.双击打开Acuview2上位机，保证表计TCP连接正常
2.进入setting后，将setting的各个模块进行配置（区别于出厂参数），记录这些数据修改值
3.在导航栏点击operation--Export Configuration，全选后点击Export 将数据导出保存
4.对表进行恢复出厂设置
5.在导航栏点击operation--Import Configuration，全选后点击Import 将数据全部导入
6.查看setting中各个模块数据是否与2中保存的数据是否一致</t>
  </si>
  <si>
    <t>Function_AcuRev1320_034_02_case3</t>
  </si>
  <si>
    <t>RTU连接，setting部分导入</t>
  </si>
  <si>
    <t>1.双击打开Acuview2上位机，保证表计RTU连接正常
2.进入setting后，将setting的各个模块进行配置（区别于出厂参数），记录这些数据修改值
3.在导航栏点击operation--Export Configuration，选择部分模块后点击Export 将数据导出保存
4.对表进行恢复出厂设置
5.在导航栏点击operation--Import Configuration，选择3中选择的模块后点击Import 将数据导入
6.查看setting中新导入各个模块数据是否与2中保存的数据是否一致</t>
  </si>
  <si>
    <t>3.数据正常导出
4.表计恢复出厂后重启一次，表计参数被恢复为默认值
5.数据正常导入
6.setting中新导入的各个模块数据与2中保存的数据一致</t>
  </si>
  <si>
    <t>Function_AcuRev1320_034_02_case4</t>
  </si>
  <si>
    <t>TCP连接，setting部分导入</t>
  </si>
  <si>
    <t>开启RSTP</t>
  </si>
  <si>
    <t>Function_AcuRev1320_035_01_case01</t>
  </si>
  <si>
    <t>两个电表与交换机连接形成环路，分配不同的静态IP，通过电脑访问，验证网络正常，可以稳定连接 （两款表形成环路）</t>
  </si>
  <si>
    <t>1.开启RSTP,两个电表与交换机连接形成环路；
2.表计上电，将两电表及电脑IP设置在同网段；（3个不同的ip）
3.打开上位机，tcp分别连接两电表，</t>
  </si>
  <si>
    <t>3.两电表均能正常连接，通讯正常</t>
  </si>
  <si>
    <t>Function_AcuRev1320_035_01_case02</t>
  </si>
  <si>
    <t>两个电表与交换机连接形成环路，分配相同的静态IP，通过电脑访问，验证网络正常，可以稳定连接 （两款表形成环路）</t>
  </si>
  <si>
    <t>1.开启RSTP,两个电表与交换机连接形成环路；
2.表计上电，将两电表及电脑IP设置在同网段；（两电表写入相同的ip）
3.打开上位机，tcp分别连接两电表，</t>
  </si>
  <si>
    <t>3.只有一款表能正常连接</t>
  </si>
  <si>
    <t>Function_AcuRev1320_035_01_case03</t>
  </si>
  <si>
    <t>两个电表与交换机连接形成环路，通过路由器分配不同的IP，通过电脑访问，验证网络正常，可以稳定连接 （两款表形成环路）</t>
  </si>
  <si>
    <t>3.两电表正常分配IP
4.两电表均能正常连接，通讯正常</t>
  </si>
  <si>
    <t>两块表分别升级 （两款表形成环路）</t>
  </si>
  <si>
    <t>关闭RSTP</t>
  </si>
  <si>
    <t>Function_AcuRev1320_035_02_case01</t>
  </si>
  <si>
    <t>将表计Ethernet Mode从RSTP修改到Dual ETH</t>
  </si>
  <si>
    <t>1.表计上电，通过tcp或者rtu连接成功
2.查看表计Ethernet Mode为RSTP
3.将表计Ethernet Mode从RSTP修改到Dual ETH
4.查看切换时上位机是否有提示
5.选择yes
6.选择no</t>
  </si>
  <si>
    <t>4.上位机会提示是否切换
5.切换成功
6.切换失败，Ethernet Mod保持RSTP</t>
  </si>
  <si>
    <t>Function_AcuRev1320_035_02_case02</t>
  </si>
  <si>
    <t>将表计Ethernet Mode从RSTP修改到single Eth1</t>
  </si>
  <si>
    <t>1.表计上电，通过tcp或者rtu连接成功
2.查看表计Ethernet Mode为RSTP
3.将表计Ethernet Mode从RSTP修改到single Eth1
4.查看切换时上位机是否有提示
5.选择yes
6.选择no</t>
  </si>
  <si>
    <t>其中一块表打开rstp,一块表关闭rstp（Dual ETH）</t>
  </si>
  <si>
    <t>Function_AcuRev1320_035_03_case01</t>
  </si>
  <si>
    <t>1.将其中一块表打开rstp,一块表关闭rstp开启RSTP,两个电表与交换机连接形成环路；
2.将两电表及电脑IP设置在同网段；（3个不同的ip）
3.打开上位机，tcp分别连接两电表，</t>
  </si>
  <si>
    <t>Function_AcuRev1320_035_03_case02</t>
  </si>
  <si>
    <t>两个电表与交换机连接形成环路，分配相同的静态IP，通过电脑访问，验证网络正常，可以稳定连接</t>
  </si>
  <si>
    <t>1.将其中一块表打开rstp,一块表关闭rstp开启RSTP,两个电表与交换机连接形成环路；
2.将两电表及电脑IP设置在同网段；（两电表写入相同的ip）
3.打开上位机，tcp分别连接两电表，</t>
  </si>
  <si>
    <t>Function_AcuRev1320_035_03_case03</t>
  </si>
  <si>
    <t>两个电表与交换机连接形成环路，通过路由器分配不同的IP，通过电脑访问，验证网络正常，可以稳定连接</t>
  </si>
  <si>
    <t>Function_AcuRev1320_035_03_case04</t>
  </si>
  <si>
    <t>两块表分别升级</t>
  </si>
  <si>
    <t>单独禁用一个网口</t>
  </si>
  <si>
    <t>Function_AcuRev1320_035_04_case01</t>
  </si>
  <si>
    <t>单个表eth2禁用，表eth2不可使用</t>
  </si>
  <si>
    <t>1.表计上电，将表计Ethernet Mode设置为single Eth1
2.直连电表与电脑，网线插入电表Eth1口
3.查看表计TCP连接能否成功，通讯是否正常
4.网线从电表Eth1口换到电表Eth2口
5..查看表计TCP连接能否成功，通讯是否正常</t>
  </si>
  <si>
    <t>3.表计TCP连接成功，通讯正常
5.表计TCP连接成功，通讯正常</t>
  </si>
  <si>
    <t>Function_AcuRev1320_035_04_case02</t>
  </si>
  <si>
    <t>两表其中一个eth2禁用，一个打开，两表串联，两块表分别升级</t>
  </si>
  <si>
    <t>1.两电表分别上电，将其中一款表的Ethernet Mode设置为非single Eth1，一块电表为single Eth1
2.将电脑与其中一块电能表(非single Eth1)的Eth1连接，该表的Eth2与另一个电表（single Eth1）的Eth1连接
3.查看两块电表是否均能TCP连接成功，通讯是否正常</t>
  </si>
  <si>
    <t>3.两块电表均能连接成功，通讯正常</t>
  </si>
  <si>
    <t>Function_AcuRev1320_035_04_case03</t>
  </si>
  <si>
    <t>恢复网络及恢复出厂设置</t>
  </si>
  <si>
    <t>4.查看表计中setting中数据正常
7.查看表计中setting中数据正常</t>
  </si>
  <si>
    <t>HMI界面</t>
  </si>
  <si>
    <t>Function_AcuRev1320_035_05_case02</t>
  </si>
  <si>
    <t>ethernet mode加入HMI后不影响其他页面显示</t>
  </si>
  <si>
    <t>1.表计上电
2.在HMI界面上进入setting-com，查看com中各个数据是否正常，准确</t>
  </si>
  <si>
    <t>2。com中各个数据正常，准确</t>
  </si>
  <si>
    <t>USB接口通信参数配置</t>
    <phoneticPr fontId="10" type="noConversion"/>
  </si>
  <si>
    <t>上位机上通过USB，配置静态IP，及DNS，GW，NetMask、port参数配置成功.</t>
    <phoneticPr fontId="10" type="noConversion"/>
  </si>
  <si>
    <t>1、Acuview2上位机
2、USB串口线
3、AcuRev1320电表</t>
  </si>
  <si>
    <t>2、修改成功，读写一致
3、修改成功，读写一致
4、修改成功，读写一致
5、修改成功，读写一致
6、修改成功，读写一致</t>
    <phoneticPr fontId="10" type="noConversion"/>
  </si>
  <si>
    <t>Function_AcuRev1320_036_01_case2</t>
  </si>
  <si>
    <t>上位机上通过USB，配置波特率、校验方式</t>
    <phoneticPr fontId="10" type="noConversion"/>
  </si>
  <si>
    <t xml:space="preserve">1、上位机上通过USB连接AcuRev1320电表到Acuview2上，链接状态为connected
2、修改电表波特率，查看修改是否成功，读写是否一致
3、修改电表校验方式，查看修改是否成功，读写是否一致
</t>
  </si>
  <si>
    <t>2、修改成功，读写一致
3、修改成功，读写一致</t>
    <phoneticPr fontId="10" type="noConversion"/>
  </si>
  <si>
    <t>Function_AcuRev1320_036_01_case3</t>
  </si>
  <si>
    <t>上位机上通过USB，配置slave id</t>
    <phoneticPr fontId="10" type="noConversion"/>
  </si>
  <si>
    <t>1、上位机上通过USB连接AcuRev1320电表到Acuview2上，链接状态为connected
2、修改电表slave id为1，查看修改是否成功，读写是否一致
3、修改电表slave id为3，查看修改是否成功，读写是否一致
4、修改电表slave id为247，查看修改是否成功，读写是否一致</t>
  </si>
  <si>
    <t xml:space="preserve">2、修改成功，读写一致，usb能正常通讯
3、修改成功，读写一致，usb能正常通讯
4、修改成功，读写一致，usb能正常通讯
</t>
    <phoneticPr fontId="10" type="noConversion"/>
  </si>
  <si>
    <t>Function_AcuRev1320_036_01_case4</t>
  </si>
  <si>
    <t>上位机上通过USB，配置tcp使能开关</t>
    <phoneticPr fontId="10" type="noConversion"/>
  </si>
  <si>
    <t>1、上位机上通过USB连接AcuRev1320电表到Acuview2上，链接状态为connected
2、修改电表tcp使能开关为on，查看修改是否成功，读写是否一致
3、修改电表tcp使能开关为off，查看修改是否成功，读写是否一致</t>
  </si>
  <si>
    <t>2、修改成功，读写一致
3、修改成功，读写一致</t>
  </si>
  <si>
    <t>Function_AcuRev1320_036_01_case5</t>
  </si>
  <si>
    <t xml:space="preserve">上位机上通过通过USB，配置RS485 </t>
    <phoneticPr fontId="10" type="noConversion"/>
  </si>
  <si>
    <t>1、上位机上通过USB连接AcuRev1320电表到Acuview2上，链接状态为connected
2、配置电表RS485为moudlebus rtu，查看修改是否成功，读写是否一致,usb通讯是否正常
3、配置电表RS485为bacnet，查看修改是否成功，读写是否一致,usb通讯是否正常
4、配置电表RS485为disable，查看修改是否成功，读写是否一致,usb通讯是否正常</t>
  </si>
  <si>
    <t xml:space="preserve">2、修改成功，读写一致，usb能正常通讯
3、修改成功后，表计被踢出，usb重连后能继续进行通讯
4、修改成功后，表计被踢出，usb重连后能继续进行通讯
</t>
  </si>
  <si>
    <t>USB接口basic参数配置</t>
    <phoneticPr fontId="10" type="noConversion"/>
  </si>
  <si>
    <t>Function_AcuRev1320_036_02_case01</t>
  </si>
  <si>
    <t>上位机上通过USB，配置password成功。</t>
    <phoneticPr fontId="10" type="noConversion"/>
  </si>
  <si>
    <t>1、上位机上通过USB连接AcuRev1320电表到Acuview2上，链接状态为connected
2、配置电表password为9999，查看修改是否成功，读写是否一致</t>
  </si>
  <si>
    <t>2、修改成功，读写一致</t>
    <phoneticPr fontId="10" type="noConversion"/>
  </si>
  <si>
    <t>上位机上通过USB，配置Nonminal Current、Nonminal Voltage成功。</t>
    <phoneticPr fontId="10" type="noConversion"/>
  </si>
  <si>
    <t>Function_AcuRev1320_036_02_case03</t>
  </si>
  <si>
    <t>上位机上通过USB，配置Demand method、Demand interval、demand update rate成功。</t>
    <phoneticPr fontId="10" type="noConversion"/>
  </si>
  <si>
    <t>2、修改成功，读写一致
3、修改成功，读写一致
4、修改成功，读写一致</t>
    <phoneticPr fontId="10" type="noConversion"/>
  </si>
  <si>
    <t>Function_AcuRev1320_036_02_case04</t>
  </si>
  <si>
    <t>上位机上通过USB，配置任意一个非标铅封正常。</t>
    <phoneticPr fontId="10" type="noConversion"/>
  </si>
  <si>
    <t>USB接口接线方式参数配置</t>
    <phoneticPr fontId="10" type="noConversion"/>
  </si>
  <si>
    <t>Function_AcuRev1320_036_03_case01</t>
  </si>
  <si>
    <t>上位机上通过USB，配置任意切换接线配置方式</t>
    <phoneticPr fontId="10" type="noConversion"/>
  </si>
  <si>
    <t>1、上位机上通过USB连接AcuRev1320电表到Acuview2上，链接状态为connected
2、电表任意切换接线配置方式，查看修改是否成功，读写是否一致</t>
  </si>
  <si>
    <t>上位机上通过USB，支持对CT变比值及用户通道可配</t>
    <phoneticPr fontId="10" type="noConversion"/>
  </si>
  <si>
    <t>USB接口IO参数配置</t>
    <phoneticPr fontId="10" type="noConversion"/>
  </si>
  <si>
    <t>Function_AcuRev1320_036_04_case01</t>
  </si>
  <si>
    <t>上位机通过USB，配置DO参数成功</t>
    <phoneticPr fontId="10" type="noConversion"/>
  </si>
  <si>
    <t>1、上位机上通过USB连接AcuRev1320电表到Acuview2上，链接状态为connected
2、修改电表DO相关参数，查看修改是否成功，读写是否一致</t>
  </si>
  <si>
    <t>Function_AcuRev1320_036_04_case02</t>
  </si>
  <si>
    <t>上位机通过USB，配置DI参数成功</t>
    <phoneticPr fontId="10" type="noConversion"/>
  </si>
  <si>
    <t>1、上位机上通过USB连接AcuRev1320电表到Acuview2上，链接状态为connected
2、修改电表DI相关参数，查看修改是否成功，读写是否一致</t>
  </si>
  <si>
    <t>Function_AcuRev1320_036_04_case03</t>
  </si>
  <si>
    <t>上位机通过USB，配置RO参数成功</t>
    <phoneticPr fontId="10" type="noConversion"/>
  </si>
  <si>
    <t>1、上位机上通过USB连接AcuRev1320电表到Acuview2上，链接状态为connected
2、修改电表RO相关参数，查看修改是否成功，读写是否一致</t>
  </si>
  <si>
    <t>USB接口alarm&amp;pq&amp;datalog</t>
    <phoneticPr fontId="10" type="noConversion"/>
  </si>
  <si>
    <t>Function_AcuRev1320_036_05_case01</t>
  </si>
  <si>
    <t>上位机通过USB，支持配置多条完整的告警</t>
    <phoneticPr fontId="10" type="noConversion"/>
  </si>
  <si>
    <t>1、上位机上通过USB连接AcuRev1320电表到Acuview2上，链接状态为connected
2、给电表配置多条完整告警，能覆盖所有逻辑规则，查看配置是否成功，读写是否一致</t>
  </si>
  <si>
    <t>2、修改成功，读写一致</t>
  </si>
  <si>
    <t>Function_AcuRev1320_036_05_case02</t>
  </si>
  <si>
    <t>上位机通过USB，支持配置多个pq事件</t>
    <phoneticPr fontId="10" type="noConversion"/>
  </si>
  <si>
    <t>1、上位机上通过USB连接AcuRev1320电表到Acuview2上，链接状态为connected
2、给电表配置多条pq事件，能覆盖所有逻辑规则，查看配置是否成功，读写是否一致</t>
  </si>
  <si>
    <t>Function_AcuRev1320_036_05_case03</t>
  </si>
  <si>
    <t>上位机通过USB，支持pq事件及DI录波配置</t>
    <phoneticPr fontId="10" type="noConversion"/>
  </si>
  <si>
    <t>1、上位机上通过USB连接AcuRev1320电表到Acuview2上，链接状态为connected
2、修改电表录波参数（DI及手动、录波点数等），查看配置是否成功，读写是否一致</t>
  </si>
  <si>
    <t>Function_AcuRev1320_036_05_case04</t>
  </si>
  <si>
    <t>上位机通过USB，支持data log1\2\3\4相关参数配置</t>
    <phoneticPr fontId="10" type="noConversion"/>
  </si>
  <si>
    <t>1、上位机上通过USB连接AcuRev1320电表到Acuview2上，链接状态为connected
2、给电表配置data log1\2\3\4J及相关参数，查看配置是否成功，读写是否一致</t>
  </si>
  <si>
    <t>USB接口TOU配置</t>
    <phoneticPr fontId="10" type="noConversion"/>
  </si>
  <si>
    <t>Function_AcuRev1320_036_06_case01</t>
  </si>
  <si>
    <t>上位机通过USB，支持两种夏令时配置及切换</t>
    <phoneticPr fontId="10" type="noConversion"/>
  </si>
  <si>
    <t>1、上位机上通过USB连接AcuRev1320电表到Acuview2上，链接状态为connected
2、给电表配置夏令时为format1、开始结束时间，查看配置是否成功，读写是否一致
3、2、给电表配置夏令时为format2、开始结束时间，查看配置是否成功，读写是否一致</t>
  </si>
  <si>
    <t>Function_AcuRev1320_036_06_case02</t>
  </si>
  <si>
    <t>上位机通过USB，支持配置多个tou schedule、tou season、tou holiday、tou weekends</t>
    <phoneticPr fontId="10" type="noConversion"/>
  </si>
  <si>
    <t>1、上位机上通过USB连接AcuRev1320电表到Acuview2上，链接状态为connected
2、给表配置多个tou schedule、tou season、tou holiday、tou weekends，查看配置是否成功，读写是否一致</t>
  </si>
  <si>
    <t>Function_AcuRev1320_036_06_case03</t>
  </si>
  <si>
    <t>上位机通过USB，支持配置ten years holiday</t>
    <phoneticPr fontId="10" type="noConversion"/>
  </si>
  <si>
    <t>USB接口数据重置</t>
    <phoneticPr fontId="10" type="noConversion"/>
  </si>
  <si>
    <t>上位机通过USB，支持对energy相关数据进行清0</t>
    <phoneticPr fontId="10" type="noConversion"/>
  </si>
  <si>
    <t>1、上位机上通过USB连接AcuRev1320电表到Acuview2上，链接状态为connected
2、上位机下发energy清0操作，查看操作是否成功，energy数据是否被清0</t>
  </si>
  <si>
    <t>2、操作下发成功，energy数据被清0</t>
    <phoneticPr fontId="10" type="noConversion"/>
  </si>
  <si>
    <t>Function_AcuRev1320_036_07_case02</t>
  </si>
  <si>
    <t>上位机通过USB，支持对maxdemand数据进行清0</t>
    <phoneticPr fontId="10" type="noConversion"/>
  </si>
  <si>
    <t>1、上位机上通过USB连接AcuRev1320电表到Acuview2上，链接状态为connected
2、上位机下发maxdemand清0操作，查看操作是否成功，maxdemand数据是否被清0</t>
  </si>
  <si>
    <t>2、操作下发成功，maxdemand数据被清0</t>
    <phoneticPr fontId="10" type="noConversion"/>
  </si>
  <si>
    <t>Function_AcuRev1320_036_07_case03</t>
  </si>
  <si>
    <t>上位机通过USB，支持对tou energy数据进行清0</t>
    <phoneticPr fontId="10" type="noConversion"/>
  </si>
  <si>
    <t>1、上位机上通过USB连接AcuRev1320电表到Acuview2上，链接状态为connected
2、上位机下发tou energy清0操作，查看操作是否成功，tou energy数据是否被清0</t>
  </si>
  <si>
    <t>2、操作下发成功，tou energy数据被清0</t>
  </si>
  <si>
    <t>Function_AcuRev1320_036_07_case04</t>
  </si>
  <si>
    <t>上位机通过USB，支持对maxmin数据进行清0</t>
    <phoneticPr fontId="10" type="noConversion"/>
  </si>
  <si>
    <t>1、上位机上通过USB连接AcuRev1320电表到Acuview2上，链接状态为connected
2、上位机下发maxmin清0操作，查看操作是否成功，maxmin数据是否被清0</t>
  </si>
  <si>
    <t>2、操作下发成功，maxmin数据被清0</t>
    <phoneticPr fontId="10" type="noConversion"/>
  </si>
  <si>
    <t>Function_AcuRev1320_036_07_case05</t>
  </si>
  <si>
    <t>上位机通过USB，支持对DI counter进行清0</t>
    <phoneticPr fontId="10" type="noConversion"/>
  </si>
  <si>
    <t>1、上位机上通过USB连接AcuRev1320电表到Acuview2上，链接状态为connected
2、上位机下发DI counter清0操作，查看操作是否成功，DI counter数据是否被清0</t>
  </si>
  <si>
    <t>2、操作下发成功，DI counter数据被清0</t>
    <phoneticPr fontId="10" type="noConversion"/>
  </si>
  <si>
    <t>上位机通过USB，支持对alarm  log进行清0</t>
    <phoneticPr fontId="10" type="noConversion"/>
  </si>
  <si>
    <t>2、操作下发成功，alarm  log数据被清0</t>
    <phoneticPr fontId="10" type="noConversion"/>
  </si>
  <si>
    <t>Function_AcuRev1320_036_07_case07</t>
  </si>
  <si>
    <t>上位机通过USB，支持对soe  log进行清0</t>
    <phoneticPr fontId="10" type="noConversion"/>
  </si>
  <si>
    <t>2、操作下发成功，soe  log数据被清0</t>
    <phoneticPr fontId="10" type="noConversion"/>
  </si>
  <si>
    <t>Function_AcuRev1320_036_07_case08</t>
  </si>
  <si>
    <t>上位机通过USB，支持对pqevent  log进行清0</t>
    <phoneticPr fontId="10" type="noConversion"/>
  </si>
  <si>
    <t>2、操作下发成功，pqevent  log数据被清0</t>
    <phoneticPr fontId="10" type="noConversion"/>
  </si>
  <si>
    <t>Function_AcuRev1320_036_07_case09</t>
  </si>
  <si>
    <t>上位机通过USB，支持对waveform  log进行清0</t>
    <phoneticPr fontId="10" type="noConversion"/>
  </si>
  <si>
    <t>1、上位机上通过USB连接AcuRev1320电表到Acuview2上，链接状态为connected
2、上位机下发waveform  log清0操作，查看操作是否成功，waveform  log数据是否被清0</t>
  </si>
  <si>
    <t>2、操作下发成功，waveform  log数据被清0</t>
    <phoneticPr fontId="10" type="noConversion"/>
  </si>
  <si>
    <t>Function_AcuRev1320_036_07_case10</t>
  </si>
  <si>
    <t>上位机通过USB，支持对data  log进行清0</t>
    <phoneticPr fontId="10" type="noConversion"/>
  </si>
  <si>
    <t>1、上位机上通过USB连接AcuRev1320电表到Acuview2上，链接状态为connected
2、上位机下发data  log清0操作，查看操作是否成功，data  log数据是否被清0</t>
  </si>
  <si>
    <t>2、操作下发成功，data  log数据被清0</t>
    <phoneticPr fontId="10" type="noConversion"/>
  </si>
  <si>
    <t>Function_AcuRev1320_036_07_case11</t>
  </si>
  <si>
    <t>上位机通过USB，支持修改电表时钟</t>
    <phoneticPr fontId="10" type="noConversion"/>
  </si>
  <si>
    <t>1、上位机上通过USB连接AcuRev1320电表到Acuview2上，链接状态为connected
2、上位机下发修改电表时钟，查看下发是否成功，时间是否被改掉</t>
  </si>
  <si>
    <t>2、操作下发成功，时钟按照修改后的时钟正常走</t>
    <phoneticPr fontId="10" type="noConversion"/>
  </si>
  <si>
    <t>Function_AcuRev1320_036_07_case12</t>
  </si>
  <si>
    <t>上位机通过USB，支持下发重启电表</t>
    <phoneticPr fontId="10" type="noConversion"/>
  </si>
  <si>
    <t>1、上位机上通过USB连接AcuRev1320电表到Acuview2上，链接状态为connected
2、上位机下发电表重启，查看操作是否下发成功，电表是否重启</t>
  </si>
  <si>
    <t>2、操作下发成功，电表被重启</t>
    <phoneticPr fontId="10" type="noConversion"/>
  </si>
  <si>
    <t>Function_AcuRev1320_036_07_case13</t>
  </si>
  <si>
    <t>上位机通过USB，支持进行电表恢复出厂设置</t>
    <phoneticPr fontId="10" type="noConversion"/>
  </si>
  <si>
    <t>1、上位机上通过USB连接AcuRev1320电表到Acuview2上，链接状态为connected
2、上位机下发恢复出厂设置操作，操作是否下发成功，电表是否重启，参数是否被重置，电表各寄存器数据是否被清0</t>
  </si>
  <si>
    <t>2、操作下发成功，电表被重启，参数被重置，电表各寄存器数据被清0</t>
  </si>
  <si>
    <t>Function_AcuRev1320_036_07_case14</t>
  </si>
  <si>
    <t>上位机通过USB，支持进行电表网络恢复出厂设置</t>
    <phoneticPr fontId="10" type="noConversion"/>
  </si>
  <si>
    <t>2、操作下发成功，电表网络参数被重置</t>
  </si>
  <si>
    <t>数据重置</t>
    <phoneticPr fontId="10" type="noConversion"/>
  </si>
  <si>
    <t>上位机通过USB，支持对电表负载时间、运行时间进行清除</t>
    <phoneticPr fontId="10" type="noConversion"/>
  </si>
  <si>
    <t>1、上位机上通过USB连接AcuRev1320电表到Acuview2上，链接状态为connected
2、上位机下发电表负载时间、运行时间清0操作，操作是否下发成功</t>
  </si>
  <si>
    <t>2、操作下发成功，电表负载时间、运行时间被清0</t>
    <phoneticPr fontId="10" type="noConversion"/>
  </si>
  <si>
    <t>Function_AcuRev1320_036_07_case16</t>
  </si>
  <si>
    <t>上位机通过USB，支持对电表最大需量记录进行清除</t>
    <phoneticPr fontId="10" type="noConversion"/>
  </si>
  <si>
    <t>1、上位机上通过USB连接AcuRev1320电表到Acuview2上，链接状态为connected
2、上位机下发清除电表最大需量记录操作，操作是否下发成功</t>
  </si>
  <si>
    <t>2、操作下发成功，电表最大需量记录被清除</t>
    <phoneticPr fontId="10" type="noConversion"/>
  </si>
  <si>
    <t>Function_AcuRev1320_036_07_case17</t>
  </si>
  <si>
    <t>上位机通过通过USB，支持对电表tou参数进行恢复出产模式</t>
  </si>
  <si>
    <t>1、上位机上通过USB连接AcuRev1320电表到Acuview2上，链接状态为connected
2、上位机下发电表tou参数进行恢复出产模式操作，操作是否下发成功</t>
  </si>
  <si>
    <t>2、操作下发成功，电表tou参数进行恢复出产模式</t>
  </si>
  <si>
    <t>USB接口720个寄存器进行读取</t>
    <phoneticPr fontId="10" type="noConversion"/>
  </si>
  <si>
    <t>Function_AcuRev1320_036_08_case01</t>
  </si>
  <si>
    <t>1.利用功能码0X66组一条帧读寄存器数量为1的数据</t>
  </si>
  <si>
    <t>2、下发成功，数据回复正常</t>
    <phoneticPr fontId="10" type="noConversion"/>
  </si>
  <si>
    <t>Function_AcuRev1320_036_08_case02</t>
  </si>
  <si>
    <t>利用功能码0X66组一条帧读寄存器数量为120的数据</t>
    <phoneticPr fontId="10" type="noConversion"/>
  </si>
  <si>
    <t>Function_AcuRev1320_036_08_case03</t>
  </si>
  <si>
    <t>利用功能码0X66组一条帧读寄存器数量为719的数据</t>
    <phoneticPr fontId="10" type="noConversion"/>
  </si>
  <si>
    <t>Function_AcuRev1320_036_08_case04</t>
  </si>
  <si>
    <t>利用功能码0X66组一条帧读寄存器数量为720的数据</t>
    <phoneticPr fontId="10" type="noConversion"/>
  </si>
  <si>
    <t>Function_AcuRev1320_036_08_case05</t>
  </si>
  <si>
    <t>按照web2获取4100电表规则，进行组帧将各类多寄存器大数据读取</t>
    <phoneticPr fontId="37" type="noConversion"/>
  </si>
  <si>
    <t>2、下发成功
3、数据获取正常</t>
    <phoneticPr fontId="37" type="noConversion"/>
  </si>
  <si>
    <t>Function_AcuRev1320_036_08_case06</t>
  </si>
  <si>
    <t>多寄存器压力测试</t>
    <phoneticPr fontId="37" type="noConversion"/>
  </si>
  <si>
    <t>3、数据读取正常，无失败</t>
    <phoneticPr fontId="37" type="noConversion"/>
  </si>
  <si>
    <t>Function_AcuRev1320_036_08_case07</t>
  </si>
  <si>
    <t>利用功能码0X66组一条帧读寄存器数量为721的数据</t>
    <phoneticPr fontId="10" type="noConversion"/>
  </si>
  <si>
    <t>2、下发失败，回复错误帧</t>
    <phoneticPr fontId="10" type="noConversion"/>
  </si>
  <si>
    <t>USB升级功能</t>
    <phoneticPr fontId="10" type="noConversion"/>
  </si>
  <si>
    <t>Function_AcuRev1320_036_09_case01</t>
  </si>
  <si>
    <t>slave id为1，表计能利用usb正常升级</t>
    <phoneticPr fontId="10" type="noConversion"/>
  </si>
  <si>
    <t>1、上位机上通过USB连接AcuRev1320电表到Acuview2上，链接状态为connected
2、配置电表slave id为1，利用usb进行电表升级</t>
  </si>
  <si>
    <t>2、电表正常升级，升级成功后电表重启</t>
    <phoneticPr fontId="10" type="noConversion"/>
  </si>
  <si>
    <t>USB升级功能</t>
    <phoneticPr fontId="37" type="noConversion"/>
  </si>
  <si>
    <t>Function_AcuRev1320_036_09_case02</t>
  </si>
  <si>
    <t>slave id为3，表计能利用usb正常升级</t>
    <phoneticPr fontId="37" type="noConversion"/>
  </si>
  <si>
    <t>1、上位机上通过USB连接AcuRev1320电表到Acuview2上，链接状态为connected
2、配置电表slave id为3，利用usb进行电表升级</t>
  </si>
  <si>
    <t>Function_AcuRev1320_036_09_case03</t>
  </si>
  <si>
    <t>修改slave id为247，表计能利用usb正常升级</t>
    <phoneticPr fontId="10" type="noConversion"/>
  </si>
  <si>
    <t>1、上位机上通过USB连接AcuRev1320电表到Acuview2上，链接状态为connected
2、配置电表slave id为247，利用usb进行电表升级</t>
  </si>
  <si>
    <t>上位机利用usb升级过程中表计掉电，上电后能正常升级</t>
    <phoneticPr fontId="10" type="noConversion"/>
  </si>
  <si>
    <t>1、上位机上通过USB连接AcuRev1320电表到Acuview2上，链接状态为connected
2、利用usb进行电表升级，当上位机页面显示clear时，电表掉电，再上电查看电表是否还能进行升级，升级是否成功
3、利用usb进行电表升级，当上位机页面显示升级进度为99%时，电表掉电，再上电查看电表是否还能进行升级，升级是否成功</t>
  </si>
  <si>
    <t>2、电表升级过程中掉电，再上电利用usb不能继续升级，可以利用tcp或者RTU进行强制升级
3、电表升级过程中掉电，再上电利用usb不能继续升级，可以利用tcp或者RTU进行强制升级</t>
  </si>
  <si>
    <t>Function_AcuRev1320_036_09_case05</t>
  </si>
  <si>
    <t>上位机利用usb升级过程中通讯断掉，通讯正常后能正常升级</t>
    <phoneticPr fontId="10" type="noConversion"/>
  </si>
  <si>
    <t>1、上位机上通过USB连接AcuRev1320电表到Acuview2上，链接状态为connected
2、利用usb进行电表升级，当上位机页面显示clear时，断开usb链接，1min左右后恢复链接，查看表计是否还能进行升级，升级是否成功
3、利用usb进行电表升级，当上位机页面显示进度为99%时，断开usb链接，1min左右后恢复链接，查看表计是否还能进行升级，升级是否成功</t>
  </si>
  <si>
    <t xml:space="preserve">2、电表升级过程中断开链接，恢复usb链接后，利用usb不能继续升级，可以利用tcp或者RTU进行强制升级
3、电表升级过程中断开链接，恢复usb链接后，利用usb能继续升级
</t>
  </si>
  <si>
    <t>上位机利用usb升级压力测试</t>
    <phoneticPr fontId="10" type="noConversion"/>
  </si>
  <si>
    <t>3、多次升级均无误，升级成功</t>
  </si>
  <si>
    <t>电压闪变</t>
    <phoneticPr fontId="10" type="noConversion"/>
  </si>
  <si>
    <t>典型场景闪变</t>
    <phoneticPr fontId="12" type="noConversion"/>
  </si>
  <si>
    <t>Function_AcuRev1320_037_01_case1</t>
  </si>
  <si>
    <t>关闭闪变，设备闪变功能失效，Ua、Ub、Uc测量值均为0.</t>
    <phoneticPr fontId="10" type="noConversion"/>
  </si>
  <si>
    <t>1、Acuview2上位机
2、AcuRev1320电表</t>
    <phoneticPr fontId="10" type="noConversion"/>
  </si>
  <si>
    <t>1、Flicker Settings使能重置为Disable
2、检查UaUbUc的Pinst(3s) , Pst(10mins) , Plt(2hours)是否均为0</t>
    <phoneticPr fontId="10" type="noConversion"/>
  </si>
  <si>
    <t>Function_AcuRev1320_037_01_case2</t>
  </si>
  <si>
    <t>Flicker类型120V-50Hz-60W Incandescent， 测量Pinst(3s) , Pst(10mins) , Plt(2hours)</t>
    <phoneticPr fontId="10" type="noConversion"/>
  </si>
  <si>
    <t>1、Flicker Settings使能重置为120V-50Hz-60W Incandescent
2、使用闪变标准信号源输入步骤一中输入闪变信号
3、检查UaUbUc的Pinst(3s) , Pst(10mins) , Plt(2hours)是否均正确</t>
    <phoneticPr fontId="10" type="noConversion"/>
  </si>
  <si>
    <t>3、UaUbUc的Pinst(3s) , Pst(10mins) , Plt(2hours)均正确</t>
    <phoneticPr fontId="10" type="noConversion"/>
  </si>
  <si>
    <t>Function_AcuRev1320_037_01_case3</t>
  </si>
  <si>
    <t>Flicker类型120V-60Hz-60W Incandescent， 测量Pinst(3s) , Pst(10mins) , Plt(2hours)</t>
    <phoneticPr fontId="10" type="noConversion"/>
  </si>
  <si>
    <t>Function_AcuRev1320_037_01_case5</t>
  </si>
  <si>
    <t>Function_AcuRev1320_037_02_case1</t>
  </si>
  <si>
    <t>Flicker类型Automatic，构造100V-55HZ-100W，测量Pinst(3s) , Pst(10mins) , Plt(2hours)</t>
    <phoneticPr fontId="10" type="noConversion"/>
  </si>
  <si>
    <t>Function_AcuRev1320_037_02_case2</t>
  </si>
  <si>
    <t>Flicker类型Automatic，构造200V-65HZ-100W，测量Pinst(3s) , Pst(10mins) , Plt(2hours)</t>
    <phoneticPr fontId="10" type="noConversion"/>
  </si>
  <si>
    <t>Function_AcuRev1320_037_02_case3</t>
  </si>
  <si>
    <t>Flicker类型Automatic，构造300V-50HZ-150W，测量Pinst(3s) , Pst(10mins) , Plt(2hours)</t>
    <phoneticPr fontId="10" type="noConversion"/>
  </si>
  <si>
    <t>Function_AcuRev1320_037_02_case4</t>
  </si>
  <si>
    <t>Flicker类型Automatic，构造400V-60HZ-200W，测量Pinst(3s) , Pst(10mins) , Plt(2hours)</t>
    <phoneticPr fontId="10" type="noConversion"/>
  </si>
  <si>
    <t>AcuCloud(数据推送)</t>
    <phoneticPr fontId="12" type="noConversion"/>
  </si>
  <si>
    <t>Function_AcuRev1320_038_01_case1</t>
  </si>
  <si>
    <t>AcuCloud设置disable，AcuCloud上无法收到电表数据。</t>
    <phoneticPr fontId="10" type="noConversion"/>
  </si>
  <si>
    <t>1、Acuview2上位机
2、AcuRev1320电表
3、TCP通信</t>
    <phoneticPr fontId="10" type="noConversion"/>
  </si>
  <si>
    <t>4、推送周期时刻，AcuCloud上无法收到电表配置推送数据</t>
    <phoneticPr fontId="10" type="noConversion"/>
  </si>
  <si>
    <t>Function_AcuRev1320_038_01_case2</t>
  </si>
  <si>
    <t>AcuCloud设置enable，点击“Test AcuCloud”, 错误token返回链路异常，正常token返回链路正常。</t>
    <phoneticPr fontId="10" type="noConversion"/>
  </si>
  <si>
    <t>3、点击“Test AcuCloud”，弹框提示通信failed
5、点击“Test AcuCloud”，弹框提示通信正常</t>
    <phoneticPr fontId="10" type="noConversion"/>
  </si>
  <si>
    <t>Function_AcuRev1320_038_01_case3</t>
  </si>
  <si>
    <t>AcuCloud设置enable，输入正确token，Cloud页面可观测到数据推送频率(文件生成和推送均为5分钟,且最临近5分钟瞬时数据)、内容均正确。</t>
    <phoneticPr fontId="10" type="noConversion"/>
  </si>
  <si>
    <t xml:space="preserve">1、AcuCloud设置Enable
2、填写正确token
3、点击“Test AcuCloud”，检查通信是否正常
4、检查Cloud页面可观测到数据推送频率(文件生成和推送均为5分钟,且最临近5分钟瞬时数据)、内容是否均正确。
</t>
    <phoneticPr fontId="10" type="noConversion"/>
  </si>
  <si>
    <t>3、点击“Test AcuCloud”，弹框提示通信正常
4、Cloud页面可观测到数据推送频率(文件生成和推送均为5分钟,且最临近5分钟瞬时数据)、内容(137个参数)均正确。</t>
    <phoneticPr fontId="10" type="noConversion"/>
  </si>
  <si>
    <t>Function_AcuRev1320_038_01_case4</t>
  </si>
  <si>
    <t>AcuCloud设置enable，构造错误token，待机15分钟，Cloud页面无法观测到数据；通信恢复后，漏推送数据需要全部补推到Cloud。</t>
    <phoneticPr fontId="10" type="noConversion"/>
  </si>
  <si>
    <t>1、AcuCloud设置Enable
2、构造错误token，然后待机15分钟
3、点击“Test AcuCloud”，检查通信是否正常
4、检查AcuCloud页面是否无法观测到数据
5、填写正确token
6、点击“Test AcuCloud”，检查通信是否正常
7、检查Cloud页面可观测到数据推送频率(文件生成和推送均为5分钟,且最临近5分钟瞬时数据)、内容是否均正确。</t>
    <phoneticPr fontId="10" type="noConversion"/>
  </si>
  <si>
    <t>3、点击“Test AcuCloud”，通信fail
4、AcuCloud页面无法观测到数据
6、点击“Test AcuCloud”，通信正常
7、Cloud页面可观测到数据推送频率(文件生成和推送均为5分钟,且最临近5分钟瞬时数据)、内容均正确。</t>
    <phoneticPr fontId="10" type="noConversion"/>
  </si>
  <si>
    <t>Function_AcuRev1320_038_01_case5</t>
  </si>
  <si>
    <t>AcuCloud设置enable，构造错误token，待机8分钟，Cloud页面无法观测到数据；通信恢复后，漏推送数据需要全部补推到Cloud。</t>
    <phoneticPr fontId="10" type="noConversion"/>
  </si>
  <si>
    <t>1、AcuCloud设置Enable
2、构造错误token，然后待机8分钟
3、点击“Test AcuCloud”，检查通信是否正常
4、检查AcuCloud页面是否无法观测到数据
5、填写正确token
6、点击“Test AcuCloud”，检查通信是否正常
7、检查Cloud页面可观测到数据推送频率(文件生成和推送均为5分钟,且最临近5分钟瞬时数据)、内容是否均正确。</t>
    <phoneticPr fontId="10" type="noConversion"/>
  </si>
  <si>
    <t>Function_AcuRev1320_038_01_case6</t>
    <phoneticPr fontId="10" type="noConversion"/>
  </si>
  <si>
    <t>AcuCloud设置enable，构造错误token，待机31天，Cloud页面无法观测到数据；通信恢复后，漏推送数据需要全部补推到Cloud。</t>
  </si>
  <si>
    <t>1、AcuCloud设置Enable
2、构造错误token，然后待机30天
3、点击“Test AcuCloud”，检查通信是否正常
4、检查AcuCloud页面是否无法观测到数据
5、填写正确token
6、点击“Test AcuCloud”，检查通信是否正常
7、AcuCloud页面是否可观测到通信恢复后，过去30天漏推送数据是否全部补推到Cloud。</t>
    <phoneticPr fontId="10" type="noConversion"/>
  </si>
  <si>
    <t>3、点击“Test AcuCloud”，通信fail
4、AcuCloud页面无法观测到数据
6、点击“Test AcuCloud”，通信正常
7、AcuCloud页面是否可观测到通信恢复后，过去30天漏推送数据是否全部补推到Cloud。(文件生成和推送均为5分钟， 文件个数8,640个)、内容均正确。</t>
    <phoneticPr fontId="10" type="noConversion"/>
  </si>
  <si>
    <t>Function_AcuRev1320_038_01_case7</t>
  </si>
  <si>
    <t>1320设备支持AcuCloud服务证书导入(上位机）</t>
    <phoneticPr fontId="10" type="noConversion"/>
  </si>
  <si>
    <t xml:space="preserve">1、Acuview2上位机
2、AcuRev1320电表
3、TCP通信
</t>
    <phoneticPr fontId="10" type="noConversion"/>
  </si>
  <si>
    <t>1、上位机界面，点击“import Certificate”，导入电表链接到Acucloud的证书
2、检查 AcuCloud上报数据到Acucloud平台正常
3、上位机导入错误证书
4、检查 AcuCloud上报数据到Acucloud平台正常</t>
    <phoneticPr fontId="10" type="noConversion"/>
  </si>
  <si>
    <t>2、AcuCloud上可查看到上报数据到Acucloud平台正常
4、AcuCloud上无法查看到上报数据到Acucloud平台正常</t>
    <phoneticPr fontId="10" type="noConversion"/>
  </si>
  <si>
    <t>Function_AcuRev1320_038_01_case7_1</t>
    <phoneticPr fontId="10" type="noConversion"/>
  </si>
  <si>
    <t>1320设备支持AcuCloud服务证书导入(Web界面)</t>
    <phoneticPr fontId="10" type="noConversion"/>
  </si>
  <si>
    <t>1、Web界面，点击“import Certificate”，导入电表链接到Acucloud的证书
2、检查 AcuCloud上报数据到Acucloud平台正常
3、Web界面导入错误证书
4、检查 AcuCloud上报数据到Acucloud平台正常</t>
    <phoneticPr fontId="10" type="noConversion"/>
  </si>
  <si>
    <t>Function_AcuRev1320_038_01_case8</t>
  </si>
  <si>
    <t>1320设备的AcuCloud与datalog互斥。</t>
  </si>
  <si>
    <t>1、上位机或者WEB界面，打开AcuCloud开关
2、观察Datalog界面的log是否被清除， 且不再产生log
3、上位机或者WEB界面，关闭AcuCloud开关， 等待5分钟(Interval 1mins)
4、观察Datalog界面的log生成是否恢复</t>
    <phoneticPr fontId="10" type="noConversion"/>
  </si>
  <si>
    <t xml:space="preserve">
2、Datalog界面的log被清除， 不再产生log
4、Datalog界面的log生成恢复</t>
    <phoneticPr fontId="10" type="noConversion"/>
  </si>
  <si>
    <t>Function_AcuRev1320_038_01_case9</t>
  </si>
  <si>
    <t>AcuCloud设置enable，构造错误token，待机15分钟，Cloud页面无法观测到数据， 反复掉电重启电表；通信恢复后，漏推送数据需要全部补推到Cloud。</t>
    <phoneticPr fontId="10" type="noConversion"/>
  </si>
  <si>
    <t>1、上位机或者WEB界面，AcuCloud设置enable
2、构造错误token，待机15分钟，反复掉电重启电表
3、上位机或者WEB界面，观察通信恢复后，漏推送数据是否全部补推到Cloud。</t>
    <phoneticPr fontId="10" type="noConversion"/>
  </si>
  <si>
    <t>3、上位机或者WEB界面，观察通信恢复后，漏推送数据需要全部补推到Cloud。</t>
    <phoneticPr fontId="10" type="noConversion"/>
  </si>
  <si>
    <t>Datapost(http&amp;https)</t>
    <phoneticPr fontId="10" type="noConversion"/>
  </si>
  <si>
    <t>Function_AcuRev1320_039_01_case1</t>
  </si>
  <si>
    <t>Datalog Post设置disable，Logger1~3和trendlog将无法上传数据到http服务器</t>
    <phoneticPr fontId="10" type="noConversion"/>
  </si>
  <si>
    <t>2、Logger1~3和trendlog无法上传数据到http和https服务器</t>
    <phoneticPr fontId="10" type="noConversion"/>
  </si>
  <si>
    <t>Function_AcuRev1320_039_01_case3</t>
  </si>
  <si>
    <t>PostProtocol:"http/https", 构造发送数据报文的数量超过100K，点击“save”，提示用户配置无法保存。</t>
    <phoneticPr fontId="10" type="noConversion"/>
  </si>
  <si>
    <t>1、PostProtocol:"http/https", 
2、构造发送数据报文的数量超过100K，点击“save”，Web页面和上位机界面是否提示用户配置无法保存。
构造方法:  datalog 满配，构造发送报文超过100K。</t>
    <phoneticPr fontId="10" type="noConversion"/>
  </si>
  <si>
    <t>2、Web页面和上位机界面提示用户配置无法保存。</t>
    <phoneticPr fontId="10" type="noConversion"/>
  </si>
  <si>
    <t>Web页面和上位机上配置 PostFileLength小于datalog中logging Interval时间，提示失败</t>
    <phoneticPr fontId="10" type="noConversion"/>
  </si>
  <si>
    <t>2、Web页面和上位机上提示失败配置失败或无法保存。</t>
    <phoneticPr fontId="10" type="noConversion"/>
  </si>
  <si>
    <t xml:space="preserve">1320设备支持https服务证书导入(上位机） </t>
    <phoneticPr fontId="10" type="noConversion"/>
  </si>
  <si>
    <t>1320设备支持https服务证书导入(Web界面)</t>
    <phoneticPr fontId="10" type="noConversion"/>
  </si>
  <si>
    <t>Datapost(MQTT)</t>
    <phoneticPr fontId="12" type="noConversion"/>
  </si>
  <si>
    <t>Function_AcuRev1320_039_03_case1</t>
  </si>
  <si>
    <t>MQTT设置disable，Boker服务器页面显示电表客户端状态断连，订阅客户端不会收到电表客户端推送的数据。</t>
    <phoneticPr fontId="10" type="noConversion"/>
  </si>
  <si>
    <t>1、Acuview2上位机
2、AcuRev1320电表
3、TCP通信
4、MQTT环境borker已搭建并配置
5、订阅客户端环境已搭建并配置了订阅信息
6、电表MQTT发布topic已配置。</t>
    <phoneticPr fontId="10" type="noConversion"/>
  </si>
  <si>
    <t>1、MQTT设置disable
2、检查Boker服务器页面显示电表客户端状态是否为断连
3、检查订阅客户端是否不会收到电表客户端推送的数据。</t>
    <phoneticPr fontId="10" type="noConversion"/>
  </si>
  <si>
    <t>2、Boker服务器页面显示电表客户端状态为断连
3、订阅客户端不会收到电表客户端推送的数据。</t>
    <phoneticPr fontId="10" type="noConversion"/>
  </si>
  <si>
    <t>Function_AcuRev1320_039_03_case2</t>
  </si>
  <si>
    <t>MQTT设置enable，UserCredential密码错误，Boker服务器页面显示电表客户端状态断连，订阅客户端不会收到电表客户端推送的数据。</t>
    <phoneticPr fontId="10" type="noConversion"/>
  </si>
  <si>
    <t>1、MQTT设置Enable
2、电表上设置错误UserCredential密码
3、检查Boker服务器页面显示电表客户端状态是否为断连
4、检查订阅客户端是否不会收到电表客户端推送的数据。</t>
    <phoneticPr fontId="10" type="noConversion"/>
  </si>
  <si>
    <t>3、Boker服务器页面显示电表客户端状态为断连
4、订阅客户端不会收到电表客户端推送的数据。</t>
    <phoneticPr fontId="10" type="noConversion"/>
  </si>
  <si>
    <t>Function_AcuRev1320_039_03_case3</t>
  </si>
  <si>
    <t>MQTT设置enable，UserCredential密码正确，Interval设置1s和15s，Parametertype选择"Real-Time"：所有参数, 订阅客户端会收到电表客户端推送的电表数据正确且间隔1s和15s。</t>
    <phoneticPr fontId="10" type="noConversion"/>
  </si>
  <si>
    <t>1、MQTT设置Enable
2、电表上设置正确的UserCredential密码
3、Interval分别设置1s和15s
4、Parametertype选择"Real-Time"：所有参数
5、检查Boker服务器页面显示电表客户端状态是否为断连
6、检查订阅客户端会收到电表客户端推送的电表数据是否正确且间隔1s和15s。</t>
    <phoneticPr fontId="10" type="noConversion"/>
  </si>
  <si>
    <t>5、Boker服务器页面显示电表客户端状态为连接
6、订阅客户端会收到电表客户端推送的电表数据正确且间隔1s和15s。</t>
    <phoneticPr fontId="10" type="noConversion"/>
  </si>
  <si>
    <t>Function_AcuRev1320_039_03_case4</t>
  </si>
  <si>
    <t>MQTT设置enable，UserCredential密码正确，Interval设置480s和600s，Parametertype选择"Real-Time"：所有参数, 订阅客户端会收到电表客户端推送的电表数据正确且间隔480s和600s。</t>
  </si>
  <si>
    <t>1、MQTT设置Enable
2、电表上设置正确的UserCredential密码
3、Interval分别设置480s和600s
4、Parametertype选择"Real-Time"：所有参数
5、检查Boker服务器页面显示电表客户端状态是否为断连
6、检查订阅客户端会收到电表客户端推送的电表数据是否正确且间隔480s和600s。</t>
    <phoneticPr fontId="10" type="noConversion"/>
  </si>
  <si>
    <t>5、Boker服务器页面显示电表客户端状态为连接
6、订阅客户端会收到电表客户端推送的电表数据正确且间隔480s和600s。</t>
    <phoneticPr fontId="10" type="noConversion"/>
  </si>
  <si>
    <t>Function_AcuRev1320_039_03_case5</t>
  </si>
  <si>
    <t>MQTT设置enable，UserCredential密码正确，Interval设置30s和60s，Parametertype选择"Energy"：所有参数, 订阅客户端会收到电表客户端推送的电表数据正确且间隔30s和60s。</t>
    <phoneticPr fontId="10" type="noConversion"/>
  </si>
  <si>
    <t>1、MQTT设置Enable
2、电表上设置正确的UserCredential密码
3、Interval分别设置30s和60s
4、Parametertype选择"Energy"：所有参数
5、检查Boker服务器页面显示电表客户端状态是否为断连
6、检查订阅客户端会收到电表客户端推送的电表数据是否正确且间隔30s和60s。</t>
    <phoneticPr fontId="10" type="noConversion"/>
  </si>
  <si>
    <t>5、Boker服务器页面显示电表客户端状态为连接
6、订阅客户端会收到电表客户端推送的电表数据正确且间隔30s和60s。</t>
    <phoneticPr fontId="10" type="noConversion"/>
  </si>
  <si>
    <t>Function_AcuRev1320_039_03_case6</t>
  </si>
  <si>
    <t>MQTT设置enable，UserCredential密码正确，Interval设置60s和90s，Parametertype选择"Demand"：所有参数, 订阅客户端会收到电表客户端推送的电表数据正确且间隔60s和90s。</t>
    <phoneticPr fontId="10" type="noConversion"/>
  </si>
  <si>
    <t>1、MQTT设置Enable
2、电表上设置正确的UserCredential密码
3、Interval分别设置60s和90s
4、Parametertype选择"Demand"：所有参数
5、检查Boker服务器页面显示电表客户端状态是否为断连
6、检查订阅客户端会收到电表客户端推送的电表数据是否正确且间隔60s和90s。</t>
    <phoneticPr fontId="10" type="noConversion"/>
  </si>
  <si>
    <t>5、Boker服务器页面显示电表客户端状态为连接
6、订阅客户端会收到电表客户端推送的电表数据正确且间隔60s和90s。</t>
    <phoneticPr fontId="10" type="noConversion"/>
  </si>
  <si>
    <t>Function_AcuRev1320_039_03_case7</t>
  </si>
  <si>
    <t>MQTT设置enable，UserCredential密码正确，Interval设置90s和120s，Parametertype选择"Power Quality"：所有参数, 订阅客户端会收到电表客户端推送的电表数据正确且间隔90s和120s。</t>
    <phoneticPr fontId="10" type="noConversion"/>
  </si>
  <si>
    <t>1、MQTT设置Enable
2、电表上设置正确的UserCredential密码
3、Interval分别设置90s和120s
4、Parametertype选择"Power Quality"：所有参数
5、检查Boker服务器页面显示电表客户端状态是否为断连
6、检查订阅客户端会收到电表客户端推送的电表数据是否正确且间隔90s和120s。</t>
    <phoneticPr fontId="10" type="noConversion"/>
  </si>
  <si>
    <t>5、Boker服务器页面显示电表客户端状态为连接
6、订阅客户端会收到电表客户端推送的电表数据正确且间隔90s和120s。</t>
    <phoneticPr fontId="10" type="noConversion"/>
  </si>
  <si>
    <t>Function_AcuRev1320_039_03_case8</t>
  </si>
  <si>
    <t>MQTT设置enable，UserCredential密码正确，Interval设置240s和300s，Parametertype选择"IO"：所有参数, 订阅客户端会收到电表客户端推送的电表数据正确且间隔240s和300s。</t>
    <phoneticPr fontId="10" type="noConversion"/>
  </si>
  <si>
    <t>1、MQTT设置Enable
2、电表上设置正确的UserCredential密码
3、Interval分别设置240s和300s
4、Parametertype选择"IO"：所有参数
5、检查Boker服务器页面显示电表客户端状态是否为断连
6、检查订阅客户端会收到电表客户端推送的电表数据是否正确且间隔240s和300s。</t>
    <phoneticPr fontId="10" type="noConversion"/>
  </si>
  <si>
    <t>5、Boker服务器页面显示电表客户端状态为连接
6、订阅客户端会收到电表客户端推送的电表数据正确且间隔240s和300s。</t>
    <phoneticPr fontId="10" type="noConversion"/>
  </si>
  <si>
    <t>Datalogger1</t>
    <phoneticPr fontId="12" type="noConversion"/>
  </si>
  <si>
    <t>Function_AcuRev1320_040_01_case1</t>
  </si>
  <si>
    <t>datalogger1选择(实时参数、电压电流需量、电能、THD、谐波、序列分量、相角、DI、双源电能参数)，选择通道参数组合1(上报频率1 s), 文件推送数据和频率正常</t>
  </si>
  <si>
    <t>1、Acuview2上位机
2、AcuRev1320电表
3、TCP通信
4、使能DataLog</t>
    <phoneticPr fontId="10" type="noConversion"/>
  </si>
  <si>
    <t>1、datalogger1选择(实时参数、电压电流需量、电能、THD、谐波、序列分量、相角、DI、双源电能参数)
2、选择通道参数组合1(上报频率1 s)
参数组合1: 
EnableDatalogpost:"enable"，
PostProtocol:"http"，URL:"http:xxx", 
LogFileFormat:"JSON",
TimestampFormat:"LocaltimeString，e.g,2017-01-01 10:00",
LogFileNameFormat:"UTC timestamp,e.g logger1-148457800.JSON", 
LogInterval:"1 s",
PostFileLength:"1 mins",
datalog中logging Interval设置1mins
3、检查是否1mins上传一个文件 ，且文件推送数据格式及内容正常，</t>
    <phoneticPr fontId="10" type="noConversion"/>
  </si>
  <si>
    <t>3、间隔 1mins上传一个文件 ，且文件推送数据格式及内容正常。</t>
    <phoneticPr fontId="10" type="noConversion"/>
  </si>
  <si>
    <t>Function_AcuRev1320_040_01_case2</t>
  </si>
  <si>
    <t>datalogger1选择(实时参数、电压电流需量、电能、THD、谐波、序列分量、相角、DI、双源电能参数)，选择通道参数组合2(上报频率60s), 文件推送数据和频率正常</t>
  </si>
  <si>
    <t>3、间隔 4mins上传2个文件 ，且文件推送数据格式及内容正常。</t>
    <phoneticPr fontId="10" type="noConversion"/>
  </si>
  <si>
    <t>Function_AcuRev1320_040_01_case3</t>
  </si>
  <si>
    <t>datalogger1选择(实时参数、电压电流需量、电能、THD、谐波、序列分量、相角、DI、双源电能参数)，选择通道参数组合3(上报频率300 s), 文件推送数据和频率正常</t>
  </si>
  <si>
    <t>3、间隔 10mins上传2个文件 ，且文件推送数据格式及内容正常。</t>
    <phoneticPr fontId="10" type="noConversion"/>
  </si>
  <si>
    <t>Function_AcuRev1320_040_01_case4</t>
  </si>
  <si>
    <t>datalogger1选择(实时参数、电压电流需量、电能、THD、谐波、序列分量、相角、DI、双源电能参数)，选择通道参数组合4(上报频率600s), 文件推送数据和频率正常</t>
  </si>
  <si>
    <t>3、 间隔 10mins上传一个文件 ，且文件推送数据格式及内容正常。</t>
    <phoneticPr fontId="10" type="noConversion"/>
  </si>
  <si>
    <t>datalogger1选择(实时参数、电压电流需量、电能、THD、谐波、序列分量、相角、DI、双源电能参数)，选择通道参数组合5(上报频率1800 s), 文件推送数据和频率正常</t>
    <phoneticPr fontId="10" type="noConversion"/>
  </si>
  <si>
    <t>3、 间隔 30mins上传30个文件 ，且文件推送数据格式及内容正常。</t>
    <phoneticPr fontId="10" type="noConversion"/>
  </si>
  <si>
    <t>Function_AcuRev1320_040_01_case6</t>
  </si>
  <si>
    <t>datalogger1选择(实时参数、电压电流需量、电能、THD、谐波、序列分量、相角、DI、双源电能参数)，选择通道参数组合6(上报频率86400 s), 文件推送数据和频率正常</t>
    <phoneticPr fontId="10" type="noConversion"/>
  </si>
  <si>
    <t>3、 间隔24hours 上传720个文件 ，且文件推送数据格式及内容正常。</t>
    <phoneticPr fontId="10" type="noConversion"/>
  </si>
  <si>
    <t>Datalogger1</t>
    <phoneticPr fontId="10" type="noConversion"/>
  </si>
  <si>
    <t>Function_AcuRev1320_040_01_case7</t>
  </si>
  <si>
    <t>datalogger1选择(实时参数、电压电流需量、电能、THD、谐波、序列分量、相角、DI、双源电能参数)，选择通道参数组合7(上报频率604800  s), 文件推送数据和频率正常</t>
    <phoneticPr fontId="10" type="noConversion"/>
  </si>
  <si>
    <t>3、间隔  7 day上传720个文件 ，且文件推送数据格式及内容正常。</t>
    <phoneticPr fontId="10" type="noConversion"/>
  </si>
  <si>
    <t>Function_AcuRev1320_040_01_case8</t>
  </si>
  <si>
    <t>AcuCloud功能与DataLog互斥</t>
    <phoneticPr fontId="10" type="noConversion"/>
  </si>
  <si>
    <t>Function_AcuRev1320_040_01_case9</t>
  </si>
  <si>
    <t>上位机上 Post File Length 输入范围1~43200 mins， Log Post Interval 输入范围1~2592000 seconds，范围检查正确。</t>
    <phoneticPr fontId="10" type="noConversion"/>
  </si>
  <si>
    <t xml:space="preserve">
2、点击update， 检查保存成功
4、点击update， 检查保存成功</t>
    <phoneticPr fontId="10" type="noConversion"/>
  </si>
  <si>
    <t>Function_AcuRev1320_040_01_case10</t>
  </si>
  <si>
    <t>datalogger1选择，选择通道参数组合2(上报频率60s),  配置错误Token，等待T1(10分钟)，并掉电重启，然后配置正确Token值，T1时间错过的文件在通信恢复后，补充推送数据</t>
    <phoneticPr fontId="10" type="noConversion"/>
  </si>
  <si>
    <t xml:space="preserve">1、Acuview2上位机
2、AcuRev1320电表
3、TCP通信
4、关闭DataLog
</t>
    <phoneticPr fontId="10" type="noConversion"/>
  </si>
  <si>
    <t>6、过去10分钟，datalogger1的数据未上传到http server上
8、T1时间错过的文件在通信恢复后，补充推送数据到http server上</t>
    <phoneticPr fontId="10" type="noConversion"/>
  </si>
  <si>
    <t>Datalogger2</t>
    <phoneticPr fontId="12" type="noConversion"/>
  </si>
  <si>
    <t>Function_AcuRev1320_040_02_case1</t>
  </si>
  <si>
    <t>datalogger2选择(实时参数、电压电流需量、电能、THD、谐波、序列分量、相角、DI、双源电能参数)，选择通道参数组合1(上报频率1 s), 文件推送数据和频率正常</t>
  </si>
  <si>
    <t>Function_AcuRev1320_040_02_case2</t>
  </si>
  <si>
    <t>datalogger2选择(实时参数、电压电流需量、电能、THD、谐波、序列分量、相角、DI、双源电能参数)，选择通道参数组合2(上报频率60s), 文件推送数据和频率正常</t>
  </si>
  <si>
    <t>1、datalogger2选择(实时参数、电压电流需量、电能、THD、谐波、序列分量、相角、DI、双源电能参数)
2、选择通道参数组合 (上报频率  60s)
参数组合2:
EnableDatalogpost:"enable"，
PostProtocol:"https"，URL:"https:xxx", 
LogFileFormat:"JSON",
TimestampFormat:"LocaltimeString，e.g,2017-01-01 10:00",
LogFileNameFormat:"UTC timestamp,e.g logger1-148457800.JSON", 
LogInterval:"60 s",
PostFileLength:"4 mins",
datalog中logging Interval设置2mins
3、检查是否4mins上传2个文件 ，且文件推送数据格式及内容正常</t>
    <phoneticPr fontId="10" type="noConversion"/>
  </si>
  <si>
    <t>datalogger3选择(实时参数、电压电流需量、电能、THD、谐波、序列分量、相角、DI、双源电能参数)，选择通道参数组合3(上报频率300 s), 文件推送数据和频率正常</t>
  </si>
  <si>
    <t>Function_AcuRev1320_040_03_case2</t>
  </si>
  <si>
    <t>datalogger3选择(实时参数、电压电流需量、电能、THD、谐波、序列分量、相角、DI、双源电能参数)，选择通道参数组合4(上报频率600s), 文件推送数据和频率正常</t>
  </si>
  <si>
    <t>trendlog</t>
    <phoneticPr fontId="12" type="noConversion"/>
  </si>
  <si>
    <t>Function_AcuRev1320_040_04_case1</t>
  </si>
  <si>
    <t>Trendlog选择(实时参数、电压电流需量、电能、THD、谐波、序列分量、相角、DI、双源电能参数)，选择通道参数组合2(上报频率60s), 文件推送数据和频率正常</t>
    <phoneticPr fontId="10" type="noConversion"/>
  </si>
  <si>
    <t>1、Trendlog选择(实时参数、电压电流需量、电能、THD、谐波、序列分量、相角、DI、双源电能参数)
2、选择通道参数组合 (上报频率  60s)
参数组合2:
EnableDatalogpost:"enable"，
PostProtocol:"https"，URL:"https:xxx", 
LogFileFormat:"JSON",
TimestampFormat:"LocaltimeString，e.g,2017-01-01 10:00",
LogFileNameFormat:"UTC timestamp,e.g logger1-148457800.JSON", 
LogInterval:"60 s",
PostFileLength:"4 mins",
datalog中logging Interval设置2mins
3、检查是否4mins上传2个文件 ，且文件推送数据格式及内容正常</t>
    <phoneticPr fontId="10" type="noConversion"/>
  </si>
  <si>
    <t>Function_AcuRev1320_040_04_case2</t>
  </si>
  <si>
    <t>Trendlog选择(实时参数、电压电流需量、电能、THD、谐波、序列分量、相角、DI、双源电能参数)，选择通道参数组合3(上报频率300 s), 文件推送数据和频率正常</t>
  </si>
  <si>
    <t>DualSource通信控制(Grid)</t>
    <phoneticPr fontId="12" type="noConversion"/>
  </si>
  <si>
    <t>Function_AcuRev1320_042_01_case1</t>
  </si>
  <si>
    <t>切换模式comm，Direction为Grid，Energy1&amp;2&amp;3设置EP_A,&amp;EP_B&amp;EP_C, Grid计算正确</t>
    <phoneticPr fontId="10" type="noConversion"/>
  </si>
  <si>
    <t>1、切换模式comm
2、Direction为Grid
3、Energy1&amp;2&amp;3设置EP_A,&amp;EP_B&amp;EP_C
4、等待5分钟，
5、检查Energy1&amp;2&amp;3的Grid计算是否正确， Energy1&amp;2&amp;3General增加为0</t>
    <phoneticPr fontId="10" type="noConversion"/>
  </si>
  <si>
    <t>5、Energy1&amp;2&amp;3的Grid计算正确， Energy1&amp;2&amp;3 General增加为0</t>
    <phoneticPr fontId="10" type="noConversion"/>
  </si>
  <si>
    <t>切换模式comm，Direction为Grid，Energy1&amp;2&amp;3设置Eq_A,&amp;Eq_B&amp;Eq_C, Grid计算正确</t>
    <phoneticPr fontId="10" type="noConversion"/>
  </si>
  <si>
    <t>切换模式comm，Direction为Grid，Energy1&amp;2&amp;3设置Es_A,&amp;Es_B&amp;Es_C, Grid计算正确</t>
    <phoneticPr fontId="10" type="noConversion"/>
  </si>
  <si>
    <t>Function_AcuRev1320_042_01_case4</t>
  </si>
  <si>
    <t>Function_AcuRev1320_042_01_case5</t>
  </si>
  <si>
    <t>切换模式comm，Direction为Grid，Energy1&amp;2&amp;3设置EP_B,&amp;EP_B&amp;EP_B, Grid计算正确</t>
    <phoneticPr fontId="10" type="noConversion"/>
  </si>
  <si>
    <t>Function_AcuRev1320_042_01_case6</t>
  </si>
  <si>
    <t>切换模式comm，Direction为Grid，Energy1&amp;2&amp;3设置Ep,&amp;Ep&amp;Ep, Grid计算正确</t>
    <phoneticPr fontId="10" type="noConversion"/>
  </si>
  <si>
    <t>切换模式comm，Direction为Grid，Energy1&amp;2&amp;3设置Es,&amp;Es&amp;Es, Grid计算正确</t>
    <phoneticPr fontId="10" type="noConversion"/>
  </si>
  <si>
    <t>Function_AcuRev1320_042_01_case8</t>
  </si>
  <si>
    <t>切换模式comm，Direction为Grid，Energy1&amp;2&amp;3设置undefined, Grid计算正确</t>
    <phoneticPr fontId="10" type="noConversion"/>
  </si>
  <si>
    <t>5、Energy1&amp;2&amp;3的Grid增加为0， Energy1&amp;2&amp;3 General增加为0</t>
    <phoneticPr fontId="10" type="noConversion"/>
  </si>
  <si>
    <t>Function_AcuRev1320_042_01_case9</t>
  </si>
  <si>
    <t>切换模式comm，Direction为Grid，Energy1&amp;2&amp;3设置Ep_B,&amp;Eq_A&amp;Es_C, Grid计算正确</t>
    <phoneticPr fontId="10" type="noConversion"/>
  </si>
  <si>
    <t>Function_AcuRev1320_042_01_case10</t>
  </si>
  <si>
    <t>切换模式comm，Direction为Grid，Energy1&amp;2&amp;3设置Ep_C,&amp;Ep_B&amp;Es_A, Grid计算正确</t>
    <phoneticPr fontId="10" type="noConversion"/>
  </si>
  <si>
    <t>Function_AcuRev1320_042_01_case11</t>
  </si>
  <si>
    <t>切换模式comm，Direction为Grid，Energy1&amp;2&amp;3设置Es_C,&amp;Ep_B&amp;Es, Grid计算正确</t>
    <phoneticPr fontId="10" type="noConversion"/>
  </si>
  <si>
    <t>Function_AcuRev1320_042_01_case12</t>
  </si>
  <si>
    <t>切换模式comm，Direction为Grid，Energy1&amp;2&amp;3设置Ep,&amp;Ep_B&amp;Es, Grid计算正确</t>
    <phoneticPr fontId="10" type="noConversion"/>
  </si>
  <si>
    <t>Function_AcuRev1320_042_01_case13</t>
  </si>
  <si>
    <t>切换模式comm，Direction为Grid，Energy1&amp;2&amp;3设置Ep,&amp;undefined&amp;Es, Grid计算正确</t>
    <phoneticPr fontId="10" type="noConversion"/>
  </si>
  <si>
    <t>Function_AcuRev1320_042_01_case14</t>
  </si>
  <si>
    <t>Grid不使能，Grid功能失效，上位机不展示Grid内容</t>
    <phoneticPr fontId="10" type="noConversion"/>
  </si>
  <si>
    <t>DualSource通信控制(Generator)</t>
    <phoneticPr fontId="12" type="noConversion"/>
  </si>
  <si>
    <t>Function_AcuRev1320_042_02_case1</t>
  </si>
  <si>
    <t>切换模式comm，Direction为Generator，Energy1&amp;2&amp;3设置EP_A,&amp;EP_B&amp;EP_C, Generator计算正确</t>
    <phoneticPr fontId="10" type="noConversion"/>
  </si>
  <si>
    <t>1、切换模式comm
2、Direction为Generator
3、Energy1&amp;2&amp;3设置EP_A,&amp;EP_B&amp;EP_C
4、等待5分钟，
5、检查Energy1&amp;2&amp;3的Generator计算是否正确， Energy1&amp;2&amp;3 Grid增加为0</t>
    <phoneticPr fontId="10" type="noConversion"/>
  </si>
  <si>
    <t>5、Energy1&amp;2&amp;3的Generator计算正确， Energy1&amp;2&amp;3 Grid增加为0</t>
    <phoneticPr fontId="10" type="noConversion"/>
  </si>
  <si>
    <t>Function_AcuRev1320_042_02_case2</t>
  </si>
  <si>
    <t>切换模式comm，Direction为Generator，Energy1&amp;2&amp;3设置Eq_A,&amp;Eq_B&amp;Eq_C, Generator计算正确</t>
    <phoneticPr fontId="10" type="noConversion"/>
  </si>
  <si>
    <t>切换模式comm，Direction为Generator，Energy1&amp;2&amp;3设置Es_A,&amp;Es_B&amp;Es_C, Generator计算正确</t>
    <phoneticPr fontId="10" type="noConversion"/>
  </si>
  <si>
    <t>Function_AcuRev1320_042_02_case4</t>
  </si>
  <si>
    <t>切换模式comm，Direction为Generator，Energy1&amp;2&amp;3设置Ep,&amp;Eq&amp;Es, Generator计算正确</t>
    <phoneticPr fontId="10" type="noConversion"/>
  </si>
  <si>
    <t>Function_AcuRev1320_042_02_case5</t>
  </si>
  <si>
    <t>切换模式comm，Direction为Generator，Energy1&amp;2&amp;3设置EP_A,&amp;EP_A&amp;EP_A, Generator计算正确</t>
    <phoneticPr fontId="10" type="noConversion"/>
  </si>
  <si>
    <t>Function_AcuRev1320_042_02_case6</t>
  </si>
  <si>
    <t>切换模式comm，Direction为Generator，Energy1&amp;2&amp;3设置Ep,&amp;Ep&amp;Ep, Generator计算正确</t>
    <phoneticPr fontId="10" type="noConversion"/>
  </si>
  <si>
    <t>Function_AcuRev1320_042_02_case7</t>
  </si>
  <si>
    <t>切换模式comm，Direction为Generator，Energy1&amp;2&amp;3设置Es,&amp;Es&amp;Es, Generator计算正确</t>
    <phoneticPr fontId="10" type="noConversion"/>
  </si>
  <si>
    <t>Function_AcuRev1320_042_02_case8</t>
  </si>
  <si>
    <t>切换模式comm，Direction为Generator，Energy1&amp;2&amp;3设置undefined, Generator计算正确</t>
    <phoneticPr fontId="10" type="noConversion"/>
  </si>
  <si>
    <t>5、Energy1&amp;2&amp;3的Generator增加为0， Energy1&amp;2&amp;3 Grid增加为0</t>
    <phoneticPr fontId="10" type="noConversion"/>
  </si>
  <si>
    <t>Function_AcuRev1320_042_02_case9</t>
  </si>
  <si>
    <t>Function_AcuRev1320_042_02_case10</t>
  </si>
  <si>
    <t>切换模式comm，Direction为Generator，Energy1&amp;2&amp;3设置Ep_C,&amp;Ep_B&amp;Es_A, Generator计算正确</t>
    <phoneticPr fontId="10" type="noConversion"/>
  </si>
  <si>
    <t>Function_AcuRev1320_042_02_case11</t>
  </si>
  <si>
    <t>切换模式comm，Direction为Generator，Energy1&amp;2&amp;3设置Eq_B,&amp;Ep_C&amp;Es, Generator计算正确</t>
    <phoneticPr fontId="10" type="noConversion"/>
  </si>
  <si>
    <t>Function_AcuRev1320_042_02_case12</t>
  </si>
  <si>
    <t>切换模式comm，Direction为Generator，Energy1&amp;2&amp;3设置Ep&amp;Ep_B&amp;Es, Generator计算正确</t>
    <phoneticPr fontId="10" type="noConversion"/>
  </si>
  <si>
    <t>Function_AcuRev1320_042_02_case13</t>
  </si>
  <si>
    <t>切换模式comm，Direction为Generator，Energy1&amp;2&amp;3设置Ep&amp;undefined&amp;Es, Generator计算正确</t>
    <phoneticPr fontId="10" type="noConversion"/>
  </si>
  <si>
    <t>DualSource DI控制</t>
    <phoneticPr fontId="12" type="noConversion"/>
  </si>
  <si>
    <t>Function_AcuRev1320_042_03_case1</t>
  </si>
  <si>
    <t>DI1模式,高电平,Energy1&amp;2&amp;3设置EP_A,&amp;EP_B&amp;EP_C,则generator能量增加正确，Grid能量不变</t>
    <phoneticPr fontId="10" type="noConversion"/>
  </si>
  <si>
    <t>1、DI1模式
2、Energy1&amp;2&amp;3设置EP_A,&amp;EP_B&amp;EP_C
3、DI1触发高电平
4、等待5分钟
5、检查generator能量增加是否正确，Grid能量不变</t>
    <phoneticPr fontId="10" type="noConversion"/>
  </si>
  <si>
    <t>5、Energy1&amp;2&amp;3的generator能量增加正确，Grid能量不变</t>
    <phoneticPr fontId="10" type="noConversion"/>
  </si>
  <si>
    <t>Function_AcuRev1320_042_03_case2</t>
  </si>
  <si>
    <t>DI1模式,低电平,Energy1&amp;2&amp;3设置EP_A,&amp;EP_B&amp;EP_C,则Grid能量增加正确，generator能量不变</t>
    <phoneticPr fontId="10" type="noConversion"/>
  </si>
  <si>
    <t>1、DI1模式
2、Energy1&amp;2&amp;3设置EP_A,&amp;EP_B&amp;EP_C
3、DI1触发低电平
4、等待5分钟
5、检查Grid能量增加是否正确，generator能量不变</t>
    <phoneticPr fontId="10" type="noConversion"/>
  </si>
  <si>
    <t>5、Energy1&amp;2&amp;3的Grid能量增加正确，generator能量不变</t>
    <phoneticPr fontId="10" type="noConversion"/>
  </si>
  <si>
    <t>Function_AcuRev1320_042_03_case3</t>
  </si>
  <si>
    <t>DI1模式,高电平,Energy1&amp;2&amp;3设置Eq_A,&amp;Eq_B&amp;Eq_C,则generator能量增加正确，Grid能量不变</t>
    <phoneticPr fontId="10" type="noConversion"/>
  </si>
  <si>
    <t>1、DI1模式
2、Energy1&amp;2&amp;3设置Eq_A,&amp;Eq_B&amp;Eq_C
3、DI1触发高电平
4、等待5分钟
5、检查generator能量增加是否正确，Grid能量不变</t>
    <phoneticPr fontId="10" type="noConversion"/>
  </si>
  <si>
    <t>DI1模式,高电平,Energy1&amp;2&amp;3设置Eq_A,&amp;Eq_B&amp;Eq_C,则Grid能量增加正确，generator能量不变</t>
    <phoneticPr fontId="10" type="noConversion"/>
  </si>
  <si>
    <t>1、DI1模式
2、Energy1&amp;2&amp;3设置Eq_A,&amp;Eq_B&amp;Eq_C
3、DI1触发低电平
4、等待5分钟
5、检查Grid能量增加是否正确，generator能量不变</t>
    <phoneticPr fontId="10" type="noConversion"/>
  </si>
  <si>
    <t>Function_AcuRev1320_042_03_case5</t>
  </si>
  <si>
    <t>DI1模式,高电平,Energy1&amp;2&amp;3设置Es_A,&amp;Es_B&amp;Es_C,则generator能量增加正确，Grid能量不变</t>
    <phoneticPr fontId="10" type="noConversion"/>
  </si>
  <si>
    <t>1、DI1模式
2、Energy1&amp;2&amp;3设置Es_A,&amp;Es_B&amp;Es_C,
3、DI1触发高电平
4、等待5分钟
5、检查generator能量增加是否正确，Grid能量不变</t>
    <phoneticPr fontId="10" type="noConversion"/>
  </si>
  <si>
    <t>Function_AcuRev1320_042_03_case6</t>
  </si>
  <si>
    <t>DI1模式,低电平,Energy1&amp;2&amp;3设置Es_A,&amp;Es_B&amp;Es_C,则Grid能量增加正确，generator能量不变</t>
    <phoneticPr fontId="10" type="noConversion"/>
  </si>
  <si>
    <t>1、DI1模式
2、Energy1&amp;2&amp;3设置Es_A,&amp;Es_B&amp;Es_C
3、DI1触发低电平
4、等待5分钟
5、检查Grid能量增加是否正确，generator能量不变</t>
    <phoneticPr fontId="10" type="noConversion"/>
  </si>
  <si>
    <t>Function_AcuRev1320_042_03_case7</t>
  </si>
  <si>
    <t>DI1模式,高电平,Energy1&amp;2&amp;3设置Ep,&amp;Eq&amp;Es,则generator能量增加正确，Grid能量不变</t>
    <phoneticPr fontId="10" type="noConversion"/>
  </si>
  <si>
    <t>1、DI1模式
2、Energy1&amp;2&amp;3设置Ep,&amp;Eq&amp;Es
3、DI1触发高电平
4、等待5分钟
5、检查generator能量增加是否正确，Grid能量不变</t>
    <phoneticPr fontId="10" type="noConversion"/>
  </si>
  <si>
    <t>Function_AcuRev1320_042_03_case8</t>
  </si>
  <si>
    <t>DI1模式,低电平,Energy1&amp;2&amp;3设置Ep,&amp;Eq&amp;Es,则Grid能量增加正确，generator能量不变</t>
    <phoneticPr fontId="10" type="noConversion"/>
  </si>
  <si>
    <t>1、DI1模式
2、Energy1&amp;2&amp;3设置Ep,&amp;Eq&amp;Es
3、DI1触发低电平
4、等待5分钟
5、检查Grid能量增加是否正确，generator能量不变</t>
    <phoneticPr fontId="10" type="noConversion"/>
  </si>
  <si>
    <t>Function_AcuRev1320_042_03_case9</t>
  </si>
  <si>
    <t>DI2模式,高电平,Energy1&amp;2&amp;3设置EP_A,&amp;EP_B&amp;EP_C, 则generator能量增加正确，Grid能量不变</t>
    <phoneticPr fontId="10" type="noConversion"/>
  </si>
  <si>
    <t>1、DI2模式
2、Energy1&amp;2&amp;3设置EP_A,&amp;EP_B&amp;EP_C
3、DI1触发高电平
4、等待5分钟
5、检查generator能量增加是否正确，Grid能量不变</t>
    <phoneticPr fontId="10" type="noConversion"/>
  </si>
  <si>
    <t>DI2模式,低电平,Energy1&amp;2&amp;3设置EP_A,&amp;EP_B&amp;EP_C, 则Grid能量增加正确，generator能量不变</t>
    <phoneticPr fontId="10" type="noConversion"/>
  </si>
  <si>
    <t>1、DI2模式
2、Energy1&amp;2&amp;3设置EP_A,&amp;EP_B&amp;EP_C
3、DI1触发低电平
4、等待5分钟
5、检查Grid能量增加是否正确，generator能量不变</t>
    <phoneticPr fontId="10" type="noConversion"/>
  </si>
  <si>
    <t>DI2模式,高电平,Energy1&amp;2&amp;3设置Ep,&amp;Eq&amp;Es, 则generator能量增加正确，Grid能量不变</t>
    <phoneticPr fontId="10" type="noConversion"/>
  </si>
  <si>
    <t>1、DI2模式
2、Energy1&amp;2&amp;3设置Ep,&amp;Eq&amp;Es
3、DI1触发高电平
4、等待5分钟
5、检查generator能量增加是否正确，Grid能量不变</t>
    <phoneticPr fontId="10" type="noConversion"/>
  </si>
  <si>
    <t>Function_AcuRev1320_042_03_case12</t>
  </si>
  <si>
    <t>DI2模式,低电平,Energy1&amp;2&amp;3设置Ep,&amp;Eq&amp;Es, 则Grid能量增加正确，generator能量不变</t>
    <phoneticPr fontId="10" type="noConversion"/>
  </si>
  <si>
    <t>1、DI2模式
2、Energy1&amp;2&amp;3设置Ep,&amp;Eq&amp;Es
3、DI1触发低电平
4、等待5分钟
5、检查Grid能量增加是否正确，generator能量不变</t>
    <phoneticPr fontId="10" type="noConversion"/>
  </si>
  <si>
    <t>Function_AcuRev1320_042_03_case13</t>
  </si>
  <si>
    <t>DI3模式,高电平,Energy1&amp;2&amp;3设置EP_A,&amp;EP_B&amp;EP_C,则generator能量增加正确，Grid能量不变</t>
    <phoneticPr fontId="10" type="noConversion"/>
  </si>
  <si>
    <t>1、DI3模式
2、Energy1&amp;2&amp;3设置EP_A,&amp;EP_B&amp;EP_C
3、DI1触发高电平
4、等待5分钟
5、检查generator能量增加是否正确，Grid能量不变</t>
    <phoneticPr fontId="10" type="noConversion"/>
  </si>
  <si>
    <t>Function_AcuRev1320_042_03_case14</t>
  </si>
  <si>
    <t>DI3模式,低电平,Energy1&amp;2&amp;3设置EP_A,&amp;EP_B&amp;EP_C,则Grid能量增加正确，generator能量不变</t>
    <phoneticPr fontId="10" type="noConversion"/>
  </si>
  <si>
    <t>1、DI3模式
2、Energy1&amp;2&amp;3设置EP_A,&amp;EP_B&amp;EP_C
3、DI1触发低电平
4、等待5分钟
5、检查Grid能量增加是否正确，generator能量不变</t>
    <phoneticPr fontId="10" type="noConversion"/>
  </si>
  <si>
    <t>Function_AcuRev1320_042_03_case15</t>
  </si>
  <si>
    <t>DI3模式,高电平,Energy1&amp;2&amp;3设置Ep,&amp;Eq&amp;Es,则generator能量增加正确，Grid能量不变</t>
    <phoneticPr fontId="10" type="noConversion"/>
  </si>
  <si>
    <t>Function_AcuRev1320_042_03_case16</t>
  </si>
  <si>
    <t>DI3模式,低电平,Energy1&amp;2&amp;3设置Ep,&amp;Eq&amp;Es,则Grid能量增加正确，generator能量不变</t>
    <phoneticPr fontId="10" type="noConversion"/>
  </si>
  <si>
    <t>1、DI3模式
2、Energy1&amp;2&amp;3设置Ep,&amp;Eq&amp;Es
3、DI1触发低电平
4、等待5分钟
5、检查Grid能量增加是否正确，generator能量不变</t>
    <phoneticPr fontId="10" type="noConversion"/>
  </si>
  <si>
    <t>DualSource log及清除</t>
    <phoneticPr fontId="12" type="noConversion"/>
  </si>
  <si>
    <t>Function_AcuRev1320_042_04_case1</t>
  </si>
  <si>
    <t>comm模式，Energy1&amp;2&amp;3设置EP_A,&amp;EP_B&amp;EP_C,  等待3mins，Grid切generator，DualSource log生成及读取正常</t>
    <phoneticPr fontId="10" type="noConversion"/>
  </si>
  <si>
    <t>1、comm模式，
2、Energy1&amp;2&amp;3设置EP_A,&amp;EP_B&amp;EP_C,  
3、等待3mins，
4、Grid切generator，
5、检查DualSource log生成及读取是否正确</t>
    <phoneticPr fontId="10" type="noConversion"/>
  </si>
  <si>
    <t>5、DualSource log生成成功，读取读取成功，显示数据正确。</t>
    <phoneticPr fontId="10" type="noConversion"/>
  </si>
  <si>
    <t>Function_AcuRev1320_042_04_case2</t>
  </si>
  <si>
    <t>comm模式，Energy1&amp;2&amp;3设置Eq_A,&amp;Eq_B&amp;Eq_C,  等待3mins，generator切Grid,   DualSource log生成及读取正常</t>
    <phoneticPr fontId="10" type="noConversion"/>
  </si>
  <si>
    <t>1、comm模式，
2、Energy1&amp;2&amp;3设置Eq_A,&amp;Eq_B&amp;Eq_C
3、等待3mins，
4、generator切Grid,
5、检查DualSource log生成及读取是否正确</t>
    <phoneticPr fontId="10" type="noConversion"/>
  </si>
  <si>
    <t>Function_AcuRev1320_042_04_case3</t>
  </si>
  <si>
    <t>comm模式，Energy1&amp;2&amp;3设置Es_A,&amp;Es_B&amp;Es_C,   等待3mins，Grid切generator，DualSource log生成及读取正常</t>
    <phoneticPr fontId="10" type="noConversion"/>
  </si>
  <si>
    <t>1、comm模式，
2、Energy1&amp;2&amp;3设置Es_A,&amp;Es_B&amp;Es_C
3、等待3mins，
4、Grid切generator
5、检查DualSource log生成及读取是否正确</t>
    <phoneticPr fontId="10" type="noConversion"/>
  </si>
  <si>
    <t>Function_AcuRev1320_042_04_case4</t>
  </si>
  <si>
    <t>comm模式，Energy1&amp;2&amp;3设置Ep,&amp;Eq&amp;Es,              等待3mins，generator切Grid，DualSource log生成及读取正常</t>
    <phoneticPr fontId="10" type="noConversion"/>
  </si>
  <si>
    <t>1、comm模式，
2、Energy1&amp;2&amp;3设置Ep,&amp;Eq&amp;Es
3、等待3mins，
4、generator切Grid
5、检查DualSource log生成及读取是否正确</t>
    <phoneticPr fontId="10" type="noConversion"/>
  </si>
  <si>
    <t>Function_AcuRev1320_042_04_case5</t>
  </si>
  <si>
    <t>DI1模式，Energy1&amp;2&amp;3设置EP_A,&amp;EP_B&amp;EP_C,  等待3mins，低电平切换高电平(Grid切generator)，DualSource log生成及读取正常</t>
    <phoneticPr fontId="10" type="noConversion"/>
  </si>
  <si>
    <t>1、DI1模式，
2、Energy1&amp;2&amp;3设置EP_A,&amp;EP_B&amp;EP_C
3、等待3mins，
4、低电平切换高电平(Grid切generator)
5、检查DualSource log生成及读取是否正确</t>
    <phoneticPr fontId="10" type="noConversion"/>
  </si>
  <si>
    <t>Function_AcuRev1320_042_04_case6</t>
  </si>
  <si>
    <t>DI1模式，Energy1&amp;2&amp;3设置EP_A,&amp;EP_B&amp;EP_C,  等待3mins，高电平切换低电平(generator切Grid)，DualSource log生成及读取正常</t>
    <phoneticPr fontId="10" type="noConversion"/>
  </si>
  <si>
    <t>1、DI1模式，
2、Energy1&amp;2&amp;3设置EP_A,&amp;EP_B&amp;EP_C
3、等待3mins，
4、高电平切换低电平(generator切Grid)
5、检查DualSource log生成及读取是否正确</t>
    <phoneticPr fontId="10" type="noConversion"/>
  </si>
  <si>
    <t>Function_AcuRev1320_042_04_case7</t>
  </si>
  <si>
    <t>DI2模式，Energy1&amp;2&amp;3设置Eq_A,&amp;Eq_B&amp;Eq_C,  等待3mins，低电平切换高电平(Grid切generator)，DualSource log生成及读取正常</t>
    <phoneticPr fontId="10" type="noConversion"/>
  </si>
  <si>
    <t>1、DI2模式，
2、nergy1&amp;2&amp;3设置Eq_A,&amp;Eq_B&amp;Eq_C
3、等待3mins，
4、低电平切换高电平(Grid切generator)
5、检查DualSource log生成及读取是否正确</t>
    <phoneticPr fontId="10" type="noConversion"/>
  </si>
  <si>
    <t>Function_AcuRev1320_042_04_case8</t>
  </si>
  <si>
    <t>DI2模式，Energy1&amp;2&amp;3设置Eq_A,&amp;Eq_B&amp;Eq_C,  等待3mins，高电平切换低电平(generator切Grid)，DualSource log生成及读取正常</t>
    <phoneticPr fontId="10" type="noConversion"/>
  </si>
  <si>
    <t>1、DI2模式，
2、Energy1&amp;2&amp;3设置Eq_A,&amp;Eq_B&amp;Eq_C
3、等待3mins，
4、高电平切换低电平(generator切Grid)
5、检查DualSource log生成及读取是否正确</t>
    <phoneticPr fontId="10" type="noConversion"/>
  </si>
  <si>
    <t>Function_AcuRev1320_042_04_case9</t>
  </si>
  <si>
    <t>DI3模式，Energy1&amp;2&amp;3设置Es_A,&amp;Es_B&amp;Es_C,  等待3mins，低电平切换高电平(Grid切generator)，DualSource log生成及读取正常</t>
    <phoneticPr fontId="10" type="noConversion"/>
  </si>
  <si>
    <t>1、DI3模式，
2、Energy1&amp;2&amp;3设置Es_A,&amp;Es_B&amp;Es_C
3、等待3mins，
4、低电平切换高电平(Grid切generator)
5、检查DualSource log生成及读取是否正确</t>
    <phoneticPr fontId="10" type="noConversion"/>
  </si>
  <si>
    <t>Function_AcuRev1320_042_04_case10</t>
  </si>
  <si>
    <t>DI3模式，Energy1&amp;2&amp;3设置Es_A,&amp;Es_B&amp;Es_C,  等待3mins，高电平切换低电平(generator切Grid)，DualSource log生成及读取正常</t>
    <phoneticPr fontId="10" type="noConversion"/>
  </si>
  <si>
    <t>1、DI3模式，
2、Energy1&amp;2&amp;3设置Es_A,&amp;Es_B&amp;Es_C
3、等待3mins，
4、高电平切换低电平(generator切Grid)
5、检查DualSource log生成及读取是否正确</t>
    <phoneticPr fontId="10" type="noConversion"/>
  </si>
  <si>
    <t>DI3模式，Energy1&amp;2&amp;3设置Ep,&amp;Eq&amp;Es,  等待3mins，低电平切换高电平(Grid切generator)，DualSource log生成及读取正常</t>
    <phoneticPr fontId="10" type="noConversion"/>
  </si>
  <si>
    <t>1、DI3模式，
2、Energy1&amp;2&amp;3设置Ep,&amp;Eq&amp;Es
3、等待3mins，
4、低电平切换高电平(Grid切generator)
5、检查DualSource log生成及读取是否正确</t>
    <phoneticPr fontId="10" type="noConversion"/>
  </si>
  <si>
    <t>Function_AcuRev1320_042_04_case12</t>
  </si>
  <si>
    <t>DI3模式，Energy1&amp;2&amp;3设置Ep,&amp;Eq&amp;Es,  等待3mins，高电平切换低电平(generator切Grid)，DualSource log生成及读取正常</t>
    <phoneticPr fontId="10" type="noConversion"/>
  </si>
  <si>
    <t>1、DI3模式，
2、Energy1&amp;2&amp;3设置Ep,&amp;Eq&amp;Es
3、等待3mins，
4、高电平切换低电平(generator切Grid)
5、检查DualSource log生成及读取是否正确</t>
    <phoneticPr fontId="10" type="noConversion"/>
  </si>
  <si>
    <t>Function_AcuRev1320_042_04_case13</t>
  </si>
  <si>
    <t>执行“clear Dual source Engery”，Dual source Engery清除成功</t>
    <phoneticPr fontId="10" type="noConversion"/>
  </si>
  <si>
    <t>1、执行“clear Dual source Engery”
2、检查Dual source Engery清除是否成功</t>
    <phoneticPr fontId="10" type="noConversion"/>
  </si>
  <si>
    <t>2、Dual source Engery清除成功</t>
    <phoneticPr fontId="10" type="noConversion"/>
  </si>
  <si>
    <t>Function_AcuRev1320_042_04_case14</t>
  </si>
  <si>
    <t>执行Dual Source的“clear log”，Dual source 的log清除成功</t>
    <phoneticPr fontId="10" type="noConversion"/>
  </si>
  <si>
    <t>1、执行Dual Source的“clear log”
2、检查Dual source 的log清除是否成功</t>
    <phoneticPr fontId="10" type="noConversion"/>
  </si>
  <si>
    <t>2、Dual source 的log清除成功</t>
    <phoneticPr fontId="10" type="noConversion"/>
  </si>
  <si>
    <t>Function_AcuRev1320_042_04_case15</t>
  </si>
  <si>
    <t>执行Dual Source的“read log”，Dual source 的log读取成功</t>
    <phoneticPr fontId="10" type="noConversion"/>
  </si>
  <si>
    <t>1、执行Dual Source的“read log”
2、检查Dual source 的log读取是否成功</t>
    <phoneticPr fontId="10" type="noConversion"/>
  </si>
  <si>
    <t>2、Dual source 的log读取成功</t>
    <phoneticPr fontId="10" type="noConversion"/>
  </si>
  <si>
    <t>Function_AcuRev1320_042_04_case16</t>
  </si>
  <si>
    <t>执行Dual Source的“stop read”，Dual source 的log读取停止成功</t>
    <phoneticPr fontId="10" type="noConversion"/>
  </si>
  <si>
    <t>1、Acuview2上位机
2、AcuRev1320电表
3、Dual Source有100条</t>
    <phoneticPr fontId="10" type="noConversion"/>
  </si>
  <si>
    <t>1、执行Dual Source的“read log”
2、当上位机界面显示正在reading中时候，立即点击“stop read“
3、观察Dual source 的log读取是否停止成功</t>
    <phoneticPr fontId="10" type="noConversion"/>
  </si>
  <si>
    <t>3、Dual source 的log读取停止成功</t>
    <phoneticPr fontId="10" type="noConversion"/>
  </si>
  <si>
    <t>Function_AcuRev1320_042_04_case17</t>
  </si>
  <si>
    <t>执行Dual Source的“save to File”，Dual source 能量值和Dual Source Log保存成功</t>
    <phoneticPr fontId="10" type="noConversion"/>
  </si>
  <si>
    <t>1、执行Dual Source的“save to File”
2、Dual Source数据保存到本地是否成功
3、检查文件内容是否正确。</t>
    <phoneticPr fontId="10" type="noConversion"/>
  </si>
  <si>
    <t>2、Dual Source数据保存到本地成功
3、文件内容正确。</t>
    <phoneticPr fontId="10" type="noConversion"/>
  </si>
  <si>
    <t>切换模式comm，Direction为Grid，Energy1&amp;2&amp;3设置Eq_A,&amp;Eq_B&amp;Eq_C, datalog1选择“Dual Source”，DualSource数据显示正常。</t>
  </si>
  <si>
    <t>1、切换模式comm
2、Direction为Grid
3、Energy1&amp;2&amp;3设置Eq_A,&amp;Eq_B&amp;Eq_C
4、等待2分钟，
5、datalog1选择“Dual Source”
6、检查datalog1中DualSource数据显示是否正常。</t>
    <phoneticPr fontId="10" type="noConversion"/>
  </si>
  <si>
    <t>6、datalog1中DualSource数据显示正常。</t>
    <phoneticPr fontId="10" type="noConversion"/>
  </si>
  <si>
    <t>Function_AcuRev1320_042_05_case2</t>
  </si>
  <si>
    <t>切换模式comm，Direction为Generator，Energy1&amp;2&amp;3设置Eq_A,&amp;Eq_B&amp;Eq_C,  datalog2选择“Dual Source”，DualSource数据显示正常。</t>
    <phoneticPr fontId="10" type="noConversion"/>
  </si>
  <si>
    <t>1、切换模式comm
2、Direction为Generator
3、Energy1&amp;2&amp;3设置Eq_A,&amp;Eq_B&amp;Eq_C
4、等待2分钟，
5、  datalog2选择“Dual Source”
6、检查datalog2中DualSource数据显示是否正常。</t>
    <phoneticPr fontId="10" type="noConversion"/>
  </si>
  <si>
    <t>6、datalog2中DualSource数据显示正常。</t>
    <phoneticPr fontId="10" type="noConversion"/>
  </si>
  <si>
    <t>Function_AcuRev1320_042_05_case3</t>
  </si>
  <si>
    <t>切换模式DI1,高电平,Energy1&amp;2&amp;3设置EP_A,&amp;EP_B&amp;EP_C, datalog3选择“Dual Source”，DualSource数据显示正常。</t>
    <phoneticPr fontId="10" type="noConversion"/>
  </si>
  <si>
    <t>1、切换模式DI
2、高电平
3、Energy1&amp;2&amp;3设置EP_A,&amp;EP_B&amp;EP_C,
4、等待2分钟，
5、datalog3选择“Dual Source”
6、检查datalog3中DualSource数据显示是否正常。</t>
    <phoneticPr fontId="10" type="noConversion"/>
  </si>
  <si>
    <t>6、datalog3中DualSource数据显示正常。</t>
    <phoneticPr fontId="10" type="noConversion"/>
  </si>
  <si>
    <t>1、切换模式DI1
2、低电平
3、Energy1&amp;2&amp;3设置EP_A,&amp;EP_B&amp;EP_C
4、等待2分钟，
5、datalog3选择“Dual Source”
6、检查datalog1中DualSource数据显示是否正常。</t>
    <phoneticPr fontId="10" type="noConversion"/>
  </si>
  <si>
    <t>独立通道system&amp;real-time</t>
    <phoneticPr fontId="12" type="noConversion"/>
  </si>
  <si>
    <t>Function_AcuRev1320_043_01_case1</t>
  </si>
  <si>
    <t>3e4W_Y,input1~4配Va&amp;Vb&amp;Vc&amp;Vb, Summation1配input1&amp;2&amp;3&amp;4, Summation2配input4,则sys(PhaseABC相电压&amp;先电压、频率 )读数正确</t>
    <phoneticPr fontId="10" type="noConversion"/>
  </si>
  <si>
    <t>1、Acuview2上位机
2、AcuRev1320电表
3、Independent使能</t>
    <phoneticPr fontId="10" type="noConversion"/>
  </si>
  <si>
    <t>1、设置3e4W_Y, input1~4配Va&amp;Vb&amp;Vc&amp;Vb
2、Summation1配input1&amp;2&amp;3&amp;4, Summation2配input4
3、检查sys(PhaseABC相电压&amp;先电压、频率 )读数是否正确
4、检查real-time(input1~4&amp;summation的电流、功率、PF、负载特性)读数是否正确。</t>
    <phoneticPr fontId="10" type="noConversion"/>
  </si>
  <si>
    <t>3、sys(PhaseABC相电压&amp;先电压、频率 )读数正确
4、real-time(input1~4&amp;summation的电流、功率、PF、负载特性)读数正确。</t>
    <phoneticPr fontId="10" type="noConversion"/>
  </si>
  <si>
    <t>3e4W_Y,input1~4配Vb&amp;Vc&amp;Va&amp;Vb,Summation1&amp;2配input1&amp;2&amp;3&amp;4,则sys(PhaseABC相电压&amp;先电压、频率 )读数正确</t>
    <phoneticPr fontId="10" type="noConversion"/>
  </si>
  <si>
    <t>Function_AcuRev1320_043_01_case3</t>
  </si>
  <si>
    <t>3e4W_Y,input1~4配Vab&amp;Vbc&amp;Vca&amp;Vca,Summation1配input1&amp;2&amp;3, Summation2配input1&amp;2&amp;3&amp;4,则sys(PhaseABC相电压&amp;先电压、频率 )读数正确</t>
    <phoneticPr fontId="10" type="noConversion"/>
  </si>
  <si>
    <t>Function_AcuRev1320_043_01_case4</t>
  </si>
  <si>
    <t>3e4W_Y,input1~4配Vab&amp;Vbc&amp;Vb&amp;Va,Summation1配input1&amp;2&amp;3&amp;4, Summation2配input1&amp;2&amp;3，则sys(PhaseABC相电压&amp;先电压、频率 )读数正确</t>
    <phoneticPr fontId="10" type="noConversion"/>
  </si>
  <si>
    <t>1e2W,上位机和WEB页面input1~4仅能选择Va</t>
    <phoneticPr fontId="10" type="noConversion"/>
  </si>
  <si>
    <t>1、设置 1e2W
2、检查上位机和WEB页面input1~4是否仅能选择Va</t>
    <phoneticPr fontId="10" type="noConversion"/>
  </si>
  <si>
    <t>2、检查上位机和WEB页面input1~4是否仅能选择Va</t>
    <phoneticPr fontId="10" type="noConversion"/>
  </si>
  <si>
    <t>1e2W,input1~4配Va&amp;Va&amp;Va&amp;Va,Summation1配input1,Summation2配input4,则sys(PhaseABC相电压&amp;先电压、频率 )读数正确。</t>
    <phoneticPr fontId="10" type="noConversion"/>
  </si>
  <si>
    <t>Function_AcuRev1320_043_01_case7</t>
  </si>
  <si>
    <t>1e2W,input1~4配Va&amp;Va&amp;Va&amp;Va,Summation1&amp;2配input1&amp;2&amp;3&amp;4,则sys(PhaseABC相电压&amp;先电压、频率 )读数正确。</t>
    <phoneticPr fontId="10" type="noConversion"/>
  </si>
  <si>
    <t>1、设置1e2W , input1~4配Va&amp;Va&amp;Va&amp;Va
2、Summation1&amp;2配input1&amp;2&amp;3&amp;4
3、检查sys(PhaseABC相电压&amp;先电压、频率 )读数是否正确
4、检查real-time(input1~4&amp;summation的电流、功率、PF、负载特性)读数是否正确。</t>
    <phoneticPr fontId="10" type="noConversion"/>
  </si>
  <si>
    <t>2e3W_PHASE1,上位机和WEB页面input1~4仅能选择Va,Vc</t>
    <phoneticPr fontId="10" type="noConversion"/>
  </si>
  <si>
    <t>2e3W_PHASE1,input1~4配Va&amp;Va&amp;Vc&amp;Vc,Summation1&amp;2配input1&amp;3,则sys(PhaseABC相电压&amp;先电压、频率 )读数正确。</t>
    <phoneticPr fontId="10" type="noConversion"/>
  </si>
  <si>
    <t>Function_AcuRev1320_043_01_case11</t>
  </si>
  <si>
    <t>2e3W_DELTA,input1~4配Vab&amp;Vbc&amp;Vbc&amp;Vbc,Summation1&amp;2配input1&amp;2&amp;3&amp;4, 则sys(PhaseABC相电压&amp;先电压、频率 )读数正确。</t>
    <phoneticPr fontId="10" type="noConversion"/>
  </si>
  <si>
    <t>2e3W_DELTA,input1~4配Vab&amp;Vab&amp;Vab&amp;Vab,Summation1&amp;2配input1&amp;4,Summation2配input4, 则sys(PhaseABC相电压&amp;先电压、频率 )读数正确。</t>
    <phoneticPr fontId="10" type="noConversion"/>
  </si>
  <si>
    <t>Function_AcuRev1320_043_01_case14</t>
  </si>
  <si>
    <t>3e4W_DELTA,上位机和WEB页面input1~4仅能选择Vab,Vbc,Vca</t>
    <phoneticPr fontId="10" type="noConversion"/>
  </si>
  <si>
    <t>1、设置3e4W_DELTA
2、检查上位机和WEB页面input1~4是否仅能选择Vab,Vbc,Vca</t>
    <phoneticPr fontId="10" type="noConversion"/>
  </si>
  <si>
    <t>2、检查上位机和WEB页面input1~4是否仅能选择Vab,Vbc,Vca</t>
    <phoneticPr fontId="10" type="noConversion"/>
  </si>
  <si>
    <t>Function_AcuRev1320_043_01_case15</t>
  </si>
  <si>
    <t>3e4W_DELTA,input1~4配Vab&amp;Vbc&amp;Vca&amp;Vca,Summation1&amp;2配input1&amp;2&amp;3&amp;4,则sys(PhaseABC相电压&amp;先电压、频率 )读数正确。</t>
    <phoneticPr fontId="10" type="noConversion"/>
  </si>
  <si>
    <t>Function_AcuRev1320_043_01_case16</t>
  </si>
  <si>
    <t>3e4W_DELTA,input1~4配Vab&amp;Vca&amp;Vbc&amp;Vab,Summation1&amp;2配input1&amp;&amp;2&amp;4,则sys(PhaseABC相电压&amp;先电压、频率 )读数正确</t>
    <phoneticPr fontId="10" type="noConversion"/>
  </si>
  <si>
    <t>独立通道Demand</t>
    <phoneticPr fontId="12" type="noConversion"/>
  </si>
  <si>
    <t>Function_AcuRev1320_043_03_case1</t>
  </si>
  <si>
    <t>3e4W_Y,input1~4配Va&amp;Vb&amp;Vc&amp;Vb,Summation1配input1&amp;2&amp;3&amp;4,Summation2配input4,则Demand读数正确</t>
    <phoneticPr fontId="10" type="noConversion"/>
  </si>
  <si>
    <t>1、设置3e4W_Y , input1~4配Va&amp;Vb&amp;Vc&amp;Vb
2、Summation1配input1&amp;2&amp;3&amp;4,Summation2配input4
3、检查上位机和Web界面Demand读数是否正确</t>
    <phoneticPr fontId="10" type="noConversion"/>
  </si>
  <si>
    <t>3、上位机和Web界面Demand读数正确</t>
    <phoneticPr fontId="10" type="noConversion"/>
  </si>
  <si>
    <t>Function_AcuRev1320_043_03_case2</t>
  </si>
  <si>
    <t>3e4W_Y,input1~4配Vca&amp;Vab&amp;Vbc&amp;Vbc,Summation1&amp;2配input1&amp;2&amp;3,则Demand读数正确</t>
    <phoneticPr fontId="10" type="noConversion"/>
  </si>
  <si>
    <t>1e2W,input1~4配Va&amp;Va&amp;Va&amp;Va,Summation1配input1&amp;2&amp;3&amp;4,Summation2配input4，则Demand读数正确</t>
    <phoneticPr fontId="10" type="noConversion"/>
  </si>
  <si>
    <t>Function_AcuRev1320_043_03_case4</t>
  </si>
  <si>
    <t>2e3W_PHASE1,input1~4配Va&amp;Va&amp;Vc&amp;Vc,Summation1&amp;2配input1&amp;3,Summation2配input1&amp;2&amp;3&amp;4,则Demand读数正确</t>
    <phoneticPr fontId="10" type="noConversion"/>
  </si>
  <si>
    <t>Function_AcuRev1320_043_03_case5</t>
  </si>
  <si>
    <t>2e3W_DELTA,input1~4配Vab&amp;Vbc&amp;Vbc&amp;Vbc,Summation1&amp;2配input1&amp;2&amp;3&amp;4,Summation2配input1&amp;4,则Demand读数正确</t>
    <phoneticPr fontId="10" type="noConversion"/>
  </si>
  <si>
    <t>3e4W_DELTA,input1~4配Vab&amp;Vbc&amp;Vca&amp;Vca,Summation1&amp;2配input1&amp;2&amp;3&amp;4,Summation1&amp;2配input1&amp;2&amp;3,则Demand读数正确</t>
    <phoneticPr fontId="10" type="noConversion"/>
  </si>
  <si>
    <t>1、设置 3e4W_DELTA, input1~4配Vab&amp;Vbc&amp;Vca&amp;Vca
2、Summation1&amp;2配input1&amp;2&amp;3&amp;4,Summation1&amp;2配input1&amp;2&amp;3
3、检查上位机和Web界面Demand读数是否正确</t>
    <phoneticPr fontId="10" type="noConversion"/>
  </si>
  <si>
    <t>Function_AcuRev1320_043_03_case7</t>
  </si>
  <si>
    <t>3e4W_Y,input1~4配Va&amp;Vb&amp;Vc&amp;Vb,Summation1配input1&amp;2&amp;3&amp;4,Summation2配input4,则Demand读数正确，"save to file" 功能正常。</t>
    <phoneticPr fontId="10" type="noConversion"/>
  </si>
  <si>
    <t>1、设置3e4W_Y , input1~4配Va&amp;Vb&amp;Vc&amp;Vb
2、Summation1配input1&amp;2&amp;3&amp;4,Summation2配input4
3、检查上位机和Web界面Demand读数是否正确
4、检查"save to file" 功能正常。</t>
    <phoneticPr fontId="10" type="noConversion"/>
  </si>
  <si>
    <t>3、上位机和Web界面Demand读数正确
4、"save to file" 功能正常， 保存数据内容及时间戳均正确。</t>
    <phoneticPr fontId="10" type="noConversion"/>
  </si>
  <si>
    <t>执行Independent 的“clear Demand” ，Independent 需量清除成功。</t>
    <phoneticPr fontId="10" type="noConversion"/>
  </si>
  <si>
    <t>1、Acuview2上位机
2、AcuRev1320电表
3、Independent使能
4、Demand数据不为0</t>
    <phoneticPr fontId="10" type="noConversion"/>
  </si>
  <si>
    <t>1、执行Independent 的“clear Demand”
2、检查上位机和Web界面Demand读数是否被清除
3、关闭Independent
4、 检查电表Real-Time中的需量是否被清除。</t>
    <phoneticPr fontId="10" type="noConversion"/>
  </si>
  <si>
    <t>2、上位机和Web界面Demand读数被清除
4、电表Real-Time中的需量未被清除。</t>
    <phoneticPr fontId="10" type="noConversion"/>
  </si>
  <si>
    <t>独立通道Energy</t>
    <phoneticPr fontId="12" type="noConversion"/>
  </si>
  <si>
    <t>Function_AcuRev1320_043_04_case1</t>
  </si>
  <si>
    <t>3e4W_Y,input1~4配Va&amp;Vb&amp;Vc&amp;Vb,Summation1配input1&amp;2&amp;3&amp;4,Summation2配input4,则Total&amp;PhaseABC的Energy读数正确。</t>
    <phoneticPr fontId="10" type="noConversion"/>
  </si>
  <si>
    <t>1、设置3e4W_Y , input1~4配Va&amp;Vb&amp;Vc&amp;Vb
2、Summation1配input1&amp;2&amp;3&amp;4,Summation2配input4
3、检查上位机和Web界面Total&amp;PhaseABC的Energy读数是否正确。</t>
    <phoneticPr fontId="10" type="noConversion"/>
  </si>
  <si>
    <t>3、上位机和Web界面Total&amp;PhaseABC的Energy读数正确。</t>
    <phoneticPr fontId="10" type="noConversion"/>
  </si>
  <si>
    <t>Function_AcuRev1320_043_04_case3</t>
  </si>
  <si>
    <t>1、设置 1e2W, input1~4配Va&amp;Va&amp;Va&amp;Va
2、Summation1配input1&amp;2&amp;3&amp;4,Summation2配input4
3、检查上位机和Web界面Total&amp;PhaseABC的Energy读数是否正确。</t>
    <phoneticPr fontId="10" type="noConversion"/>
  </si>
  <si>
    <t>Function_AcuRev1320_043_04_case4</t>
  </si>
  <si>
    <t>1、设置2e3W_PHASE1 , input1~4配Va&amp;Va&amp;Vc&amp;Vc
2、Summation1&amp;2配input1&amp;3,Summation2配input1&amp;2&amp;3&amp;4
3、检查上位机和Web界面Total&amp;PhaseABC的Energy读数是否正确。</t>
    <phoneticPr fontId="10" type="noConversion"/>
  </si>
  <si>
    <t>Function_AcuRev1320_043_04_case5</t>
  </si>
  <si>
    <t>1、设置2e3W_DELTA , input1~4配Vab&amp;Vbc&amp;Vbc&amp;Vbc
2、Summation1&amp;2配input1&amp;2&amp;3&amp;4, Summation2配input1&amp;4
3、检查上位机和Web界面Total&amp;PhaseABC的Energy读数是否正确。</t>
    <phoneticPr fontId="10" type="noConversion"/>
  </si>
  <si>
    <t>3e4W_DELTA,input1~4配Vab&amp;Vbc&amp;Vca&amp;Vca,Summation1&amp;2配input1&amp;2&amp;3&amp;4,Summation1&amp;2配input1&amp;2&amp;3,则Total&amp;PhaseABC的Energy读数正确。</t>
  </si>
  <si>
    <t>1、设置 3e4W_DELTA, input1~4配Vab&amp;Vbc&amp;Vca&amp;Vca
2、Summation1&amp;2配input1&amp;2&amp;3&amp;4,Summation1&amp;2配input1&amp;2&amp;3
3、检查上位机和Web界面Total&amp;PhaseABC的Energy读数是否正确。</t>
    <phoneticPr fontId="10" type="noConversion"/>
  </si>
  <si>
    <t>Function_AcuRev1320_043_04_case7</t>
  </si>
  <si>
    <t>3e4W_Y,input1~4配Va&amp;Vb&amp;Vc&amp;Vb,Summation1配input1&amp;2&amp;3&amp;4,Summation2配input4，"save to file" 功能正常。</t>
  </si>
  <si>
    <t>执行Independent 的“clear Energy” ，Independent 需量清除成功。</t>
    <phoneticPr fontId="10" type="noConversion"/>
  </si>
  <si>
    <t>Function_AcuRev1320_043_05_case1</t>
  </si>
  <si>
    <t>3e4W_Y,input1~4配Va&amp;Vb&amp;Vc&amp;Vb,Summation1配input1&amp;2&amp;3&amp;4,Summation2配input4,则Max/Min读数正确。</t>
    <phoneticPr fontId="10" type="noConversion"/>
  </si>
  <si>
    <t xml:space="preserve">3、上位机和Web界面Total&amp;PhaseABC的Max/Min读数正确。
</t>
    <phoneticPr fontId="10" type="noConversion"/>
  </si>
  <si>
    <t>Function_AcuRev1320_043_05_case2</t>
  </si>
  <si>
    <t>3e4W_Y,input1~4配Vca&amp;Vab&amp;Vbc&amp;Vbc,Summation1&amp;2配input1&amp;2&amp;3,则Max/Min读数正确。</t>
  </si>
  <si>
    <t>Function_AcuRev1320_043_05_case3</t>
  </si>
  <si>
    <t>1e2W,input1~4配Va&amp;Va&amp;Va&amp;Va,Summation1配input1&amp;2&amp;3&amp;4,Summation2配input4，则Max/Min读数正确。</t>
  </si>
  <si>
    <t>Function_AcuRev1320_043_05_case4</t>
  </si>
  <si>
    <t>2e3W_PHASE1,input1~4配Va&amp;Va&amp;Vc&amp;Vc,Summation1&amp;2配input1&amp;3,Summation2配input1&amp;2&amp;3&amp;4,则Max/Min读数正确。</t>
  </si>
  <si>
    <t>Function_AcuRev1320_043_05_case5</t>
  </si>
  <si>
    <t>2e3W_DELTA,input1~4配Vab&amp;Vbc&amp;Vbc&amp;Vbc,Summation1&amp;2配input1&amp;2&amp;3&amp;4,Summation2配input1&amp;4,则Max/Min读数正确。</t>
  </si>
  <si>
    <t>Function_AcuRev1320_043_05_case6</t>
  </si>
  <si>
    <t>3e4W_DELTA,input1~4配Vab&amp;Vbc&amp;Vca&amp;Vca,Summation1&amp;2配input1&amp;2&amp;3&amp;4,Summation1&amp;2配input1&amp;2&amp;3,则Max/Min读数正确。</t>
  </si>
  <si>
    <t>3e4W_Y,input1~4配Va&amp;Vb&amp;Vc&amp;Vb,Summation1配input1&amp;2&amp;3&amp;4,Summation2配input4,则Max/Min读数正确。"save to file" 功能正常。</t>
    <phoneticPr fontId="10" type="noConversion"/>
  </si>
  <si>
    <t>1、设置3e4W_Y , input1~4配Va&amp;Vb&amp;Vc&amp;Vb
2、Summation1配input1&amp;2&amp;3&amp;4,Summation2配input4
3、检查上位机和Web界面Max/Min读数是否正确
4、检查"save to file" 功能正常。</t>
    <phoneticPr fontId="10" type="noConversion"/>
  </si>
  <si>
    <t>3、上位机和Web界面Max/Min读数正确
4、"save to file" 功能正常， 保存数据内容及时间戳均正确。</t>
    <phoneticPr fontId="10" type="noConversion"/>
  </si>
  <si>
    <t>Function_AcuRev1320_043_05_case8</t>
  </si>
  <si>
    <t>执行Independent 的“Reset Max/min” ，Independent 最大值最小值清除成功。</t>
  </si>
  <si>
    <t>1、执行Independent 的“clear Max/Min”
2、检查上位机和Web界面Max/Min读数是否被清除
3、关闭Independent
4、 检查电表Real-Time中的需量是否被清除。</t>
    <phoneticPr fontId="10" type="noConversion"/>
  </si>
  <si>
    <t>独立通道CustomRead</t>
    <phoneticPr fontId="12" type="noConversion"/>
  </si>
  <si>
    <t>Function_AcuRev1320_043_07_case1</t>
  </si>
  <si>
    <t>3e4W_Y,input1~4配Va&amp;Vb&amp;Vc&amp;Vb,Summation1配input1&amp;2&amp;3&amp;4,Summation2配input4,independent input channel所有float参数计算正确(62个)</t>
    <phoneticPr fontId="10" type="noConversion"/>
  </si>
  <si>
    <t>1、设置3e4W_Y , input1~4配Va&amp;Vb&amp;Vc&amp;Vb,
2、Summation1配input1&amp;2&amp;3&amp;4,Summation2配input4
3、检查上位机和Web界面independent input channel所有float参数计算是否正确(62个)。</t>
    <phoneticPr fontId="10" type="noConversion"/>
  </si>
  <si>
    <t>7、 上位机和Web界面custom模块 independent input channel所有float参数计算正确(62个)显示正确</t>
    <phoneticPr fontId="10" type="noConversion"/>
  </si>
  <si>
    <t>独立通道Datalog</t>
    <phoneticPr fontId="12" type="noConversion"/>
  </si>
  <si>
    <t>Function_AcuRev1320_043_08_case1</t>
  </si>
  <si>
    <t>Datalog1添加“independent    RMS”,3e4W_Y,input1~4配Va&amp;Vb&amp;Vc&amp;Vb,Summation1&amp;2配input1&amp;2&amp;3&amp;4,Datalog1独立模式RMS所有参数显示正确</t>
    <phoneticPr fontId="10" type="noConversion"/>
  </si>
  <si>
    <t>1、Datalog1添加“independent    RMS”, 设置3e4W_Y
2、input1~4配Va&amp;Vb&amp;Vc&amp;Vb,Summation1&amp;2配input1&amp;2&amp;3&amp;4
3、检查Datalog1独立模式RMS所有参数显示是否正确。</t>
    <phoneticPr fontId="10" type="noConversion"/>
  </si>
  <si>
    <t>3、Datalog1独立模式RMS所有参数显示正确。</t>
    <phoneticPr fontId="10" type="noConversion"/>
  </si>
  <si>
    <t>Function_AcuRev1320_043_08_case2</t>
  </si>
  <si>
    <t>Datalog1添加“independent Demand”,3e4W_Y,input1~4配Va&amp;Vb&amp;Vc&amp;Vb,Summation1&amp;2配input1&amp;2&amp;3&amp;4,Datalog1独立模式Demand所有参数显示正确</t>
    <phoneticPr fontId="10" type="noConversion"/>
  </si>
  <si>
    <t>Function_AcuRev1320_043_08_case3</t>
  </si>
  <si>
    <t>3、Datalog1独立模式energy所有参数显示正确。</t>
    <phoneticPr fontId="10" type="noConversion"/>
  </si>
  <si>
    <t>Function_AcuRev1320_043_08_case4</t>
  </si>
  <si>
    <t>Datalog2添加“independent    RMS”,3e4W_Y,input1~4配Va&amp;Vb&amp;Vc&amp;Vb,Summation1&amp;2配input1&amp;2&amp;3&amp;4,Datalog2独立模式RMS所有参数显示正确</t>
  </si>
  <si>
    <t>1、Datalog2添加“independent    RMS”, 设置3e4W_Y
2、input1~4配Va&amp;Vb&amp;Vc&amp;Vb,Summation1&amp;2配input1&amp;2&amp;3&amp;4
3、检查Datalog2独立模式RMS所有参数显示是否正确。</t>
    <phoneticPr fontId="10" type="noConversion"/>
  </si>
  <si>
    <t>3、Datalog2独立模式RMS所有参数显示正确。</t>
    <phoneticPr fontId="10" type="noConversion"/>
  </si>
  <si>
    <t>Function_AcuRev1320_043_08_case5</t>
  </si>
  <si>
    <t>Datalog2添加“independent Demand”,3e4W_Y,input1~4配Va&amp;Vb&amp;Vc&amp;Vb,Summation1&amp;2配input1&amp;2&amp;3&amp;4,Datalog2独立模式Demand所有参数显示正确</t>
  </si>
  <si>
    <t>1、Datalog2添加“independent    Demand”, 设置3e4W_Y
2、input1~4配Va&amp;Vb&amp;Vc&amp;Vb,Summation1&amp;2配input1&amp;2&amp;3&amp;4
3、检查Datalog2独立模式Demand所有参数显示是否正确。</t>
    <phoneticPr fontId="10" type="noConversion"/>
  </si>
  <si>
    <t>3、Datalog2独立模式Demand所有参数显示正确。</t>
    <phoneticPr fontId="10" type="noConversion"/>
  </si>
  <si>
    <t>Function_AcuRev1320_043_08_case6</t>
  </si>
  <si>
    <t>Datalog2添加“independent energy”,3e4W_Y,input1~4配Va&amp;Vb&amp;Vc&amp;Vb,Summation1&amp;2配input1&amp;2&amp;3&amp;4,Datalog2独立模式energy所有参数显示正确</t>
  </si>
  <si>
    <t>1、Datalog2添加“independent    energy”, 设置3e4W_Y
2、input1~4配Va&amp;Vb&amp;Vc&amp;Vb,Summation1&amp;2配input1&amp;2&amp;3&amp;4
3、检查Datalog2独立模式energy所有参数显示是否正确。</t>
    <phoneticPr fontId="10" type="noConversion"/>
  </si>
  <si>
    <t>3、Datalog2独立模式energy所有参数显示正确。</t>
    <phoneticPr fontId="10" type="noConversion"/>
  </si>
  <si>
    <t>Function_AcuRev1320_043_08_case7</t>
  </si>
  <si>
    <t>Datalog3添加“independent    RMS”,3e4W_Y,input1~4配Va&amp;Vb&amp;Vc&amp;Vb,Summation1&amp;2配input1&amp;2&amp;3&amp;4,Datalog3独立模式RMS所有参数显示正确</t>
  </si>
  <si>
    <t>1、Datalog3添加“independent    RMS”, 设置3e4W_Y
2、input1~4配Va&amp;Vb&amp;Vc&amp;Vb,Summation1&amp;2配input1&amp;2&amp;3&amp;4
3、检查Datalog3独立模式RMS所有参数显示是否正确。</t>
    <phoneticPr fontId="10" type="noConversion"/>
  </si>
  <si>
    <t>3、Datalog3独立模式RMS所有参数显示正确。</t>
    <phoneticPr fontId="10" type="noConversion"/>
  </si>
  <si>
    <t>Function_AcuRev1320_043_08_case8</t>
  </si>
  <si>
    <t>Datalog3添加“independent Demand”,3e4W_Y,input1~4配Va&amp;Vb&amp;Vc&amp;Vb,Summation1&amp;2配input1&amp;2&amp;3&amp;4,Datalog3独立模式Demand所有参数显示正确</t>
    <phoneticPr fontId="10" type="noConversion"/>
  </si>
  <si>
    <t>1、Datalog3添加“independent    Demand”, 设置3e4W_Y
2、input1~4配Va&amp;Vb&amp;Vc&amp;Vb,Summation1&amp;2配input1&amp;2&amp;3&amp;4
3、检查Datalog3独立模式Demand所有参数显示是否正确。</t>
    <phoneticPr fontId="10" type="noConversion"/>
  </si>
  <si>
    <t>3、Datalog3独立模式Demand所有参数显示正确。</t>
    <phoneticPr fontId="10" type="noConversion"/>
  </si>
  <si>
    <t>Function_AcuRev1320_043_08_case9</t>
  </si>
  <si>
    <t>Datalog3添加“independent energy”,3e4W_Y,input1~4配Va&amp;Vb&amp;Vc&amp;Vb,Summation1&amp;2配input1&amp;2&amp;3&amp;4,Datalog3独立模式energy所有参数显示正确</t>
    <phoneticPr fontId="10" type="noConversion"/>
  </si>
  <si>
    <t>1、Datalog3添加“independent    energy”, 设置3e4W_Y
2、input1~4配Va&amp;Vb&amp;Vc&amp;Vb,Summation1&amp;2配input1&amp;2&amp;3&amp;4
3、检查Datalog3独立模式energy所有参数显示是否正确。</t>
    <phoneticPr fontId="10" type="noConversion"/>
  </si>
  <si>
    <t>3、Datalog3独立模式energy所有参数显示正确。</t>
    <phoneticPr fontId="10" type="noConversion"/>
  </si>
  <si>
    <t>Function_AcuRev1320_043_08_case10</t>
  </si>
  <si>
    <t>Datalog4添加“independent   RMS”,3e4W_Y,input1~4配Va&amp;Vb&amp;Vc&amp;Vb,Summation1&amp;2配input1&amp;2&amp;3&amp;4,Datalog4独立模式RMS所有参数显示正确</t>
    <phoneticPr fontId="10" type="noConversion"/>
  </si>
  <si>
    <t>1、Datalog4添加“independent    RMS”, 设置3e4W_Y
2、input1~4配Va&amp;Vb&amp;Vc&amp;Vb,Summation1&amp;2配input1&amp;2&amp;3&amp;4
3、检查Datalog4独立模式RMS所有参数显示是否正确。</t>
    <phoneticPr fontId="10" type="noConversion"/>
  </si>
  <si>
    <t>3、Datalog4独立模式energy所有参数显示正确。</t>
    <phoneticPr fontId="10" type="noConversion"/>
  </si>
  <si>
    <t>独立通道Max Demand</t>
  </si>
  <si>
    <t>Function_AcuRev1320_043_10_case1</t>
  </si>
  <si>
    <t>Independent使能,CT变比P1,input1~4配Vb&amp;Vc&amp;Va&amp;Vb,Summation1&amp;2配input1&amp;2, 则Demand读数正确。配置需量：Demand method：sliding ；Demand update rate：5mins；Demand Interval：5mins</t>
  </si>
  <si>
    <t>1、input1~4配Vb&amp;Vc&amp;Va&amp;Vb
2、Summation1&amp;2配input1&amp;2
3、配置需量：Demand method：sliding ；Demand update rate：5mins；Demand Interval：5mins
4、00：03：00升源并记录时间，查看第一次产生Max Demand数据是否在00：10：00
5、此时立即加大电流，待00：15：00查看Max Demand数据是否有更新，00：20：00后数据是否满足要求（同当时所加功率）
6、检查real-time(input1~4&amp;summation1&amp;2的Max Demand读数是否正确。
7、查看web页面是否与电表及上位机保持一致</t>
    <phoneticPr fontId="10" type="noConversion"/>
  </si>
  <si>
    <t xml:space="preserve">4、第一次产生Max Demand数据在00：10：00
5、待00：15：00查看Max Demand数据有更新，00：20：00后数据满足要求（同当时所加功率）
6、real-time(input1~4&amp;summation1&amp;2的Max Demand读数正确。
7、查看web页面与电表及上位机保持一致
</t>
    <phoneticPr fontId="10" type="noConversion"/>
  </si>
  <si>
    <t>Function_AcuRev1320_043_10_case3</t>
  </si>
  <si>
    <t>执行Independent 的“clear Max  Demand” ，Independent 最大需量清除成功。</t>
  </si>
  <si>
    <t>1、执行Independent 的“clear Max  Demand
2、检查Independent 需量清除是否成功。</t>
  </si>
  <si>
    <t>2、Independent 最大需量清除成功</t>
  </si>
  <si>
    <t xml:space="preserve">1、上位机上修改custom setting配置。
2、检查上位机是否可以观察到“space Used”+ “space remained”等于125 </t>
    <phoneticPr fontId="10" type="noConversion"/>
  </si>
  <si>
    <t>Function_AcuRev1320_044_01_case2</t>
  </si>
  <si>
    <t>1、设置UaUbUc和IaIbIc叠加谐波比例5%
2、检查CustomRead界面ABC三相电压和电流THD是否正确</t>
    <phoneticPr fontId="10" type="noConversion"/>
  </si>
  <si>
    <t>2、CustomRead界面ABC三相电压和电流THD正确</t>
    <phoneticPr fontId="10" type="noConversion"/>
  </si>
  <si>
    <t>Function_AcuRev1320_044_01_case3</t>
  </si>
  <si>
    <t>设置UaUbUc和IaIbIc叠加谐波数值10%, CustomRead界面ABC三相电压和电流THD正确</t>
  </si>
  <si>
    <t>1、设置UaUbUc和IaIbIc叠加谐波比例10%
2、检查CustomRead界面ABC三相电压和电流THD是否正确</t>
    <phoneticPr fontId="10" type="noConversion"/>
  </si>
  <si>
    <t>Function_AcuRev1320_044_01_case4</t>
  </si>
  <si>
    <t>设置UaUbUc和IaIbIc叠加谐波数值20%, CustomRead界面ABC三相电压和电流THD正确</t>
  </si>
  <si>
    <t>1、设置UaUbUc和IaIbIc叠加谐波比例20%
2、检查CustomRead界面ABC三相电压和电流THD是否正确</t>
    <phoneticPr fontId="10" type="noConversion"/>
  </si>
  <si>
    <t>Custom Read显示Sequence Component</t>
    <phoneticPr fontId="12" type="noConversion"/>
  </si>
  <si>
    <t>Function_AcuRev1320_044_02_case1</t>
  </si>
  <si>
    <t>修改电压电流角度值, 接线方式3E4W-Y,  CustomRead界面ABC三相电压和电流SequenceComponent正确</t>
    <phoneticPr fontId="10" type="noConversion"/>
  </si>
  <si>
    <r>
      <t xml:space="preserve">1、接线方式3E4W-Y
2、设置电压&amp;电压角度：220V 230V 120V，0° 240° 120° 
3、设置电流&amp;电流角度：2A 3A 5A ， 0° 240° 120° 
4、 检查CustomRead界面ABC三相电压和电流SequenceComponent是否正确
</t>
    </r>
    <r>
      <rPr>
        <b/>
        <sz val="8"/>
        <color rgb="FF000000"/>
        <rFont val="微软雅黑"/>
        <family val="2"/>
        <charset val="134"/>
      </rPr>
      <t>备注:SequenceComponent 为电压、电流序分量，预期结果使用4100项目序分量计算公式。</t>
    </r>
  </si>
  <si>
    <t>4、CustomRead界面ABC三相电压和电流SequenceComponent正确</t>
    <phoneticPr fontId="10" type="noConversion"/>
  </si>
  <si>
    <t>修改电压电流角度值,  接线方式2E3W-Network,  CustomRead界面ABC三相电压和电流SequenceComponent正确</t>
    <phoneticPr fontId="10" type="noConversion"/>
  </si>
  <si>
    <t>Function_AcuRev1320_044_02_case3</t>
  </si>
  <si>
    <t>修改电压电流角度值,  接线方式1E2W,  CustomRead界面ABC三相电压和电流SequenceComponent 正确</t>
  </si>
  <si>
    <t>Function_AcuRev1320_044_02_case4</t>
  </si>
  <si>
    <t>修改电压电流角度值,  接线方式2E3W-1Phase,  CustomRead界面ABC三相电压和电流SequenceComponent正确</t>
    <phoneticPr fontId="10" type="noConversion"/>
  </si>
  <si>
    <t>Function_AcuRev1320_044_02_case5</t>
  </si>
  <si>
    <t>修改电压电流角度值,  接线方式3E4W-Delta,  CustomRead界面ABC三相电压和电流SequenceComponent正确</t>
    <phoneticPr fontId="10" type="noConversion"/>
  </si>
  <si>
    <t>Function_AcuRev1320_044_03_case1</t>
  </si>
  <si>
    <t>Independent使能, CustomRead添加“independent input channel metering” , CT变比P1,input1~4配Vb&amp;Vc&amp;Va&amp;Vb,Summation1&amp;2配input1&amp;2&amp;4,  修改电压电流参数均为0，independent input channel所有float参数计算正确(62个)</t>
    <phoneticPr fontId="10" type="noConversion"/>
  </si>
  <si>
    <t>Function_AcuRev1320_044_03_case2</t>
  </si>
  <si>
    <t>Independent使能, CustomRead添加“independent input channel metering” , CT变比P1,input1~4配Vb&amp;Vc&amp;Va&amp;Vb,Summation1&amp;2配input1&amp;2&amp;4, ,  修改电压电流参数组合一，independent input channel所有float参数计算正确(62个)</t>
  </si>
  <si>
    <t>1、Independent使能,
2、CustomRead添加“independent input channel metering(float)”
3、CT变比P1
4、input1~4配Vb&amp;Vc&amp;Va&amp;Vb
5、Summation1&amp;2配input1&amp;2&amp;4
6、设置电压&amp;电压角度：220V 220V 220V，0° 240° 120° 
7、设置电流&amp;电流角度：1A 1A 1A ， 0° 240° 120° 
8、检查independent input channel所有float参数是否计算显示均正确(62个)</t>
    <phoneticPr fontId="10" type="noConversion"/>
  </si>
  <si>
    <t>7、independent input channel所有float参数(62个)计算及显示均正确。</t>
    <phoneticPr fontId="10" type="noConversion"/>
  </si>
  <si>
    <t>Function_AcuRev1320_044_03_case3</t>
  </si>
  <si>
    <t>Independent使能, CustomRead添加“independent input channel metering” , CT变比P1,input1~4配Vb&amp;Vc&amp;Va&amp;Vb,Summation1&amp;2配input1&amp;2&amp;4, ,  修改电压电流参数组合二，independent input channel所有float参数计算正确(62个)</t>
  </si>
  <si>
    <t>1、Independent使能,
2、CustomRead添加“independent input channel metering(float)”
3、CT变比P1
4、input1~4配Vb&amp;Vc&amp;Va&amp;Vb
5、Summation1&amp;2配input1&amp;2&amp;4
6、设置电压&amp;电压角度：220V 220V 220V，0° 240° 120° 
7、设置电流&amp;电流角度：2A 2A 2A ， 0° 240° 120° 
8、检查independent input channel所有float参数是否计算显示均正确(62个)</t>
    <phoneticPr fontId="10" type="noConversion"/>
  </si>
  <si>
    <t>Function_AcuRev1320_044_05_case1</t>
  </si>
  <si>
    <t>Independent使能, CustomRead添加“independent input channel energy” , CT变比P1, input1~4配Vb&amp;Vc&amp;Va&amp;Vb,Summation1&amp;2配input1&amp;2&amp;4, 修改电压电流参数均为0，independent input channel energy所有参数计算正确(84个)</t>
    <phoneticPr fontId="10" type="noConversion"/>
  </si>
  <si>
    <t>1、Independent使能,
2、CustomRead添加“independent input channel energy” 
3、CT变比P1
4、 input1~4配Vb&amp;Vc&amp;Va&amp;Vb
5、Summation1&amp;2配input1&amp;2&amp;4
6、电压电流输入均为0
7、等待5分钟
8、检查independent input channel energy所有参数(84个)，能量是否均没有增加。</t>
    <phoneticPr fontId="10" type="noConversion"/>
  </si>
  <si>
    <t>8、independent input channel energy所有参数(84个)，能量均没有增加。</t>
    <phoneticPr fontId="10" type="noConversion"/>
  </si>
  <si>
    <t>Function_AcuRev1320_044_05_case2</t>
  </si>
  <si>
    <t>Independent使能, CustomRead添加“independent input channel energy” , CT变比P1, input1~4配Vb&amp;Vc&amp;Va&amp;Vb,Summation1&amp;2配input1&amp;2&amp;4, 修改电压电流参数组合一，independent input channel energy所有参数计算正确(84个)</t>
    <phoneticPr fontId="10" type="noConversion"/>
  </si>
  <si>
    <t>1、Independent使能,
2、CustomRead添加“independent input channel energy” 
3、CT变比P1
4、 input1~4配Vb&amp;Vc&amp;Va&amp;Vb
5、Summation1&amp;2配input1&amp;2&amp;4
6、设置电压&amp;电压角度：220V 220V 220V，0° 240° 120° 
7、设置电流&amp;电流角度：1A 1A 1A ， 0° 240° 120° 
7、等待5分钟
8、检查independent input channel energy所有参数(84个)，能量是否均增加， 且计算正确。</t>
    <phoneticPr fontId="10" type="noConversion"/>
  </si>
  <si>
    <t>8、independent input channel energy所有参数(84个)，能量均增加， 且计算正确</t>
    <phoneticPr fontId="10" type="noConversion"/>
  </si>
  <si>
    <t>Function_AcuRev1320_044_05_case3</t>
  </si>
  <si>
    <t>Independent使能, CustomRead添加“independent input channel energy” , CT变比P1, input1~4配Vb&amp;Vc&amp;Va&amp;Vb,Summation1&amp;2配input1&amp;2&amp;4,  修改电压电流参数组合二，independent input channel energy所有参数计算正确(84个)</t>
  </si>
  <si>
    <t>1、Independent使能,
2、CustomRead添加“independent input channel energy” 
3、CT变比P1
4、 input1~4配Vb&amp;Vc&amp;Va&amp;Vb
5、Summation1&amp;2配input1&amp;2&amp;4
6、设置电压&amp;电压角度：220V 220V 220V，0° 240° 120° 
7、设置电流&amp;电流角度：2A 2A 2A ， 0° 240° 120° 
7、等待5分钟
8、检查independent input channel energy所有参数(84个)，能量是否均增加， 且计算正确。</t>
    <phoneticPr fontId="10" type="noConversion"/>
  </si>
  <si>
    <t>Function_AcuRev1320_044_06_case1</t>
  </si>
  <si>
    <t>In 的THD、OddTHD、EvenTHD、K Factor 显示初始值0正常</t>
    <phoneticPr fontId="10" type="noConversion"/>
  </si>
  <si>
    <t>2、THD、OddTHD、EvenTHD均为0、K Factor为1.141
4、THD、OddTHD、EvenTHD均为0、K Factor为1.141</t>
    <phoneticPr fontId="10" type="noConversion"/>
  </si>
  <si>
    <t>Function_AcuRev1320_044_06_case2</t>
  </si>
  <si>
    <t>In 的THD、OddTHD、EvenTHD、K Factor 显示参数组合一正常</t>
    <phoneticPr fontId="10" type="noConversion"/>
  </si>
  <si>
    <t>1、In接负载， 叠加10%的3次谐波，10%的4次谐波
2、检查Custom Read显示Independentchannel In THD中THD、OddTHD、EvenTHD、K Factor 显示是否正常。</t>
    <phoneticPr fontId="10" type="noConversion"/>
  </si>
  <si>
    <t>2、Custom Read显示Independentchannel In THD中THD：14.142%
OddTHD：10%
evenTHD：10%
K Factor：1.414</t>
    <phoneticPr fontId="10" type="noConversion"/>
  </si>
  <si>
    <t>Function_AcuRev1320_044_06_case3</t>
  </si>
  <si>
    <t>In 的THD、OddTHD、EvenTHD、K Factor 显示参数组合二正常</t>
    <phoneticPr fontId="10" type="noConversion"/>
  </si>
  <si>
    <t>2、Custom Read显示Independentchannel In THD中THD：xx
OddTHD：xx
evenTHD：xx
K Factor：1.414</t>
    <phoneticPr fontId="10" type="noConversion"/>
  </si>
  <si>
    <t>Custom Read显示DI Status</t>
    <phoneticPr fontId="12" type="noConversion"/>
  </si>
  <si>
    <t>DI1 DI2 DI3 全为ON，Customer reading界面显示正常</t>
    <phoneticPr fontId="10" type="noConversion"/>
  </si>
  <si>
    <t>1、DI1 DI2 DI3 全为ON
2、检查Customer reading界面显示是否正常</t>
    <phoneticPr fontId="10" type="noConversion"/>
  </si>
  <si>
    <t>2、Customer reading界面显示正常，DI1 DI2 DI3 全为ON</t>
    <phoneticPr fontId="10" type="noConversion"/>
  </si>
  <si>
    <t>Function_AcuRev1320_044_07_case2</t>
  </si>
  <si>
    <t>DI1 DI2 DI3 全为OFF，Customer reading界面显示正常</t>
    <phoneticPr fontId="10" type="noConversion"/>
  </si>
  <si>
    <t>1、DI1 DI2 DI3 全为OFF
2、检查Customer reading界面显示是否正常</t>
    <phoneticPr fontId="10" type="noConversion"/>
  </si>
  <si>
    <t>2、Customer reading界面显示正常，DI1 DI2 DI3 全为OFF</t>
    <phoneticPr fontId="10" type="noConversion"/>
  </si>
  <si>
    <t>Function_AcuRev1320_044_07_case3</t>
  </si>
  <si>
    <t>DI1 DI2 全为ON，DI3 为OFF，Customer reading界面显示正常</t>
    <phoneticPr fontId="10" type="noConversion"/>
  </si>
  <si>
    <t>1、DI1 DI2 全为ON
2、DI3为OFF
3、检查Customer reading界面显示是否正常</t>
    <phoneticPr fontId="10" type="noConversion"/>
  </si>
  <si>
    <t>3、Customer reading界面显示正常，DI1 DI2 全为ON，DI3 为OFF</t>
    <phoneticPr fontId="10" type="noConversion"/>
  </si>
  <si>
    <t>Function_AcuRev1320_044_07_case4</t>
  </si>
  <si>
    <t>DI2 为ON，DI1 DI3 为OFF，Customer reading界面显示正常</t>
    <phoneticPr fontId="10" type="noConversion"/>
  </si>
  <si>
    <t>1、DI2 全为ON
2、DI1 DI3为OFF
3、检查Customer reading界面显示是否正常</t>
    <phoneticPr fontId="10" type="noConversion"/>
  </si>
  <si>
    <t>3、Customer reading界面显示正常，DI2 为ON，DI1 DI3 为OFF</t>
    <phoneticPr fontId="10" type="noConversion"/>
  </si>
  <si>
    <t>Function_AcuRev1320_044_08_case1</t>
  </si>
  <si>
    <t>DI1 DI2 DI3 全为0，Customer reading界面DI count显示正常</t>
    <phoneticPr fontId="10" type="noConversion"/>
  </si>
  <si>
    <t>1、构造DI1 DI2 DI3 全为0
2、检查Customer reading界面DI count是否显示正常</t>
    <phoneticPr fontId="10" type="noConversion"/>
  </si>
  <si>
    <t>2、Customer reading界面DI count显示正常，DI1 DI2 DI3 的count全为0</t>
    <phoneticPr fontId="10" type="noConversion"/>
  </si>
  <si>
    <t>Function_AcuRev1320_044_08_case2</t>
  </si>
  <si>
    <t>DI1 DI2 DI3 均不为0，Customer reading界面DI count显示正常</t>
  </si>
  <si>
    <t>1、构造DI1 DI2 DI3 全为5
2、检查Customer reading界面DI count是否显示正常</t>
    <phoneticPr fontId="10" type="noConversion"/>
  </si>
  <si>
    <t>2、Customer reading界面DI count显示正常，DI1 DI2 DI3 的count全为5</t>
    <phoneticPr fontId="10" type="noConversion"/>
  </si>
  <si>
    <t>1、构造DI1 DI2 DI3 全为DI最大值Max
2、检查Customer reading界面DI count是否显示正常</t>
    <phoneticPr fontId="10" type="noConversion"/>
  </si>
  <si>
    <t>2、Customer reading界面DI count显示正常，DI1 DI2 DI3 的count全为Max</t>
    <phoneticPr fontId="10" type="noConversion"/>
  </si>
  <si>
    <t>Audit&amp;sysLog</t>
    <phoneticPr fontId="10" type="noConversion"/>
  </si>
  <si>
    <t>Audit log</t>
    <phoneticPr fontId="12" type="noConversion"/>
  </si>
  <si>
    <t>Function_AcuRev1320_045_01_case1</t>
  </si>
  <si>
    <t>设备出现Fatal error，需要有Audit日志记录(时间戳，日志内容)</t>
    <phoneticPr fontId="10" type="noConversion"/>
  </si>
  <si>
    <t>2、立即记录一条Audit日志记录(时间戳，日志内容【Fatal error】)</t>
    <phoneticPr fontId="10" type="noConversion"/>
  </si>
  <si>
    <t>固件完整性检查失败，需要有Audit日志记录(时间戳，日志内容)</t>
    <phoneticPr fontId="10" type="noConversion"/>
  </si>
  <si>
    <t>2、立即记录一条Audit日志记录(时间戳，日志内容【固件完整性检查失败】)</t>
    <phoneticPr fontId="10" type="noConversion"/>
  </si>
  <si>
    <t>Function_AcuRev1320_045_01_case3</t>
  </si>
  <si>
    <t>计量配置完整性检查失败，需要有Audit日志记录(时间戳，日志内容)</t>
    <phoneticPr fontId="10" type="noConversion"/>
  </si>
  <si>
    <t>2、立即记录一条Audit日志记录(时间戳，日志内容【计量配置完整性检查失败】)</t>
    <phoneticPr fontId="10" type="noConversion"/>
  </si>
  <si>
    <t>Function_AcuRev1320_045_01_case4</t>
  </si>
  <si>
    <t>计量数据完整性检查失败，需要有Audit日志记录(时间戳，日志内容)</t>
    <phoneticPr fontId="10" type="noConversion"/>
  </si>
  <si>
    <t>2、立即记录一条Audit日志记录(时间戳，日志内容【计量数据完整性检查失败】)</t>
    <phoneticPr fontId="10" type="noConversion"/>
  </si>
  <si>
    <t>Function_AcuRev1320_045_01_case5</t>
  </si>
  <si>
    <t>RTC失败，需要有Audit日志记录(时间戳，日志内容)</t>
    <phoneticPr fontId="10" type="noConversion"/>
  </si>
  <si>
    <t>2、立即记录一条Audit日志记录(时间戳，日志内容【RTC失败】)</t>
    <phoneticPr fontId="10" type="noConversion"/>
  </si>
  <si>
    <t>Function_AcuRev1320_045_01_case6</t>
  </si>
  <si>
    <t>ADC失败，需要有Audit日志记录(时间戳，日志内容)</t>
    <phoneticPr fontId="10" type="noConversion"/>
  </si>
  <si>
    <t>2、立即记录一条Audit日志记录(时间戳，日志内容【ADC失败】)</t>
    <phoneticPr fontId="10" type="noConversion"/>
  </si>
  <si>
    <t>Function_AcuRev1320_045_01_case7</t>
  </si>
  <si>
    <t>SDRAM失败，需要有Audit日志记录(时间戳，日志内容)</t>
    <phoneticPr fontId="10" type="noConversion"/>
  </si>
  <si>
    <t>2、立即记录一条Audit日志记录(时间戳，日志内容【SDRAM失败】)</t>
    <phoneticPr fontId="10" type="noConversion"/>
  </si>
  <si>
    <t>Function_AcuRev1320_045_01_case8</t>
  </si>
  <si>
    <t>Flash失败，需要有Audit日志记录(时间戳，日志内容)</t>
    <phoneticPr fontId="10" type="noConversion"/>
  </si>
  <si>
    <t>2、立即记录一条Audit日志记录(时间戳，日志内容【Flash失败】)</t>
    <phoneticPr fontId="10" type="noConversion"/>
  </si>
  <si>
    <t>Function_AcuRev1320_045_01_case9</t>
  </si>
  <si>
    <t>EMMC失败，需要有Audit日志记录(时间戳，日志内容)</t>
    <phoneticPr fontId="10" type="noConversion"/>
  </si>
  <si>
    <t>2、立即记录一条Audit日志记录(时间戳，日志内容【EMMC失败】)</t>
    <phoneticPr fontId="10" type="noConversion"/>
  </si>
  <si>
    <t>Function_AcuRev1320_045_01_case10</t>
  </si>
  <si>
    <t>铅封状态从ON -&gt; OFF,  需要有Audit日志记录(时间戳，日志内容)</t>
    <phoneticPr fontId="10" type="noConversion"/>
  </si>
  <si>
    <t>1、设置铅封状态从ON -&gt; OFF
2、检查是否生成一条Audit日志记录(时间戳，日志内容)</t>
    <phoneticPr fontId="10" type="noConversion"/>
  </si>
  <si>
    <t>2、生成一条Audit日志记录(时间戳，日志内容【铅封状态变化】)</t>
    <phoneticPr fontId="10" type="noConversion"/>
  </si>
  <si>
    <t>铅封状态从OFF-&gt; ON ,  需要有Audit日志记录(时间戳，日志内容)</t>
    <phoneticPr fontId="10" type="noConversion"/>
  </si>
  <si>
    <t>1、设置铅封状态从OFF -&gt; ON
2、检查是否生成一条Audit日志记录(时间戳，日志内容)</t>
    <phoneticPr fontId="10" type="noConversion"/>
  </si>
  <si>
    <t>设备进行FirmWare升级,  需要有Audit日志记录(时间戳，日志内容)</t>
    <phoneticPr fontId="10" type="noConversion"/>
  </si>
  <si>
    <t>1、设备进行FirmWare升级
2、检查是否生成一条Audit日志记录(时间戳，日志内容)</t>
    <phoneticPr fontId="10" type="noConversion"/>
  </si>
  <si>
    <t>2、生成一条Audit日志记录(时间戳，日志内容【设备FirmWare升级】)</t>
    <phoneticPr fontId="10" type="noConversion"/>
  </si>
  <si>
    <t>Function_AcuRev1320_045_01_case13</t>
  </si>
  <si>
    <t>接线方式变化1，需要有Audit日志记录(时间戳，日志内容)</t>
    <phoneticPr fontId="10" type="noConversion"/>
  </si>
  <si>
    <t>1、接线方式变化1，ELEMENT_3_WIRE_4_Y 切换到ELEMENT_1_WIRE_2，并保存
2、检查是否生成Audit日志记录(时间戳，日志内容)</t>
    <phoneticPr fontId="10" type="noConversion"/>
  </si>
  <si>
    <t>2、立即生成Audit日志记录(时间戳，日志内容【接线方式变化】)</t>
    <phoneticPr fontId="10" type="noConversion"/>
  </si>
  <si>
    <t>Function_AcuRev1320_045_01_case14</t>
  </si>
  <si>
    <t>接线方式变化2，需要有Audit日志记录(时间戳，日志内容)</t>
  </si>
  <si>
    <t>1、接线方式变化1，ELEMENT_2_WIRE_3_DELTA切换到ELEMENT_2_WIRE_3_PHASE_1，并保存
2、检查是否生成Audit日志记录(时间戳，日志内容)</t>
    <phoneticPr fontId="10" type="noConversion"/>
  </si>
  <si>
    <t>Function_AcuRev1320_045_01_case15</t>
  </si>
  <si>
    <t>接线方式变化3，需要有Audit日志记录(时间戳，日志内容)</t>
  </si>
  <si>
    <t>1、接线方式变化1，ELEMENT_3_WIRE_4_DELTA切换到ELEMENT_2_WIRE_3_NETWORK，并保存
2、检查是否生成Audit日志记录(时间戳，日志内容)</t>
    <phoneticPr fontId="10" type="noConversion"/>
  </si>
  <si>
    <t>电表CT变比变更1，需要有Audit日志记录(时间戳，日志内容)</t>
    <phoneticPr fontId="10" type="noConversion"/>
  </si>
  <si>
    <t>1、修改并保存电表CT变比变更1，并保存
2、检查是否生成一条Audit日志记录(时间戳，日志内容)</t>
    <phoneticPr fontId="10" type="noConversion"/>
  </si>
  <si>
    <t>2、立即生成Audit日志记录(时间戳，日志内容【电表CT变比变更】)</t>
    <phoneticPr fontId="10" type="noConversion"/>
  </si>
  <si>
    <t>Function_AcuRev1320_045_01_case17</t>
  </si>
  <si>
    <t>电表CT变比变更2，需要有Audit日志记录(时间戳，日志内容)</t>
    <phoneticPr fontId="10" type="noConversion"/>
  </si>
  <si>
    <t>1、修改并保存电表CT变比变更2，并保存
2、检查是否生成一条Audit日志记录(时间戳，日志内容)</t>
    <phoneticPr fontId="10" type="noConversion"/>
  </si>
  <si>
    <t>电流方向变更1，需要有Audit日志记录(时间戳，日志内容)</t>
    <phoneticPr fontId="10" type="noConversion"/>
  </si>
  <si>
    <t>1、修改并保存电流方向变更，Positive-&gt;negative，并保存
2、检查是否生成一条Audit日志记录(时间戳，日志内容)
3、修改并保存电流方向变更，negative-&gt;Positive，并保存
4、检查是否生成另一条Audit日志记录(时间戳，日志内容)</t>
    <phoneticPr fontId="10" type="noConversion"/>
  </si>
  <si>
    <t>2、立即生成Audit日志记录(时间戳，日志内容【电流方向变更】)
4、立即生成Audit日志记录(时间戳，日志内容【电流方向变更】)</t>
    <phoneticPr fontId="10" type="noConversion"/>
  </si>
  <si>
    <t>Function_AcuRev1320_045_01_case20</t>
  </si>
  <si>
    <t>电流mapping的电压配置变化1，需要有Audit日志记录(时间戳，日志内容)</t>
    <phoneticPr fontId="10" type="noConversion"/>
  </si>
  <si>
    <t>1、修改并保存电流mapping的电压配置变化Ib--Ub变更为Ib--Ua，并保存
2、检查是否生成一条Audit日志记录(时间戳，日志内容)</t>
    <phoneticPr fontId="10" type="noConversion"/>
  </si>
  <si>
    <t>2、立即生成Audit日志记录(时间戳，日志内容【电流mapping的电压配置变化】)</t>
    <phoneticPr fontId="10" type="noConversion"/>
  </si>
  <si>
    <t>Function_AcuRev1320_045_01_case21</t>
  </si>
  <si>
    <t xml:space="preserve">电流mapping的电压配置变化2，需要有Audit日志记录(时间戳，日志内容) </t>
  </si>
  <si>
    <t>1、修改并保存电流mapping的电压配置变化Ic--Uc变更为Ic--Ub，并保存
2、检查是否生成一条Audit日志记录(时间戳，日志内容)</t>
    <phoneticPr fontId="10" type="noConversion"/>
  </si>
  <si>
    <t>Function_AcuRev1320_045_01_case22</t>
  </si>
  <si>
    <t xml:space="preserve">电流mapping的电压配置变化3，需要有Audit日志记录(时间戳，日志内容) </t>
  </si>
  <si>
    <t>1、修改并保存电流mapping的电压配置变化Ia--Ua变更为Ia--Ub，并保存
2、检查是否生成一条Audit日志记录(时间戳，日志内容)</t>
    <phoneticPr fontId="10" type="noConversion"/>
  </si>
  <si>
    <t>Function_AcuRev1320_045_01_case23</t>
  </si>
  <si>
    <t>打开independent 模式， 其他默认值，需要有Audit日志记录(时间戳，日志内容)</t>
    <phoneticPr fontId="10" type="noConversion"/>
  </si>
  <si>
    <t>1、Acuview2上位机
2、AcuRev1320电表
3、independent 模式关闭</t>
    <phoneticPr fontId="10" type="noConversion"/>
  </si>
  <si>
    <t>1、打开independent 模式， 其他默认值，并保存
2、观察是否生成一条Audit日志记录(时间戳，日志内容)
3、关闭independent 模式， 其他默认值，并保存
4、观察是否生成另一条Audit日志记录(时间戳，日志内容)</t>
    <phoneticPr fontId="10" type="noConversion"/>
  </si>
  <si>
    <t>2、生成一条Audit日志记录(时间戳，日志内容【independent 模式模式变化】)
4、生成另一条Audit日志记录(时间戳，日志内容【independent 模式模式变化】)</t>
    <phoneticPr fontId="10" type="noConversion"/>
  </si>
  <si>
    <t>Function_AcuRev1320_045_01_case27</t>
  </si>
  <si>
    <t>打开independent 模式， 修改匹配电压组合一，需要有Audit日志记录(时间戳，日志内容)</t>
    <phoneticPr fontId="10" type="noConversion"/>
  </si>
  <si>
    <t>1、打开independent 模式，修改匹配电压组合1，并保存
2、观察是否生成一条Audit日志记录(时间戳，日志内容)
3、修改匹配电压组合2，并保存
4、观察是否生成另一条Audit日志记录(时间戳，日志内容)</t>
    <phoneticPr fontId="10" type="noConversion"/>
  </si>
  <si>
    <t>2、生成一条Audit日志记录(时间戳，日志内容【电流匹配电压变化】)
4、生成另一条Audit日志记录(时间戳，日志内容【电流匹配电压变化】)</t>
    <phoneticPr fontId="10" type="noConversion"/>
  </si>
  <si>
    <t>Function_AcuRev1320_045_01_case29</t>
  </si>
  <si>
    <t>打开independent 模式， 修改summation1组合一，需要有Audit日志记录(时间戳，日志内容)</t>
    <phoneticPr fontId="10" type="noConversion"/>
  </si>
  <si>
    <t>1、打开independent 模式， 修改summation1组合一，并保存
2、观察是否生成一条Audit日志记录(时间戳，日志内容)
3、， 修改summation1组合二，并保存
4、观察是否生成一条Audit日志记录(时间戳，日志内容)</t>
    <phoneticPr fontId="10" type="noConversion"/>
  </si>
  <si>
    <t>2、生成一条Audit日志记录(时间戳，日志内容【summation1变化】)
4、生成另一条Audit日志记录(时间戳，日志内容【summation1变化】)</t>
    <phoneticPr fontId="10" type="noConversion"/>
  </si>
  <si>
    <t>Function_AcuRev1320_045_01_case31</t>
  </si>
  <si>
    <t>打开independent 模式， 修改summation2组合一，需要有Audit日志记录(时间戳，日志内容)</t>
  </si>
  <si>
    <t>1、打开independent 模式， 修改summation2组合一，并保存
2、观察是否生成一条Audit日志记录(时间戳，日志内容)
3、， 修改summation2组合二，并保存
4、观察是否生成一条Audit日志记录(时间戳，日志内容)</t>
    <phoneticPr fontId="10" type="noConversion"/>
  </si>
  <si>
    <t>2、生成一条Audit日志记录(时间戳，日志内容【summation2变化】)
4、生成另一条Audit日志记录(时间戳，日志内容【summation2变化】)</t>
    <phoneticPr fontId="10" type="noConversion"/>
  </si>
  <si>
    <t>打开independent 模式， 修改summation1&amp;summation2，需要有Audit日志记录(时间戳，日志内容)</t>
  </si>
  <si>
    <t>1、打开independent 模式， 修改summation1&amp;summation2组合一
2、观察是否生成一条Audit日志记录(时间戳，日志内容)</t>
    <phoneticPr fontId="10" type="noConversion"/>
  </si>
  <si>
    <t>2、生成一条Audit日志记录(时间戳，日志内容【summation2变化】)</t>
    <phoneticPr fontId="10" type="noConversion"/>
  </si>
  <si>
    <t>打开DualSource模式， 其他默认值，需要有Audit日志记录(时间戳，日志内容)</t>
    <phoneticPr fontId="10" type="noConversion"/>
  </si>
  <si>
    <t>1、Acuview2上位机
2、AcuRev1320电表
3、关闭DualSource模式</t>
    <phoneticPr fontId="10" type="noConversion"/>
  </si>
  <si>
    <t xml:space="preserve">1、打开DualSource模式，并保存
2、观察是否生成一条Audit日志记录(时间戳，日志内容)
3、关闭DualSource模式，并保存
4、观察是否生成一条Audit日志记录(时间戳，日志内容)
</t>
    <phoneticPr fontId="10" type="noConversion"/>
  </si>
  <si>
    <t>2、生成一条Audit日志记录(时间戳，日志内容【DualSource配置变化】)
4、生成一条Audit日志记录(时间戳，日志内容【DualSource配置变化】)</t>
    <phoneticPr fontId="10" type="noConversion"/>
  </si>
  <si>
    <t>Function_AcuRev1320_045_01_case36</t>
  </si>
  <si>
    <t>打开DualSource模式，修改“switch Mode”，需要有Audit日志记录(时间戳，日志内容)</t>
    <phoneticPr fontId="10" type="noConversion"/>
  </si>
  <si>
    <t>1、Acuview2上位机
2、AcuRev1320电表
3、“switch Mode”设置为DI1</t>
    <phoneticPr fontId="10" type="noConversion"/>
  </si>
  <si>
    <t>1、打开DualSource模式，修改“switch Mode”为DI1为Comm
2、观察是否生成一条Audit日志记录(时间戳，日志内容)</t>
    <phoneticPr fontId="10" type="noConversion"/>
  </si>
  <si>
    <t>2、生成一条Audit日志记录(时间戳，日志内容【DualSource配置变化】)</t>
    <phoneticPr fontId="10" type="noConversion"/>
  </si>
  <si>
    <t>Function_AcuRev1320_045_01_case37</t>
  </si>
  <si>
    <t>打开DualSource模式，修改“Direction”，需要有Audit日志记录(时间戳，日志内容)</t>
    <phoneticPr fontId="10" type="noConversion"/>
  </si>
  <si>
    <t>1、Acuview2上位机
2、AcuRev1320电表
3、“switch Mode”设置为comm.</t>
    <phoneticPr fontId="10" type="noConversion"/>
  </si>
  <si>
    <t>1、打开DualSource模式，修改“Direction”, Generator 为 Grid
2、观察是否生成一条Audit日志记录(时间戳，日志内容)</t>
    <phoneticPr fontId="10" type="noConversion"/>
  </si>
  <si>
    <t>Function_AcuRev1320_045_01_case38</t>
  </si>
  <si>
    <t>打开DualSource模式，分别修改“Engergy1”&amp;“Engergy2&amp;“Engergy3，需要有Audit日志记录(时间戳，日志内容)</t>
    <phoneticPr fontId="10" type="noConversion"/>
  </si>
  <si>
    <t>1、打开DualSource模式，修改“Engergy1”, 并保存
2、观察是否生成一条Audit日志记录(时间戳，日志内容)
3、打开DualSource模式，修改“Engergy2”, 并保存
4、观察是否生成一条Audit日志记录(时间戳，日志内容)
5、打开DualSource模式，修改“Engergy3”, 并保存
6、观察是否生成一条Audit日志记录(时间戳，日志内容)</t>
    <phoneticPr fontId="10" type="noConversion"/>
  </si>
  <si>
    <t>2、立即生成一条Audit日志记录(时间戳，日志内容【DualSource配置变化】)
4、立即生成一条Audit日志记录(时间戳，日志内容【DualSource配置变化】)
6、立即生成一条Audit日志记录(时间戳，日志内容【DualSource配置变化】)</t>
    <phoneticPr fontId="10" type="noConversion"/>
  </si>
  <si>
    <t>Function_AcuRev1320_045_01_case44</t>
  </si>
  <si>
    <t>设备最大存贮aduit log记录 5000条</t>
    <phoneticPr fontId="10" type="noConversion"/>
  </si>
  <si>
    <t>1、构造超过5000条 aduit log条件
2、检查设备是否最大存储5000条aduit log。</t>
    <phoneticPr fontId="10" type="noConversion"/>
  </si>
  <si>
    <t>2、设备最大存储5000条aduit log。</t>
    <phoneticPr fontId="10" type="noConversion"/>
  </si>
  <si>
    <t>Function_AcuRev1320_045_01_case45</t>
  </si>
  <si>
    <t>重启设备aduit log不会丢失</t>
    <phoneticPr fontId="10" type="noConversion"/>
  </si>
  <si>
    <t>1、Acuview2上位机
2、AcuRev1320电表
3、设备存储的aduit log条数不为0</t>
    <phoneticPr fontId="10" type="noConversion"/>
  </si>
  <si>
    <t>1、重启设备
2、检查aduit log是否会丢失
3、读取aduit log是否正常</t>
    <phoneticPr fontId="10" type="noConversion"/>
  </si>
  <si>
    <t>2、aduit log不会丢失
3、读取aduit log正常</t>
    <phoneticPr fontId="10" type="noConversion"/>
  </si>
  <si>
    <t>Function_AcuRev1320_045_01_case46</t>
  </si>
  <si>
    <t>1、构造4999条 aduit log条件
2、检查设备最后一条log内容是否为记录Auditlog满事件</t>
    <phoneticPr fontId="10" type="noConversion"/>
  </si>
  <si>
    <t>2、设备最后一条log内容为记录Auditlog满事件</t>
    <phoneticPr fontId="10" type="noConversion"/>
  </si>
  <si>
    <t>Function_AcuRev1320_045_01_case47</t>
    <phoneticPr fontId="10" type="noConversion"/>
  </si>
  <si>
    <t>铅封模式下，用户无法删除aduit log， 非铅封模式可以删除</t>
    <phoneticPr fontId="10" type="noConversion"/>
  </si>
  <si>
    <t>1、铅封打开
2、尝试删除aduit log。
3、检查删除是否成功
4、铅封关闭
5、尝试删除aduit log。
6、检查删除是否成功</t>
    <phoneticPr fontId="10" type="noConversion"/>
  </si>
  <si>
    <t>2、删除aduit log失败
6、删除aduit log成功</t>
    <phoneticPr fontId="10" type="noConversion"/>
  </si>
  <si>
    <t>Syslog</t>
    <phoneticPr fontId="12" type="noConversion"/>
  </si>
  <si>
    <t>Function_AcuRev1320_045_02_case1</t>
  </si>
  <si>
    <t>设备掉电启动， 需记录syslog(时间戳，日志内容)</t>
    <phoneticPr fontId="10" type="noConversion"/>
  </si>
  <si>
    <t>1、设备掉电启动
2、观察是否生成一条syslog日志记录(时间戳，日志内容)</t>
    <phoneticPr fontId="10" type="noConversion"/>
  </si>
  <si>
    <t>2、可以观察到新增一条syslog日志记录(时间戳，日志内容【设备重启】)</t>
    <phoneticPr fontId="10" type="noConversion"/>
  </si>
  <si>
    <t>Function_AcuRev1320_045_02_case7</t>
  </si>
  <si>
    <t xml:space="preserve">清除设备Max/Min， 需要有syslog日志记录(时间戳，日志内容) </t>
    <phoneticPr fontId="10" type="noConversion"/>
  </si>
  <si>
    <t>1、清除设备Max/Min
2、观察是否生成一条syslog日志记录(时间戳，日志内容)</t>
    <phoneticPr fontId="10" type="noConversion"/>
  </si>
  <si>
    <t>2、可以观察到新增一条syslog日志记录(时间戳，日志内容【清除设备Max/Min】)</t>
    <phoneticPr fontId="10" type="noConversion"/>
  </si>
  <si>
    <t>Function_AcuRev1320_045_02_case8</t>
  </si>
  <si>
    <t xml:space="preserve">清除设备Energy， 需要有syslog日志记录(时间戳，日志内容) </t>
    <phoneticPr fontId="10" type="noConversion"/>
  </si>
  <si>
    <t>1、清除设备Energy
2、观察是否生成一条syslog日志记录(时间戳，日志内容)</t>
    <phoneticPr fontId="10" type="noConversion"/>
  </si>
  <si>
    <t>2、可以观察到新增一条syslog日志记录(时间戳，日志内容【清除设备Energy】)</t>
    <phoneticPr fontId="10" type="noConversion"/>
  </si>
  <si>
    <t>Function_AcuRev1320_045_02_case9</t>
  </si>
  <si>
    <t xml:space="preserve">清除设备Max Demand， 需要有syslog日志记录(时间戳，日志内容) </t>
    <phoneticPr fontId="10" type="noConversion"/>
  </si>
  <si>
    <t>1、清除设备Max Demand
2、观察是否生成一条syslog日志记录(时间戳，日志内容)</t>
    <phoneticPr fontId="10" type="noConversion"/>
  </si>
  <si>
    <t>2、可以观察到新增一条syslog日志记录(时间戳，日志内容【清除设备Max Demand】)</t>
    <phoneticPr fontId="10" type="noConversion"/>
  </si>
  <si>
    <t>Function_AcuRev1320_045_02_case9_1</t>
  </si>
  <si>
    <t xml:space="preserve">清除设备MaxDemandCountTimestamp，需要有syslog日志记录(时间戳，日志内容) </t>
    <phoneticPr fontId="10" type="noConversion"/>
  </si>
  <si>
    <t>1、Acuview2上位机
2、AcuRev1321电表</t>
  </si>
  <si>
    <t>1、清除设备MaxDemandCountTimestamp
2、观察是否生成一条syslog日志记录(时间戳，日志内容)</t>
    <phoneticPr fontId="10" type="noConversion"/>
  </si>
  <si>
    <t>2、可以观察到新增一条syslog日志记录(时间戳，日志内容【清除设备MaxDemandCountTimestamp】)</t>
    <phoneticPr fontId="10" type="noConversion"/>
  </si>
  <si>
    <t>Function_AcuRev1320_045_02_case9_2</t>
  </si>
  <si>
    <t xml:space="preserve">清除设备Runtime，需要有syslog日志记录(时间戳，日志内容) </t>
    <phoneticPr fontId="10" type="noConversion"/>
  </si>
  <si>
    <t>1、Acuview2上位机
2、AcuRev1322电表</t>
  </si>
  <si>
    <t>1、清除设备Runtime
2、观察是否生成一条syslog日志记录(时间戳，日志内容)</t>
    <phoneticPr fontId="10" type="noConversion"/>
  </si>
  <si>
    <t>2、可以观察到新增一条syslog日志记录(时间戳，日志内容【Runtime清除设备Runtime】)</t>
    <phoneticPr fontId="10" type="noConversion"/>
  </si>
  <si>
    <t>Function_AcuRev1320_045_02_case9_3</t>
  </si>
  <si>
    <t xml:space="preserve">清除设备Loadtime ，需要有syslog日志记录(时间戳，日志内容) </t>
    <phoneticPr fontId="10" type="noConversion"/>
  </si>
  <si>
    <t>1、Acuview2上位机
2、AcuRev1323电表</t>
  </si>
  <si>
    <t>1、清除设备Loadtime
2、观察是否生成一条syslog日志记录(时间戳，日志内容)</t>
    <phoneticPr fontId="10" type="noConversion"/>
  </si>
  <si>
    <t>2、可以观察到新增一条syslog日志记录(时间戳，日志内容【清除设备Loadtime】)</t>
    <phoneticPr fontId="10" type="noConversion"/>
  </si>
  <si>
    <t>Function_AcuRev1320_045_02_case9_4</t>
  </si>
  <si>
    <t xml:space="preserve">清除设备SoeLog，需要有syslog日志记录(时间戳，日志内容) </t>
    <phoneticPr fontId="10" type="noConversion"/>
  </si>
  <si>
    <t>1、Acuview2上位机
2、AcuRev1324电表</t>
  </si>
  <si>
    <t>1、清除设备SoeLog
2、观察是否生成一条syslog日志记录(时间戳，日志内容)</t>
    <phoneticPr fontId="10" type="noConversion"/>
  </si>
  <si>
    <t>2、可以观察到新增一条syslog日志记录(时间戳，日志内容【清除设备SoeLog】)</t>
    <phoneticPr fontId="10" type="noConversion"/>
  </si>
  <si>
    <t>Function_AcuRev1320_045_02_case9_5</t>
  </si>
  <si>
    <t xml:space="preserve">清除设备PQenventLog，需要有syslog日志记录(时间戳，日志内容)  </t>
    <phoneticPr fontId="10" type="noConversion"/>
  </si>
  <si>
    <t>1、Acuview2上位机
2、AcuRev1325电表</t>
  </si>
  <si>
    <t>1、清除设备PQenventLog
2、观察是否生成一条syslog日志记录(时间戳，日志内容)</t>
    <phoneticPr fontId="10" type="noConversion"/>
  </si>
  <si>
    <t>2、可以观察到新增一条syslog日志记录(时间戳，日志内容【清除设备PQenventLog】)</t>
    <phoneticPr fontId="10" type="noConversion"/>
  </si>
  <si>
    <t>Function_AcuRev1320_045_02_case9_6</t>
    <phoneticPr fontId="10" type="noConversion"/>
  </si>
  <si>
    <t xml:space="preserve">清除设备Waveform ，需要有syslog日志记录(时间戳，日志内容) </t>
    <phoneticPr fontId="10" type="noConversion"/>
  </si>
  <si>
    <t>1、Acuview2上位机
2、AcuRev1326电表</t>
  </si>
  <si>
    <t>1、清除设备Waveform
2、观察是否生成一条syslog日志记录(时间戳，日志内容)</t>
    <phoneticPr fontId="10" type="noConversion"/>
  </si>
  <si>
    <t>2、可以观察到新增一条syslog日志记录(时间戳，日志内容【清除设备Waveform】)</t>
    <phoneticPr fontId="10" type="noConversion"/>
  </si>
  <si>
    <t>Function_AcuRev1320_045_02_case9_7</t>
  </si>
  <si>
    <t xml:space="preserve">清除设备DataLog1, DataLog2,DataLog3, TrendLog， 需要有syslog日志记录(时间戳，日志内容) </t>
    <phoneticPr fontId="10" type="noConversion"/>
  </si>
  <si>
    <t>1、Acuview2上位机
2、AcuRev1327电表</t>
  </si>
  <si>
    <t>1、清除设备DataLog1
2、观察是否生成一条syslog日志记录(时间戳，日志内容)
3、清除设备DataLog2
4、观察是否生成一条syslog日志记录(时间戳，日志内容)
5、清除设备DataLog3
6、观察是否生成一条syslog日志记录(时间戳，日志内容)
7、清除设备TrendLog
8、观察是否生成一条syslog日志记录(时间戳，日志内容)</t>
    <phoneticPr fontId="10" type="noConversion"/>
  </si>
  <si>
    <t>Function_AcuRev1320_045_02_case9_8</t>
  </si>
  <si>
    <t xml:space="preserve">清除设备TouEnergy，需要有syslog日志记录(时间戳，日志内容) </t>
    <phoneticPr fontId="10" type="noConversion"/>
  </si>
  <si>
    <t>1、Acuview2上位机
2、AcuRev1328电表</t>
  </si>
  <si>
    <t>1、清除设备TouEnergy
2、观察是否生成一条syslog日志记录(时间戳，日志内容)</t>
    <phoneticPr fontId="10" type="noConversion"/>
  </si>
  <si>
    <t>2、可以观察到新增一条syslog日志记录(时间戳，日志内容【清除设备TouEnergy】)</t>
    <phoneticPr fontId="10" type="noConversion"/>
  </si>
  <si>
    <t>Function_AcuRev1320_045_02_case9_9</t>
  </si>
  <si>
    <t xml:space="preserve">清除设备YearTenHolidaySetting ，需要有syslog日志记录(时间戳，日志内容) </t>
    <phoneticPr fontId="10" type="noConversion"/>
  </si>
  <si>
    <t>1、Acuview2上位机
2、AcuRev1329电表</t>
  </si>
  <si>
    <t>1、清除设备earTenHolidaySetting
2、观察是否生成一条syslog日志记录(时间戳，日志内容)</t>
    <phoneticPr fontId="10" type="noConversion"/>
  </si>
  <si>
    <t>2、可以观察到新增一条syslog日志记录(时间戳，日志内容【清除设备earTenHolidaySetting】)</t>
    <phoneticPr fontId="10" type="noConversion"/>
  </si>
  <si>
    <t>Function_AcuRev1320_045_02_case9_10</t>
  </si>
  <si>
    <t xml:space="preserve">清除设备DiCount ，需要有syslog日志记录(时间戳，日志内容) </t>
    <phoneticPr fontId="10" type="noConversion"/>
  </si>
  <si>
    <t>1、Acuview2上位机
2、AcuRev1330电表</t>
  </si>
  <si>
    <t>1、清除设备DiCount
2、观察是否生成一条syslog日志记录(时间戳，日志内容)</t>
    <phoneticPr fontId="10" type="noConversion"/>
  </si>
  <si>
    <t>2、可以观察到新增一条syslog日志记录(时间戳，日志内容【清除设备DiCount】)</t>
    <phoneticPr fontId="10" type="noConversion"/>
  </si>
  <si>
    <t>Function_AcuRev1320_045_02_case9_11</t>
  </si>
  <si>
    <t xml:space="preserve">清除设备DualSourceEnergy ，需要有syslog日志记录(时间戳，日志内容) </t>
    <phoneticPr fontId="10" type="noConversion"/>
  </si>
  <si>
    <t>1、Acuview2上位机
2、AcuRev1331电表</t>
  </si>
  <si>
    <t>1、清除设备DualSourceEnergy
2、观察是否生成一条syslog日志记录(时间戳，日志内容)</t>
    <phoneticPr fontId="10" type="noConversion"/>
  </si>
  <si>
    <t>2、可以观察到新增一条syslog日志记录(时间戳，日志内容【清除设备DualSourceEnergy】)</t>
    <phoneticPr fontId="10" type="noConversion"/>
  </si>
  <si>
    <t>Function_AcuRev1320_045_02_case9_12</t>
  </si>
  <si>
    <t xml:space="preserve">清除设备AduitLog ，需要有syslog日志记录(时间戳，日志内容) </t>
    <phoneticPr fontId="10" type="noConversion"/>
  </si>
  <si>
    <t>1、Acuview2上位机
2、AcuRev1332电表</t>
  </si>
  <si>
    <t>1、清除设备AduitLog
2、观察是否生成一条syslog日志记录(时间戳，日志内容)</t>
    <phoneticPr fontId="10" type="noConversion"/>
  </si>
  <si>
    <t>2、可以观察到新增一条syslog日志记录(时间戳，日志内容【清除设备AduitLog】)</t>
    <phoneticPr fontId="10" type="noConversion"/>
  </si>
  <si>
    <t>Function_AcuRev1320_045_02_case9_13</t>
  </si>
  <si>
    <t xml:space="preserve">清除设备ResetNetworkPara ，需要有syslog日志记录(时间戳，日志内容) </t>
    <phoneticPr fontId="10" type="noConversion"/>
  </si>
  <si>
    <t>1、Acuview2上位机
2、AcuRev1333电表</t>
  </si>
  <si>
    <t>1、清除设备ResetNetworkPara
2、观察是否生成一条syslog日志记录(时间戳，日志内容)</t>
    <phoneticPr fontId="10" type="noConversion"/>
  </si>
  <si>
    <t>2、可以观察到新增一条syslog日志记录(时间戳，日志内容【清除设备ResetNetworkPara】)</t>
    <phoneticPr fontId="10" type="noConversion"/>
  </si>
  <si>
    <t>Function_AcuRev1320_045_02_case9_14</t>
  </si>
  <si>
    <t xml:space="preserve">清除设备ResetCommunicationPara ，需要有syslog日志记录(时间戳，日志内容) </t>
    <phoneticPr fontId="10" type="noConversion"/>
  </si>
  <si>
    <t>1、Acuview2上位机
2、AcuRev1334电表</t>
  </si>
  <si>
    <t>1、清除设备ResetCommunicationPara
2、观察是否生成一条syslog日志记录(时间戳，日志内容)</t>
    <phoneticPr fontId="10" type="noConversion"/>
  </si>
  <si>
    <t>2、可以观察到新增一条syslog日志记录(时间戳，日志内容【清除设备ResetCommunicationPara】)</t>
    <phoneticPr fontId="10" type="noConversion"/>
  </si>
  <si>
    <t>Function_AcuRev1320_045_02_case9_16</t>
  </si>
  <si>
    <t xml:space="preserve">清除设备ResetTouFactory，需要有syslog日志记录(时间戳，日志内容) </t>
    <phoneticPr fontId="10" type="noConversion"/>
  </si>
  <si>
    <t>1、Acuview2上位机
2、AcuRev1336电表</t>
  </si>
  <si>
    <t>1、清除设备ResetTouFactory
2、观察是否生成一条syslog日志记录(时间戳，日志内容)</t>
    <phoneticPr fontId="10" type="noConversion"/>
  </si>
  <si>
    <t>Function_AcuRev1320_045_02_case9_17</t>
  </si>
  <si>
    <t xml:space="preserve">清除设备TouMaxDemand，需要有syslog日志记录(时间戳，日志内容) </t>
    <phoneticPr fontId="10" type="noConversion"/>
  </si>
  <si>
    <t>1、Acuview2上位机
2、AcuRev1337电表</t>
  </si>
  <si>
    <t>1、清除设备TouMaxDemand
2、观察是否生成一条syslog日志记录(时间戳，日志内容)</t>
    <phoneticPr fontId="10" type="noConversion"/>
  </si>
  <si>
    <t>2、可以观察到新增一条syslog日志记录(时间戳，日志内容【清除设备TouMaxDemand】)</t>
    <phoneticPr fontId="10" type="noConversion"/>
  </si>
  <si>
    <t>Function_AcuRev1320_045_02_case9_18</t>
  </si>
  <si>
    <t xml:space="preserve">清除设备SysLog，需要有syslog日志记录(时间戳，日志内容) </t>
    <phoneticPr fontId="10" type="noConversion"/>
  </si>
  <si>
    <t>1、Acuview2上位机
2、AcuRev1338电表</t>
  </si>
  <si>
    <t>1、清除设备SysLog
2、观察是否生成一条syslog日志记录(时间戳，日志内容)</t>
    <phoneticPr fontId="10" type="noConversion"/>
  </si>
  <si>
    <t>2、可以观察到新增一条syslog日志记录(时间戳，日志内容【清除设备SysLog】)</t>
    <phoneticPr fontId="10" type="noConversion"/>
  </si>
  <si>
    <t xml:space="preserve">清除设备DualSourceEnergyRecord，需要有syslog日志记录(时间戳，日志内容) </t>
    <phoneticPr fontId="10" type="noConversion"/>
  </si>
  <si>
    <t>1、Acuview2上位机
2、AcuRev1339电表</t>
  </si>
  <si>
    <t>1、清除设备DualSourceEnergyRecord
2、观察是否生成一条syslog日志记录(时间戳，日志内容)</t>
    <phoneticPr fontId="10" type="noConversion"/>
  </si>
  <si>
    <t>2、可以观察到新增一条syslog日志记录(时间戳，日志内容【清除设备DualSourceEnergyRecord】)</t>
    <phoneticPr fontId="10" type="noConversion"/>
  </si>
  <si>
    <t>Function_AcuRev1320_045_02_case9_20</t>
    <phoneticPr fontId="10" type="noConversion"/>
  </si>
  <si>
    <t>清除设备AcucloudLog，需要有syslog日志记录(时间戳，日志内容)</t>
    <phoneticPr fontId="10" type="noConversion"/>
  </si>
  <si>
    <t>1、Acuview2上位机
2、AcuRev1340电表</t>
  </si>
  <si>
    <t>1、清除设备AcucloudLog
2、观察是否生成一条syslog日志记录(时间戳，日志内容)</t>
    <phoneticPr fontId="10" type="noConversion"/>
  </si>
  <si>
    <t>2、可以观察到新增一条syslog日志记录(时间戳，日志内容【清除设备AcucloudLog】)</t>
    <phoneticPr fontId="10" type="noConversion"/>
  </si>
  <si>
    <t>Function_AcuRev1320_045_02_case10</t>
    <phoneticPr fontId="10" type="noConversion"/>
  </si>
  <si>
    <t xml:space="preserve">清除设备Alarm Log， 需要有syslog日志记录(时间戳，日志内容) </t>
    <phoneticPr fontId="10" type="noConversion"/>
  </si>
  <si>
    <t>1、清除设备Alarm Log
2、观察是否生成一条syslog日志记录(时间戳，日志内容)</t>
    <phoneticPr fontId="10" type="noConversion"/>
  </si>
  <si>
    <t>2、可以观察到新增一条syslog日志记录(时间戳，日志内容【清除设备Alarm Log】)</t>
    <phoneticPr fontId="10" type="noConversion"/>
  </si>
  <si>
    <t>设备最大存贮syslog记录 5000条</t>
    <phoneticPr fontId="10" type="noConversion"/>
  </si>
  <si>
    <t>2、设备最大只能存储5000条</t>
    <phoneticPr fontId="10" type="noConversion"/>
  </si>
  <si>
    <t>Function_AcuRev1320_045_02_case12</t>
  </si>
  <si>
    <t>重启设备syslog不会丢失</t>
    <phoneticPr fontId="10" type="noConversion"/>
  </si>
  <si>
    <t>1、掉电重启设备
2、检查syslog是否会丢失</t>
    <phoneticPr fontId="10" type="noConversion"/>
  </si>
  <si>
    <t>2、syslog不会丢失</t>
    <phoneticPr fontId="10" type="noConversion"/>
  </si>
  <si>
    <t>Function_AcuRev1320_045_02_case14</t>
  </si>
  <si>
    <t>铅封状态，用户可以删除syslog。</t>
    <phoneticPr fontId="10" type="noConversion"/>
  </si>
  <si>
    <t>1、铅封状态，用户删除syslog。
2、检查删除是否成功</t>
    <phoneticPr fontId="10" type="noConversion"/>
  </si>
  <si>
    <t>2、删除成功</t>
    <phoneticPr fontId="10" type="noConversion"/>
  </si>
  <si>
    <t>Function_AcuRev1320_045_02_case15</t>
  </si>
  <si>
    <t>非铅封状态，用户可以删除syslog。</t>
  </si>
  <si>
    <t>1、Acuview2上位机
2、AcuRev1320电表</t>
  </si>
  <si>
    <t>1、非铅封状态，用户删除syslog。
2、检查删除是否成功</t>
    <phoneticPr fontId="10" type="noConversion"/>
  </si>
  <si>
    <t>Web页面Reading&amp;setting</t>
    <phoneticPr fontId="10" type="noConversion"/>
  </si>
  <si>
    <t>login</t>
  </si>
  <si>
    <t>Function_AcuRev1320_046_01_case01</t>
  </si>
  <si>
    <t>web页面登录（正常/异常）</t>
  </si>
  <si>
    <t>1、Acuview2上位机
2、AcuRev1320电表
3、web网址</t>
  </si>
  <si>
    <t>1、电表正常上电，通讯正常
2、输入电表对应web网址，进入登录界面
3、输入正确登录用户名、密码，查看登录是否正常
4、输入错误用户名，查看是否提示用户名错误
5、输入错误密码，是否提示密码错误</t>
  </si>
  <si>
    <t>3、输入正确登录用户名、密码，查看登录正常
4、输入错误用户名，提示用户名错误
5、输入错误密码，提示密码错误</t>
  </si>
  <si>
    <t>Function_AcuRev1320_046_01_case02</t>
  </si>
  <si>
    <t>web页面登录，用户名、密码数据校验</t>
  </si>
  <si>
    <t>3、输入不同用户名，查看web端对用户名做数据校验
4、输入不同用户名，查看web端对密码做数据校验</t>
    <phoneticPr fontId="10" type="noConversion"/>
  </si>
  <si>
    <t>Function_AcuRev1320_046_01_case03</t>
  </si>
  <si>
    <t>web页面登录成功后，长时间正常测试（1h），查看页面是否有闪退情况</t>
  </si>
  <si>
    <t>1、电表正常上电，通讯正常
2、web页面登录成功后，长时间正常测试（1h），查看页面是否有闪退情况</t>
  </si>
  <si>
    <t>2、页面不能有闪退</t>
  </si>
  <si>
    <t>Function_AcuRev1320_046_01_case03_01</t>
  </si>
  <si>
    <t>web页面登录成功后，页面停留在reading界面，页面停留在setting界面</t>
  </si>
  <si>
    <t>1、电表正常上电，通讯正常
2、web页面登录成功后，页面停留在reading界面，查看长时间不进行对页面的修改，是否会断开连接
3、web页面登录成功后，页面停留在setting界面，查看长时间不进行对页面的修改，是否会断开连接</t>
  </si>
  <si>
    <t>2、web页面登录成功后，页面停留在reading界面，查看长时间不进行对页面的修改，不会断开连接
3、web页面登录成功后，页面停留在setting界面，查看长时间不进行对页面的修改，5min后会断开连接</t>
  </si>
  <si>
    <t>Function_AcuRev1320_046_01_case04</t>
  </si>
  <si>
    <t>输入错误网址，登录web页面，</t>
  </si>
  <si>
    <t xml:space="preserve">1、电表正常上电，通讯正常
2、输入错误网址，是否能成功登录web页面，
</t>
  </si>
  <si>
    <t>2、输入错误网址，不能成功登录web页面，</t>
  </si>
  <si>
    <t>Function_AcuRev1320_046_01_case05</t>
  </si>
  <si>
    <t>web页面登录成功后，测试过程中修改电表IP,查看web端是否断连</t>
  </si>
  <si>
    <t>logout</t>
  </si>
  <si>
    <t>Function_AcuRev1320_046_01_case06</t>
  </si>
  <si>
    <t>web页面登录成功后，退出是否正常</t>
  </si>
  <si>
    <t>5、查看web页面正常退出
6、多次登录、退出，页面不能有异常，通讯有误</t>
  </si>
  <si>
    <t>real-time</t>
  </si>
  <si>
    <t>Function_AcuRev1320_046_02_case01</t>
  </si>
  <si>
    <t>关闭Independent，检查real-time界面中描述是否准确，单词是否有拼写问题
Independent模式下,检查real-time界面中描述是否准确，单词是否有拼写问题</t>
  </si>
  <si>
    <t>1、电表上电，电表通讯正常,
2、打开web页面，进入real-time界面
3、检查real-time界面中描述是否准确，单词是否有拼写问题
4、电表上电，电表通讯正常，设置表计进入Independent模式
5、打开web页面，进入real-time界面
6、检查real-time界面中描述是否准确，单词是否有拼写问题</t>
  </si>
  <si>
    <t>3、检查real-time界面中描述准确，单词无有拼写问题
5、检查real-time界面中描述准确，单词无有拼写问题</t>
  </si>
  <si>
    <t>关闭Independent,表计配置为3e4w y,给表加三相电压均为120V，电流5A，压流角为0°，real-time界面选择数据推送周期为20ms、200ms</t>
  </si>
  <si>
    <t>4、数据推送准确</t>
  </si>
  <si>
    <t>Function_AcuRev1320_046_02_case03</t>
  </si>
  <si>
    <t>关闭Independent,表计配置为3e4w y,给表加三相电压均为120V，电流5A，压流角为0°，在web页面选择数据推送周期为3s、10min、2h</t>
  </si>
  <si>
    <t>1、电表上电，表计通讯正常
2、关闭Independent,表计配置为3e4w y,给表加三相电压均为120V，电流5A，压流角为0°
3、在web页面中real-time界面选择数据推送周期为3s
4、观察数据的是否每三秒会有轻微的波动（可以通过快速降低电压观察）
5、关闭Independent,表计配置为3e4w y,给表加三相电压均为120V，电流5A，压流角为0°,记录时间t1
6、此时改变输入源的配置，给表加三相电压均为200V，电流1A，压流角为60°
7、查看数据是否在t1+10min后更新
8、查看更新的数据是否准确
9、关闭Independent,表计配置为3e4w y,给表加三相电压均为120V，电流5A，压流角为0°,记录时间t2
10、此时改变输入源的配置，给表加三相电压均为200V，电流1A，压流角为60°
11、查看数据是否在t2+2h后更新
12、查看更新的数据是否准确</t>
  </si>
  <si>
    <t>4、数据每三秒会有轻微的波动
7、数据更新
8、数据准确
11、数据在t2+2h后更新
12、查看更新的数据准确</t>
  </si>
  <si>
    <t>Demand</t>
  </si>
  <si>
    <t>Function_AcuRev1320_046_03_case01</t>
  </si>
  <si>
    <t>关闭Independent，检查Demand界面中描述是否准确，单词是否有拼写问题
Independent模式下,检查Demand界面中描述是否准确，单词是否有拼写问题</t>
  </si>
  <si>
    <t>1、电表上电，电表通讯正常，设置电表关闭Independent模式
2、打开web页面，进入Demand界面
3、检查Demand界面中描述是否准确，单词是否有拼写问题
4、电表上电，电表通讯正常，设置表计进入Independent模式
5、打开web页面，进入Demand界面
6、检查Demand界面中描述是否准确，单词是否有拼写问题</t>
  </si>
  <si>
    <t>3、检查Demand界面中描述准确，单词无有拼写问题</t>
  </si>
  <si>
    <t>Energy</t>
  </si>
  <si>
    <t>Function_AcuRev1320_046_04_case01</t>
  </si>
  <si>
    <t>关闭Independent，检查Energy界面中描述是否准确，单词是否有拼写问题
Independent模式下,检查Energy界面中描述是否准确，单词是否有拼写问题</t>
  </si>
  <si>
    <t>1、电表上电，电表通讯正常，设置电表关闭Independent模式
2、打开web页面，进入Energy界面
3、检查Energy界面中描述是否准确，单词是否有拼写问题
4、电表上电，电表通讯正常，设置表计进入Independent模式
5、打开web页面，进入Energy界面
6、检查Energy界面中描述是否准确，单词是否有拼写问题</t>
  </si>
  <si>
    <t>3、检查Energy界面中描述准确，单词无有拼写问题</t>
  </si>
  <si>
    <t>Max Demand</t>
  </si>
  <si>
    <t>Function_AcuRev1320_046_05_case01</t>
  </si>
  <si>
    <t>Independent模式下,检查Max Demand界面中描述是否准确，单词是否有拼写问题
关闭Independent模式，检查Max Demand，界面中描述是否准确，单词是否有拼写问题</t>
  </si>
  <si>
    <t>1、电表上电，电表通讯正常，设置电表关闭Independent模式
2、打开web页面，进入Max Demand界面
3、检查Max Demand界面中描述是否准确，单词是否有拼写问题
4、电表上电，电表通讯正常，设置表计进入Independent模式
5、打开web页面，进入Max Demand界面
6、检查Max Demand界面中描述是否准确，单词是否有拼写问题</t>
  </si>
  <si>
    <t>3、检查Max Demand界面中描述准确，单词无有拼写问题</t>
  </si>
  <si>
    <t>Max/Min</t>
  </si>
  <si>
    <t>Function_AcuRev1320_046_06_case01</t>
  </si>
  <si>
    <t>关闭Independent，检查Max/Min界面中描述是否准确，单词是否有拼写问题
Independent模式下,检查Max/Min界面中描述是否准确，单词是否有拼写问题</t>
  </si>
  <si>
    <t>1、电表上电，电表通讯正常，设置电表关闭Independent模式
2、打开web页面，进入Max/Min界面
3、检查Max/Min界面中描述是否准确，单词是否有拼写问题
4、电表上电，电表通讯正常，设置表计进入Independent模式
5、打开web页面，进入Max/Min界面
6、检查Max/Min界面中描述是否准确，单词是否有拼写问题</t>
  </si>
  <si>
    <t>3、检查Max/Min界面中描述准确，单词无有拼写问题</t>
  </si>
  <si>
    <t>Metering</t>
  </si>
  <si>
    <t>Function_AcuRev1320_046_07_case01</t>
  </si>
  <si>
    <r>
      <rPr>
        <sz val="8"/>
        <color rgb="FF000000"/>
        <rFont val="微软雅黑"/>
        <family val="2"/>
        <charset val="134"/>
      </rPr>
      <t xml:space="preserve">点击setting界面，进入Metering,点击general,修改Device Description、Password、Nominal Frequency (Hz)、Service Configuration、Phase Order
</t>
    </r>
    <r>
      <rPr>
        <b/>
        <sz val="8"/>
        <color rgb="FFFF0000"/>
        <rFont val="微软雅黑"/>
        <family val="2"/>
        <charset val="134"/>
      </rPr>
      <t>备注:  请确认Device Description 对应寄存器是那个(需求不确定)</t>
    </r>
  </si>
  <si>
    <t>1、电表上电，电表通讯正常
2、打开web页面，点击setting界面，进入Metering,点击general,修改Device Description、Password（0000、9999、1111、5555、1234）、Nominal Frequency (Hz)（50、60）、Service Configuration（遍历6种接线配置）、Phase Order（遍历2种ABC\ACB）
3、在上位机及电表上分别查看，是否修改成功，修改值与web页面修改的一致
4、检查输入值Device Description的数值长度，以及web界面是否做非法数据处理
5、检查Password、Nominal Frequency (Hz)、Service Configuration、Phase Order，在上位机及电表上分别查看，是否修改成功，修改值与web页面修改的一致
备注: 开发进行自测时，一个参数只需写入一个数进行比对查看</t>
    <phoneticPr fontId="10" type="noConversion"/>
  </si>
  <si>
    <t xml:space="preserve">3、在上位机及电表上分别查看，修改成功，修改值与web页面修改的一致
4、检查输入值Device Description的数值长度，以及web界面做非法数据处理
5、数据检查一致
</t>
    <phoneticPr fontId="10" type="noConversion"/>
  </si>
  <si>
    <t>Function_AcuRev1320_046_07_case02</t>
  </si>
  <si>
    <t>点击setting界面，进入Metering,点击general,修改PT1、PT2</t>
  </si>
  <si>
    <t>1、电表上电，电表通讯正常
2、打开web页面，点击setting界面，进入Metering,点击general,修改PT1(50、100、5555、1000000)、PT2(50、690、300)
3、在上位机及电表上分别查看，是否修改成功，修改值与web页面修改的一致
4、检查输入值PT1、PT2的数值长度，以及web界面是否做非法数据处理</t>
  </si>
  <si>
    <t>3、在上位机及电表上分别查看，修改成功，修改值与web页面修改的一致
4、检查输入值PT1\PT2的数值长度，以及web界面做非法数据处理</t>
  </si>
  <si>
    <t>Function_AcuRev1320_046_07_case03</t>
  </si>
  <si>
    <t>点击setting界面，进入Metering,点击general,修改I4 Method、VAR/PF Convention、Energy Calculation Method、Moving Average Window</t>
  </si>
  <si>
    <t>1、电表上电，电表通讯正常
2、打开web页面，点击setting界面，进入Metering,点击general,修改I4 Method（2种）、VAR/PF Convention（IEC、IEE）VAR/PF Convention（2种），Reactive Power Calculation Method（2种），Moving Average Window
3、在上位机及电表上分别查看，是否修改成功，修改值与web页面修改的一致
4、检查输入值Moving Average Window的数值长度，以及web界面是否做非法数据处理</t>
  </si>
  <si>
    <t>3、在上位机及电表上分别查看，修改成功，修改值与web页面修改的一致
4、检查输入值Moving Average Window的数值长度，以及web界面做非法数据处理</t>
  </si>
  <si>
    <t>Function_AcuRev1320_046_07_case04</t>
  </si>
  <si>
    <t>点击setting界面，进入Metering,点击general,修改Update Rate、Energy Pulse Constant、LED Pulse Width</t>
  </si>
  <si>
    <t>1、电表上电，电表通讯正常
2、打开web页面，点击setting界面，进入Metering,点击general,修改Update Rate，Energy Pulse Constant（100、1000、10000、100000000），LED Pulse Width（20、100、50）
3、在上位机及电表上分别查看，是否修改成功，修改值与web页面修改的一致
4、检查输入值Update Rate、LED Pulse Width的数值长度，以及web界面是否做非法数据处理</t>
  </si>
  <si>
    <t>3、在上位机及电表上分别查看，修改成功，修改值与web页面修改的一致
4、检查输入值Update Rate、LED Pulse Width的数值长度，以及web界面做非法数据处理</t>
  </si>
  <si>
    <t>Function_AcuRev1320_046_07_case05</t>
  </si>
  <si>
    <t>点击setting界面，进入Metering,点击general,修改LED Pulse Parameter、Energy Reading Display Format、Non-Standard Seal Options</t>
  </si>
  <si>
    <t xml:space="preserve">3、在上位机及电表上分别查看，修改成功，修改值与web页面修改的一致
</t>
  </si>
  <si>
    <t>Function_AcuRev1320_046_07_case06</t>
  </si>
  <si>
    <t>点击setting界面，进入Metering,点击general,修改Backlight，检查该页面所有描述及拼写</t>
  </si>
  <si>
    <t>1、电表上电，电表通讯正常
2、打开web页面，点击setting界面，进入Metering,点击general,修改Backlight（0.1.10.120）
3、在上位机及电表上分别查看，是否修改成功，修改值与web页面修改的一致
4、检查输入值Backlight的数值长度，以及web界面是否做非法数据处理
5、检查该页面所有描述及拼写</t>
  </si>
  <si>
    <t>3、在上位机及电表上分别查看，修改成功，修改值与web页面修改的一致
4、检查输入值Update Rate的数值长度，以及web界面做非法数据处理
5、2、该页面所有描述及拼写均准确</t>
  </si>
  <si>
    <t>Function_AcuRev1320_046_07_case07</t>
  </si>
  <si>
    <t>点击setting界面，进入Metering,点击Current&amp;Wiring Page,修改Independent Input Channel</t>
  </si>
  <si>
    <t>3、在上位机及电表上分别查看，修改成功，修改值与web页面修改的一致</t>
  </si>
  <si>
    <t>Function_AcuRev1320_046_07_case08</t>
  </si>
  <si>
    <t>Independent Input Channel不使能，点击setting界面，进入Metering,点击Current&amp;Wiring Page,修改Current Input,查看是否有Summation</t>
  </si>
  <si>
    <t>1、电表上电，电表通讯正常，Independent Input Channel不使能
2、打开web页面，点击setting界面，进入Metering,点击Current&amp;Wiring Page,修改Current Input
3、在上位机及电表上分别查看，是否修改成功，修改值与web页面修改的一致
4、打开web页面，点击setting界面，进入Metering,点击Current&amp;Wiring Page,查看是否有Summation</t>
  </si>
  <si>
    <t>3、在上位机及电表上分别查看，修改成功，修改值与web页面修改的一致
4、Independent Input Channel不使能。进入Metering,点击Current&amp;Wiring Page,查看无Summation</t>
  </si>
  <si>
    <t>Function_AcuRev1320_046_07_case09</t>
  </si>
  <si>
    <t>Independent Input Channel使能，点击setting界面，进入Metering,点击Current&amp;Wiring Page,修改Current Input、修改Summation1、修改Summation2，检查该页面所有描述及拼写</t>
  </si>
  <si>
    <t>1、电表上电，电表通讯正常，Independent Input Channel使能
2、打开web页面，点击setting界面，进入Metering,点击Current&amp;Wiring Page,修改Current Input、修改Summation1（1、2、3、4组合），修改Summation2（1、2、3、4组合）
3、在上位机及电表上分别查看，是否修改成功，修改值与web页面修改的一致
4、检查该页面所有描述及拼写</t>
  </si>
  <si>
    <t>3、在上位机及电表上分别查看，修改成功，修改值与web页面修改的一致
4、该页面所有描述及拼写均准确</t>
  </si>
  <si>
    <t>Function_AcuRev1320_046_07_case10</t>
  </si>
  <si>
    <t>点击setting界面，进入Metering,点击Demand,修改Demand Method</t>
  </si>
  <si>
    <t>1、电表上电，电表通讯正常
2、打开web页面，点击setting界面，进入Metering,点击Demand,修改Demand Method（fixed，sliding），,修改Max Demand Mode（3种），修改Max Demand Auto Reset Date（包含平闰年2月）、查看Max Demand Reset Count，Last Max Demand Reset Time
3、在上位机及电表上分别查看，是否修改成功，修改值与web页面修改的一致
4、查看查看Max Demand Reset Count，Last Max Demand Reset Time，数据是否一致</t>
  </si>
  <si>
    <t>3、在上位机及电表上分别查看，修改成功，修改值与web页面修改的一致
4、查看查看Max Demand Reset Count，Last Max Demand Reset Time，数据一致</t>
  </si>
  <si>
    <t>Function_AcuRev1320_046_07_case11</t>
  </si>
  <si>
    <t>点击setting界面，进入Metering,点击Demand,修改Demand Interval、Demand Update Rate</t>
  </si>
  <si>
    <t>1、电表上电，电表通讯正常
2、打开web页面，点击setting界面，进入Metering,点击Demand,修改Demand Interval（1.5.15.30）Demand Update Rate（1.5.15.30）
3、在上位机及电表上分别查看，是否修改成功，修改值与web页面修改的一致
4、检查输入值Demand Interval、Demand Update 的数值长度，以及web界面是否做非法数据处理</t>
  </si>
  <si>
    <t>3、在上位机及电表上分别查看，修改成功，修改值与web页面修改的一致
4、已做处理</t>
  </si>
  <si>
    <t>Function_AcuRev1320_046_07_case12</t>
  </si>
  <si>
    <t>点击setting界面，进入Metering,点击Demand,点击clear max demand count，检查该页面所有描述及拼写</t>
  </si>
  <si>
    <t>1、电表上电，电表通讯正常
2、打开web页面，点击setting界面，进入Metering,点击Demand,点击clear max demand count
3、查看上位机、电表及web页面中Max Demand Reset Count是否被清0、Last Max Demand Reset Time被置为默认值
4、检查该页面所有描述及拼写</t>
  </si>
  <si>
    <t>3、查看上位机、电表及web页面中Max Demand Reset Count被清0、Last Max Demand Reset Time被置为默认值
4、该页面所有描述及拼写均准确</t>
  </si>
  <si>
    <t>Function_AcuRev1320_046_07_case13</t>
  </si>
  <si>
    <t>点击setting界面，进入Metering,点击Power Quality,修改Flicker Mode、Harmonic--Grouping Method、Harmonic--Analysis Mode</t>
  </si>
  <si>
    <t>1、电表上电，电表通讯正常
2、打开web页面，点击setting界面，进入Metering,点击Demand,修改Flicker Mode（6种）、Harmonic--Grouping Method（2种）、Harmonic--Analysis Mode（2种）
3、在上位机及电表上分别查看，是否修改成功，修改值与web页面修改的一致</t>
  </si>
  <si>
    <t>Function_AcuRev1320_046_07_case14</t>
  </si>
  <si>
    <t>点击setting界面，进入Metering,点击Power Quality,修改Mains Signalling Voltage--Target Frequency、Mains Signalling Voltage--Target Magnitude，检查该页面所有描述及拼写</t>
  </si>
  <si>
    <t>3、在上位机及电表上分别查看，修改成功，修改值与web页面修改的一致
4、检查输入值Target Frequency、Target Magnitude的数值长度，以及web界面做非法数据处理
5、该页面所有描述及拼写均准确</t>
  </si>
  <si>
    <t>Communication</t>
  </si>
  <si>
    <t>Function_AcuRev1320_046_08_case01</t>
  </si>
  <si>
    <t>点击setting界面，进入Communication,修改RS485--Baud Rate、修改RS485--Parity，RS485 Protocol，修改Ethernet--DHCP Enable</t>
  </si>
  <si>
    <t>1、电表上电，电表通讯正常
2、打开web页面，点击setting界面，进入Communication,修改RS485--Baud Rate(2400\9600\19200\115200)，修改Parity(even\odd\none1\none2)，修改RS485 Protocol(3种)，DHCP Enable（使能、不使能）
3、在上位机及电表上分别查看，是否修改成功，修改值与web页面修改的一致</t>
  </si>
  <si>
    <t>Function_AcuRev1320_046_08_case02</t>
  </si>
  <si>
    <t>DHCP Enable，点击setting界面，进入Communication,查看Ethernet种数据是否不可修改</t>
  </si>
  <si>
    <t>1、电表上电，电表通讯正常
2、DHCP Enable，点击setting界面，进入Communication,查看Ethernet种数据是否不可修改</t>
  </si>
  <si>
    <t>2、DHCP Enable，点击setting界面，进入Communication,查看Ethernet种数据不可修改</t>
  </si>
  <si>
    <t>Function_AcuRev1320_046_08_case03</t>
  </si>
  <si>
    <t>DHCP disable，点击setting界面，进入Communication,修改IP Address，修改Subnet Mask，Gateway，DNS1，DNS2</t>
  </si>
  <si>
    <t>1、电表上电，电表通讯正常
2、打开web页面，DHCP disable，点击setting界面，进入Communication,修改IP Address，Subnet Mask，Gateway，DNS1，DNS2
3、在上位机及电表上分别查看，是否修改成功，修改值与web页面修改的一致
4、检查输入值IP Address的数值长度，以及web界面是否做非法数据处理</t>
  </si>
  <si>
    <t>3、在上位机及电表上分别查看，修改成功，修改值与web页面修改的一致
4、检查输入值IP Address，Subnet Mask，Gateway，DNS1，DNS2的数值长度，以及web界面做非法数据处理</t>
  </si>
  <si>
    <t>Function_AcuRev1320_046_08_case04</t>
  </si>
  <si>
    <t>DHCP disable，点击setting界面，进入Communication,修改Modbus TCP Enable</t>
  </si>
  <si>
    <t>1、电表上电，电表通讯正常
2、打开web页面，DHCP disable，点击setting界面，进入Communication,修改Modbus TCP Enable（使能、不使能）
3、在上位机及电表上分别查看，是否修改成功，修改值与web页面修改的一致</t>
  </si>
  <si>
    <t>Function_AcuRev1320_046_08_case05</t>
  </si>
  <si>
    <t>DHCP disable，点击setting界面，进入Communication,修改Modbus TCP Port、Modbus Slave ID，MS/TP Meter Address，MS/TP Max Msg Frames，MS/TP ID</t>
  </si>
  <si>
    <t>1、电表上电，电表通讯正常
2、打开web页面，DHCP disable，点击setting界面，进入Communication,修改Modbus TCP Port（1、502、505、65534），Modbus Slave ID（1、10、100、247），MS/TP Meter Address（1、127、10、100），MS/TP Max Msg Frames（1.255.125.200），MS/TP ID（1 、4194303、1000000）
3、在上位机及电表上分别查看，是否修改成功，修改值与web页面修改的一致
4、检查输入值Modbus TCP Port、Modbus Slave ID，MS/TP Meter Address，MS/TP Max Msg Frames，MS/TP ID数据长度，以及web界面是否做非法数据处理</t>
  </si>
  <si>
    <t>3、在上位机及电表上分别查看，修改成功，修改值与web页面修改的一致
4、检查输入值Modbus TCP Port、Modbus Slave ID，MS/TP Meter Address，MS/TP Max Msg Frames，MS/TP ID的数值长度，以及web界面做非法数据处理</t>
  </si>
  <si>
    <t>Function_AcuRev1320_046_08_case06</t>
  </si>
  <si>
    <t>DHCP disable，点击setting界面，进入Communication，查看MS/TP Database Revision，检查该页面所有描述及拼写</t>
  </si>
  <si>
    <t>1、电表上电，电表通讯正常
2、打开web页面，DHCP disable，点击setting界面，进入Communication,查看MS/TP Database Revision
3、web页面该数据是否与上位机及电表保持一致
4、检查该页面所有描述及拼写</t>
  </si>
  <si>
    <t>3、web页面该数据与上位机及电表保持一致
4、该页面所有描述及拼写均准确</t>
  </si>
  <si>
    <t>IO Module</t>
  </si>
  <si>
    <t>Function_AcuRev1320_046_09_case01</t>
  </si>
  <si>
    <t>点击setting界面，进入IO Module,修改DO1--Function，检查该页面所有描述及拼写</t>
  </si>
  <si>
    <t>3、在上位机及电表上分别查看，修改成功，修改值与web页面修改的一致
4、检查该页面所有描述及拼写</t>
  </si>
  <si>
    <t>Function_AcuRev1320_041_09_case02</t>
  </si>
  <si>
    <t>点击setting界面，进入IO Module,DO1--Function选择（能量脉冲输出）--修改Pulse Width (ms)</t>
  </si>
  <si>
    <t>1、电表上电，电表通讯正常
2、点击setting界面，进入IO Module,DO1--Function选择（能量脉冲输出）--修改Pulse Width (ms)
3、在上位机及电表上分别查看，是否修改成功，修改值与web页面修改的一致
4、检查输入值Pulse Width (ms)的数值长度，以及web界面是否做非法数据处理</t>
  </si>
  <si>
    <t>3、在上位机及电表上分别查看，修改成功，修改值与web页面修改的一致
4、检查输入值Pulse Width (ms)的数值长度，以及web界面做非法数据处理</t>
  </si>
  <si>
    <t>Function_AcuRev1320_046_09_case03</t>
  </si>
  <si>
    <t>点击setting界面，进入IO Module,DO1--Function选择（能量脉冲输出）--修改Parameter</t>
  </si>
  <si>
    <t>1、电表上电，电表通讯正常
2、点击setting界面，点击setting界面，进入IO Module,DO1--Function选择（能量脉冲输出）--修改Parameter（各个模块参数均覆盖）
3、在上位机及电表上分别查看，是否修改成功，修改值与web页面修改的一致</t>
  </si>
  <si>
    <t>Function_AcuRev1320_046_09_case04</t>
  </si>
  <si>
    <t>点击setting界面，进入IO Module,修改DO1--Function（告警模式）</t>
  </si>
  <si>
    <t>1、电表上电，电表通讯正常
2、打开web页面，点击setting界面，进入IO Module,修改DO1--Function（告警模式）
3、检查web页面中	Pulse Width (ms)、Parameter是否为均不可修改</t>
  </si>
  <si>
    <t>3、检查web页面中	Pulse Width (ms)、Parameter是均不可修改</t>
  </si>
  <si>
    <t>Function_AcuRev1320_046_09_case05</t>
  </si>
  <si>
    <t>点击setting界面，进入IO Module,修改DI1、DI2、DI3--Function</t>
  </si>
  <si>
    <t>1、电表上电，电表通讯正常
2、打开web页面，点击setting界面，进入IO Module,修改DI1DI2、DI3--Function(各2种)
3、在上位机及电表上分别查看，是否修改成功，修改值与web页面修改的一致</t>
  </si>
  <si>
    <t>Function_AcuRev1320_046_09_case06</t>
  </si>
  <si>
    <t>点击setting界面，进入IO Module,DI1--Function选择（状态告警）--修改Pulse Constant</t>
  </si>
  <si>
    <t>3、在上位机及电表上分别查看，修改成功，修改值与web页面修改的一致
4、检查输入值Pulse Constant的数值长度，以及web界面做非法数据处理</t>
  </si>
  <si>
    <t>Function_AcuRev1320_046_09_case07</t>
  </si>
  <si>
    <t>点击setting界面，进入IO Module,修改DI1、DI2、DI3--Function（脉冲数）</t>
  </si>
  <si>
    <t>3、检查web页面中	Pulse Constant不可修改</t>
  </si>
  <si>
    <t>Time&amp;Date</t>
  </si>
  <si>
    <t>Function_AcuRev1320_046_10_case01</t>
  </si>
  <si>
    <t>点击setting界面，进入Time&amp;Date，检查该页面所有描述及拼写</t>
  </si>
  <si>
    <t>1、电表上电，电表通讯正常
2、打开web页面，点击setting界面，进入Time&amp;Date
3、查看device clock中时区、Date&amp;Time是否与上位机与表均一致
4、检查该页面所有描述及拼写</t>
  </si>
  <si>
    <t>3、查看device clock中时区、Date&amp;Time与上位机与表均一致
4、检查该页面所有描述及拼写均准确</t>
  </si>
  <si>
    <t>Function_AcuRev1320_046_10_case02</t>
  </si>
  <si>
    <t>点击setting界面，进入Time&amp;Date-修改时钟为当前电脑时间</t>
  </si>
  <si>
    <t xml:space="preserve">1、电表上电，电表通讯正常
2、打开web页面，点击setting界面，进入Time&amp;Date-修改时钟为当前电脑时间
3、查看device clock中时区、Date&amp;Time是否与上位机与表均一致，是否与当前电脑时钟一致
</t>
  </si>
  <si>
    <t>Function_AcuRev1320_046_10_case03</t>
  </si>
  <si>
    <t>点击setting界面，进入Time&amp;Date--修改时区、Date、Time</t>
  </si>
  <si>
    <t>1、电表上电，电表通讯正常
2、打开web页面，点击setting界面，进入Time&amp;Date--修改时区（多时区修改），Date（年月日，包含平闰年），Time（时分秒）
3、修改是否成功，比对上位机及电表中该值与web页面中是否一致
4、检查输入值修改时区、Date、Time的数值长度，以及web界面是否做非法数据处理</t>
  </si>
  <si>
    <t>3、修改是否成功，比对上位机及电表中该值与web页面中一致
4、检查输入值修改时区、Date、Time的数值长度，以及web界面做非法数据处理</t>
  </si>
  <si>
    <t>Function_AcuRev1320_046_10_case04</t>
  </si>
  <si>
    <t>点击setting界面，进入Time&amp;Date--关闭夏令时使能开关</t>
  </si>
  <si>
    <t>1、电表上电，电表通讯正常
2、打开web页面，点击setting界面，进入Time&amp;Date--修改夏令时使能（关闭）
3、修改是否成功，比对上位机及电表中该值与web页面中是否一致
4、检查夏令时不使能后，web端该页面其他数据是否不可修改</t>
  </si>
  <si>
    <t>Function_AcuRev1320_046_10_case05</t>
  </si>
  <si>
    <t>点击setting界面，进入Time&amp;Date--修改format</t>
  </si>
  <si>
    <t>1、电表上电，电表通讯正常
2、打开web页面，点击setting界面，进入Time&amp;Date--修改format(format1\format2)
3、修改是否成功，比对上位机及电表中该值与web页面中是否一致</t>
  </si>
  <si>
    <t xml:space="preserve">3、修改是否成功，比对上位机及电表中该值与web页面中一致
</t>
  </si>
  <si>
    <t>Function_AcuRev1320_046_10_case06</t>
  </si>
  <si>
    <t>点击setting界面，进入Time&amp;Date--修改format1开始、结束时间，adjust time</t>
  </si>
  <si>
    <t>1、电表上电，电表通讯正常,
2、打开web页面，点击setting界面，进入Time&amp;Date--修改format1,修改开始、结束时间（月日-时分；包含平闰年2月，01-01 00：00，12-31 23：59），format1--adjust time，包括开始、结束（1、120、60）
3、修改是否成功，比对上位机及电表中该值与web页面中是否一致</t>
  </si>
  <si>
    <t>Function_AcuRev1320_046_10_case07</t>
  </si>
  <si>
    <t>点击setting界面，进入Time&amp;Date--修改format2，adjust time</t>
  </si>
  <si>
    <t>1、电表上电，电表通讯正常,
2、打开web页面，点击setting界面，进入Time&amp;Date--修改format2修改开始、结束时间（月/第几个/周几；），修改format2--adjust time，包括开始、结束（1、120、60）
3、修改是否成功，比对上位机及电表中该值与web页面中是否一致</t>
  </si>
  <si>
    <t>Management</t>
  </si>
  <si>
    <t>Function_AcuRev1320_046_11_case01</t>
  </si>
  <si>
    <t xml:space="preserve">Independent模式下，Web页面上点击setting界面，进入Management--点击Reset Demand，清除Demand寄存器数据，检查web页面、上位机及电表中Demand数据是否被清0  
Independent关闭，Web页面上点击setting界面，进入Management--点击Reset Demand，清除Demand寄存器数据，检查web页面、上位机及电表中Demand数据是否被清0  </t>
  </si>
  <si>
    <t xml:space="preserve">3、检查web页面、上位机及电表中Demand数据被清0
5、检查web页面、上位机及电表中Demand数据被清0
</t>
  </si>
  <si>
    <t>Function_AcuRev1320_046_11_case02</t>
  </si>
  <si>
    <t xml:space="preserve">Independent模式下，Web页面上点击setting界面，进入Management--点击Reset Energy，清除Energy寄存器数据，检查web页面、上位机及电表中Energy数据是否被清0  
Independent关闭，Web页面上点击setting界面，进入Management--点击Reset Energy，清除Energy寄存器数据，检查web页面、上位机及电表中Energy数据是否被清0  </t>
  </si>
  <si>
    <t>3、检查web页面、上位机及电表中energy数据被清0
5、检查web页面、上位机及电表中energy数据被清0</t>
  </si>
  <si>
    <t>Function_AcuRev1320_046_11_case03</t>
  </si>
  <si>
    <t xml:space="preserve">Independent模式下，Web页面上点击setting界面，进入Management--点击Reset Max Demand，清除Energy寄存器数据，检查web页面、上位机及电表中 Max Demand数据是否被清0  
Independent关闭，Web页面上点击setting界面，进入Management--点击Reset Max Demand，清除Energy寄存器数据，检查web页面、上位机及电表中 Max Demand数据是否被清0  </t>
  </si>
  <si>
    <t>1、电表上电，电表通讯正常
2、Independent模式下，Web页面上点击setting界面，进入Management--点击Reset  Max Demand，清除Independent模式下的 Max Demand寄存器数据
3、检查web页面、上位机及电表中 Max Demand数据是否被清0
4、Independent关闭，Web页面上点击setting界面，进入Management--点击Reset  Max Demand，清除Independent关闭模式下的 Max Demand寄存器数据
5、检查web页面、上位机及电表中 Max Demand数据是否被清0</t>
  </si>
  <si>
    <t>3、检查web页面、上位机及电表中 Max Demand数据被清0
5、检查web页面、上位机及电表中 Max Demand数据被清0</t>
  </si>
  <si>
    <t>Function_AcuRev1320_046_11_case04</t>
  </si>
  <si>
    <t xml:space="preserve">Independent模式下，Web页面上点击setting界面，进入Management--点击Reset Max&amp;Min，清除Energy寄存器数据，检查web页面、上位机及电表中 Max&amp;Min数据是否被清0  
Independent关闭，Web页面上点击setting界面，进入Management--点击Reset Max&amp;Min，清除Energy寄存器数据，检查web页面、上位机及电表中 Max&amp;Min数据是否被清0  </t>
  </si>
  <si>
    <t>1、电表上电，电表通讯正常
2、Independent模式下，Web页面上点击setting界面，进入Management--点击Reset Max&amp;Min，清除Independent模式下的Max&amp;Min寄存器数据
3、检查web页面、上位机及电表中 Max&amp;Min数据是否被清0
4、Independent关闭，Web页面上点击setting界面，进入Management--点击Reset Max&amp;Min，清除Independent关闭模式下的Max&amp;Min寄存器数据
5、检查web页面、上位机及电表中 Max&amp;Min数据是否被清0</t>
  </si>
  <si>
    <t>3、检查web页面、上位机及电表中Max&amp;Min数据被清0
5、检查web页面、上位机及电表中Max&amp;Min数据被清0</t>
  </si>
  <si>
    <t>Function_AcuRev1320_046_11_case05</t>
  </si>
  <si>
    <t xml:space="preserve">Web页面上点击setting界面，进入Management--点击tou参数恢复出厂 </t>
  </si>
  <si>
    <t>1、电表上电，电表通讯正常
2、Web页面上点击setting界面，进入Management--点击点击tou参数恢复出厂 
3、比对上位机、电表上tou相关参数是否被恢复为出厂情况</t>
  </si>
  <si>
    <t>3、比对上位机、电表上tou相关参数被恢复为出厂情况</t>
  </si>
  <si>
    <t>Function_AcuRev1320_046_11_case06</t>
  </si>
  <si>
    <t xml:space="preserve">Web页面上点击setting界面，进入Management--点击Reboot Meter </t>
  </si>
  <si>
    <t>3、电表被重启</t>
  </si>
  <si>
    <t>Function_AcuRev1320_046_11_case07</t>
  </si>
  <si>
    <t>Web页面上点击setting界面，进入Management--点击Reset Communications Module</t>
  </si>
  <si>
    <t>4、web端、上位机、电表Communications 模块中各个参数被恢复为默认值</t>
  </si>
  <si>
    <t>Function_AcuRev1320_046_11_case08</t>
  </si>
  <si>
    <t>Web页面上点击setting界面，进入Management--点击Reset Device Run Time</t>
  </si>
  <si>
    <t>1、电表上电，电表通讯正常
2、Web页面上点击setting界面，进入Management--点击Reset Device Run Time
3、查看web端电表HMI及上位机显示的Device Run Time是否被清0</t>
  </si>
  <si>
    <t>3、查看web端电表HMI及上位机显示的Device Run Time被清0</t>
  </si>
  <si>
    <t>Function_AcuRev1320_046_11_case09</t>
  </si>
  <si>
    <t>Web页面上点击setting界面，进入Management--点击Reset Load Run Time</t>
  </si>
  <si>
    <t>1、电表上电，电表通讯正常
2、Web页面上点击setting界面，进入Management--点击Reset Load Run Time
3、查看web端电表HMI及上位机显示的Reset Load Run Time是否被清0</t>
  </si>
  <si>
    <t>3、查看web端电表HMI及上位机显示的Reset Load Run Time被清0</t>
  </si>
  <si>
    <t>Function_AcuRev1320_046_11_case10</t>
  </si>
  <si>
    <t>Web页面上点击setting界面，进入Management--点击Reset to Factory Defaults，检查该页面所有描述及拼写</t>
  </si>
  <si>
    <t>1、电表上电，电表通讯正常
2、Web页面上点击setting界面，进入Management--点击Reset to Factory Defaults
3、电表是否发生重启
4、查看web端电表HMI及上位机显示各个参数是否被恢复成默认值，且是否保持一致、
5、检查该页面所有描述及拼写
备注：被恢复为默认值的参数详见电表恢复出厂设置</t>
  </si>
  <si>
    <t>3、电表发生重启
4、web端电表HMI及上位机显示各个参数被恢复成默认值，且保持一致
5、检查该页面所有描述及拼写均准确</t>
  </si>
  <si>
    <t>Certificate Management</t>
  </si>
  <si>
    <t>Function_AcuRev1320_042_11_case01</t>
  </si>
  <si>
    <t>Web页面上点击setting界面，进入Management--点击Certificate Management</t>
  </si>
  <si>
    <t>1、电表上电，电表通讯正常
2、Web页面上点击setting界面，进入Management--点击Certificate Management
3、查看未导入证书时，页面显示情况</t>
  </si>
  <si>
    <t>3、页面显示正常，无错误信息</t>
  </si>
  <si>
    <t>Web页面上点击setting界面，进入Management--点击Certificate Management，点击Import</t>
  </si>
  <si>
    <t xml:space="preserve">4、导入正常
5、导入后查看Certificate Issuer、Certificate Subject、Validity、Details显示正常
6、查看该页面描述、拼写正确
</t>
  </si>
  <si>
    <t>4、导入失败，页面提示正确</t>
  </si>
  <si>
    <t>Device Information</t>
  </si>
  <si>
    <t>Function_AcuRev1320_046_12_case01</t>
  </si>
  <si>
    <t>Web页面上点击setting界面，进入Device Information，检查Device Information中数据，修改Device Description</t>
  </si>
  <si>
    <t>1、电表上电，电表通讯正常
2、Web页面上点击setting界面，进入Device Information，查看Device Description、Model、Serial Number、Hardware Version、Bootloader Version、Firmware Version、	Firmware Release Date、MAC Address、Manufacturer Accuenergy (Canada) Inc.
3、查看web端中Device Information的数据是否与上位机及电表中数据一致，英文拼写与描述是否有错误
4、Web页面上点击setting界面，进入Device Information，修改Device Description
5、查看web端中Device Description的数据是否与上位机及电表中数据一致
6、检查输入值Device Description的数值长度，以及web界面是否做非法数据处理</t>
  </si>
  <si>
    <t>3、web端中Device Information的数据与上位机及电表中数据一致，英文拼写与描述是无错误
5、web端中Device Information的数据与上位机及电表中数据一致
6、检查输入值Device Description的数值长度，以及web界面做非法数据处理</t>
  </si>
  <si>
    <t xml:space="preserve">Dual Source Energy </t>
  </si>
  <si>
    <t>Function_AcuRev1320_046_13_case01</t>
  </si>
  <si>
    <t xml:space="preserve">Web页面上点击setting界面，进入Dual Source Energy ，使能Dual Source Energy </t>
  </si>
  <si>
    <t>1、电表上电，电表通讯正常
2、Web页面上点击setting界面，进入Dual Source Energy ，使能Dual Source Energy 
3、查看web端、上位机及电表中的Dual Source Energy是否均被使能</t>
  </si>
  <si>
    <t>3、查看web端、上位机及电表中的Dual Source Energy均被使能</t>
  </si>
  <si>
    <t>Function_AcuRev1320_046_13_case02</t>
  </si>
  <si>
    <t>使能Dual Source Energy ，Web页面上点击setting界面，进入Dual Source Energy ，修改Energy1、Energy2、Energy3</t>
  </si>
  <si>
    <t>1、电表上电，电表通讯正常
2、使能Dual Source Energy ，Web页面上点击setting界面，进入Dual Source Energy ，修改Energy1 （多种），Energy2、Energy3
3、查看上位机及电表中的Energy1、Energy2、Energy3 是否和Web页面上一致</t>
  </si>
  <si>
    <t>3、查看上位机及电表中的Energy1、Energy2、Energy3和Web页面上一致</t>
  </si>
  <si>
    <t>使能Dual Source Energy ，Web页面上点击setting界面，进入Dual Source Energy ，修改Control Source、Direction，检查该页面所有描述及拼写</t>
  </si>
  <si>
    <t>1、电表上电，电表通讯正常
2、使能Dual Source Energy ，Web页面上点击setting界面，进入Dual Source Energy ，修改Control Source（多种），Direction
3、查看上位机及电表中的Control Source是否和Web页面上一致
4、检查该页面所有描述及拼写</t>
  </si>
  <si>
    <t>3、查看上位机及电表中的Control Source、Direction和Web页面上一致
4、检查该页面所有描述及拼写均准确</t>
  </si>
  <si>
    <t>PQ Event &amp; Waveform</t>
  </si>
  <si>
    <t>Web页面上点击setting界面，进入PQ Event &amp; Waveform，修改Sample Rate、Number of Cycles Before、Number of Cycles After</t>
  </si>
  <si>
    <t>3、查看上位机及电表中的Sample Rate、Sample Rate、Number of Cycles Before、Number of Cycles After值和Web页面上一致</t>
  </si>
  <si>
    <t>Function_AcuRev1320_046_14_case02</t>
  </si>
  <si>
    <t>Web页面上点击setting界面，进入PQ Event &amp; Waveform，修改Sample Rate、Number of Cycles Before、Number of Cycles After，这三者的乘积不能超过2560</t>
  </si>
  <si>
    <t>1、电表上电，电表通讯正常
2、Web页面上点击setting界面，进入PQ Event &amp; Waveform，修改Sample Rate、Number of Cycles Before、Number of Cycles After，
3、计算这三者的乘积</t>
  </si>
  <si>
    <t>3、这三者的乘积不能超过2560</t>
  </si>
  <si>
    <t>Function_AcuRev1320_046_14_case03</t>
  </si>
  <si>
    <t>Web页面上点击setting界面，进入PQ Event &amp; Waveform，修改DI1触发功能，遍历6种接线方式</t>
  </si>
  <si>
    <t>3、查看上位机及电表中关于DI1触发功能的这个参数与web端参数保持一致</t>
  </si>
  <si>
    <t>Function_AcuRev1320_046_14_case04</t>
  </si>
  <si>
    <t>Web页面上点击setting界面，进入PQ Event &amp; Waveform，修改DI2触发功能，遍历6种接线方式</t>
  </si>
  <si>
    <t>1、电表上电，电表通讯正常
2、Web页面上点击setting界面，进入PQ Event &amp; Waveform，修改DI2触发功能（使能、不使能、仅记录电压），遍历6种接线方式
3、查看上位机及电表中关于DI2触发功能的这个参数是否与web端参数保持一致</t>
  </si>
  <si>
    <t>3、查看上位机及电表中关于DI2触发功能的这个参数与web端参数保持一致</t>
  </si>
  <si>
    <t>Function_AcuRev1320_046_14_case05</t>
  </si>
  <si>
    <t>Web页面上点击setting界面，进入PQ Event &amp; Waveform，修改DI3触发功能，遍历6种接线方式</t>
  </si>
  <si>
    <t>1、电表上电，电表通讯正常
2、Web页面上点击setting界面，进入PQ Event &amp; Waveform，修改DI3触发功能（使能、不使能、仅记录电压），遍历6种接线方式
3、查看上位机及电表中关于DI3触发功能的这个参数是否与web端参数保持一致</t>
  </si>
  <si>
    <t>3、查看上位机及电表中关于DI3触发功能的这个参数与web端参数保持一致</t>
  </si>
  <si>
    <t>Function_AcuRev1320_046_14_case06</t>
  </si>
  <si>
    <t>Web页面上点击setting界面，进入PQ Event &amp; Waveform，设置Voltage Sag、Voltage Swell、Voltage Interruption、Current Swell、Voltage Unbalance、Current Unbalance为不使能</t>
  </si>
  <si>
    <t>3、都不能进行配置
4、上位机及电表中关于3中配置显示一致</t>
  </si>
  <si>
    <t>Function_AcuRev1320_046_14_case07</t>
  </si>
  <si>
    <t xml:space="preserve">Voltage Sag Enable；Web页面上点击setting界面，进入PQ Event &amp; Waveform，修改Voltage Sag对应的Threshold、Hysteresis </t>
  </si>
  <si>
    <t>3、三处保持一致</t>
  </si>
  <si>
    <t>Function_AcuRev1320_046_14_case08</t>
  </si>
  <si>
    <t>Voltage Sag Enable；Web页面上点击setting界面，进入PQ Event &amp; Waveform，修改Voltage Sag对应的录波、DO功能是否打开</t>
  </si>
  <si>
    <t>1、电表上电，电表通讯正常
2、Voltage Sag Enable；Web页面上点击setting界面，进入PQ Event &amp; Waveform，修改Voltage Sag对应的录波功能（打开/关闭），DO功能（打开/关闭）
3、查看上位机及电表中这两参数是否与web端参数保持一致</t>
  </si>
  <si>
    <t>Function_AcuRev1320_046_14_case09</t>
  </si>
  <si>
    <t xml:space="preserve">Voltage Swell Enable；Web页面上点击setting界面，进入PQ Event &amp; Waveform，修改Voltage Swell对应的Threshold、Hysteresis </t>
  </si>
  <si>
    <t>1、电表上电，电表通讯正常
2、Voltage Swel lEnable；Web页面上点击setting界面，进入PQ Event &amp; Waveform，修改Voltage Swell对应的Threshold、Hysteresis 
3、查看上位机及电表中关于Voltage Swell对应的Threshold、Hysteresis 这两参数是否与web端参数保持一致</t>
  </si>
  <si>
    <t>Function_AcuRev1320_046_14_case10</t>
  </si>
  <si>
    <t>Voltage Swell Enable；Web页面上点击setting界面，进入PQ Event &amp; Waveform，修改Voltage Swell对应的录波、DO功能是否打开</t>
  </si>
  <si>
    <t>1、电表上电，电表通讯正常
2、Voltage Swell Enable；Web页面上点击setting界面，进入PQ Event &amp; Waveform，修改Voltage Swell对应的录波功能（打开/关闭）,DO功能（打开/关闭）
3、查看上位机及电表中这两参数是否与web端参数保持一致</t>
  </si>
  <si>
    <t xml:space="preserve">Voltage Interruption Enable；Web页面上点击setting界面，进入PQ Event &amp; Waveform，修改Voltage Interruption 对应的Threshold、Hysteresis </t>
  </si>
  <si>
    <t>Function_AcuRev1320_046_14_case12</t>
  </si>
  <si>
    <t>Voltage Interruption  Enable；Web页面上点击setting界面，进入PQ Event &amp; Waveform，修改Voltage Interruption 对应的录波、DO功能是否打开</t>
  </si>
  <si>
    <t>1、电表上电，电表通讯正常
2、Voltage Interruption Enable；Web页面上点击setting界面，进入PQ Event &amp; Waveform，修改Voltage Interruption 对应的录波功能（打开/关闭）,DO功能（打开/关闭）
3、查看上位机及电表中这个参数是否与web端参数保持一致</t>
  </si>
  <si>
    <t>Function_AcuRev1320_046_14_case13</t>
  </si>
  <si>
    <t xml:space="preserve">Current Swell Enable；Web页面上点击setting界面，进入PQ Event &amp; Waveform，修改Current Swell对应的Threshold、Hysteresis </t>
  </si>
  <si>
    <t>1、电表上电，电表通讯正常
2、Current Swell Enable；Web页面上点击setting界面，进入PQ Event &amp; Waveform，修改Current Swell 对应的Threshold、Hysteresis 
3、查看上位机及电表中关于Current Swell 对应的Threshold、Hysteresis 是否与web端参数保持一致</t>
  </si>
  <si>
    <t>Function_AcuRev1320_046_14_case14</t>
  </si>
  <si>
    <t>Current Swell Enable；Web页面上点击setting界面，进入PQ Event &amp; Waveform，修改Current Swell 对应的录波、DO功能是否打开</t>
  </si>
  <si>
    <t>1、电表上电，电表通讯正常
2、Current Swell EnableEnable；Web页面上点击setting界面，进入PQ Event &amp; Waveform，修改Current Swell Enable对应的录波功能（打开/关闭），DO功能（打开/关闭）
3、查看上位机及电表中这两参数是否与web端参数保持一致</t>
  </si>
  <si>
    <t>Function_AcuRev1320_046_14_case15</t>
  </si>
  <si>
    <t xml:space="preserve">Voltage Unbalance Enable；Web页面上点击setting界面，进入PQ Event &amp; Waveform，修改Voltage Unbalance对应的Threshold、Hysteresis </t>
  </si>
  <si>
    <t>1、电表上电，电表通讯正常
2、Voltage Unbalance Enable；Web页面上点击setting界面，进入PQ Event &amp; Waveform，修改Voltage Unbalance对应的Threshold、Hysteresis 
3、查看上位机及电表中关于Voltage Unbalance对应的Threshold、Hysteresis 是否与web端参数保持一致</t>
  </si>
  <si>
    <t>Function_AcuRev1320_046_14_case16</t>
  </si>
  <si>
    <t>Voltage Unbalance Enable；Web页面上点击setting界面，进入PQ Event &amp; Waveform，修改Voltage Unbalance 对应的录波、DO功能是否打开</t>
  </si>
  <si>
    <t>1、电表上电，电表通讯正常
2、Voltage Unbalance EnableEnable；Web页面上点击setting界面，进入PQ Event &amp; Waveform，修改Voltage Unbalance Enable对应的录波功能（打开/关闭）,DO功能（打开/关闭）
3、查看上位机及电表中这个参数是否与web端参数保持一致</t>
  </si>
  <si>
    <t>Function_AcuRev1320_046_14_case17</t>
  </si>
  <si>
    <t xml:space="preserve">Current Unbalance Enable；Web页面上点击setting界面，进入PQ Event &amp; Waveform，修改Current Unbalance对应的Threshold,Hysteresis </t>
  </si>
  <si>
    <t>1、电表上电，电表通讯正常
2、Current Unbalance Enable；Web页面上点击setting界面，进入PQ Event &amp; Waveform，修改Current Unbalance对应的Threshold,Hysteresis 
3、查看上位机及电表中关于Current Unbalance对应的Threshold,Hysteresis 是否与web端参数保持一致</t>
  </si>
  <si>
    <t>Function_AcuRev1320_046_14_case18</t>
  </si>
  <si>
    <t>Current Unbalance Enable；Web页面上点击setting界面，进入PQ Event &amp; Waveform，修改Current Unbalance 对应的录波/DO功能是否打开，检查该页面所有描述及拼写</t>
  </si>
  <si>
    <t>1、电表上电，电表通讯正常
2、Current Unbalance EnableEnable；Web页面上点击setting界面，进入PQ Event &amp; Waveform，修改Current Unbalance Enable对应的录波功能（打开/关闭）,DO功能（打开/关闭）
3、查看上位机及电表中这两参数是否与web端参数保持一致
4、检查该页面所有描述及拼写</t>
  </si>
  <si>
    <t>3、三处保持一致
4、检查该页面所有描述及拼写均准确</t>
  </si>
  <si>
    <t>Data Log1</t>
  </si>
  <si>
    <t>Function_AcuRev1320_046_15_case01</t>
  </si>
  <si>
    <t>Web页面上点击setting界面，进入Data Log1，进行Data Log Parameter Selection</t>
  </si>
  <si>
    <t>1、电表上电，电表通讯正常
2、Web页面上点击setting界面，进入Data Log1，进行Data Log Parameter Selection（分别配置为空、1个、配满、30个）
3、查看上位机及电表对于该参数的配置是否与web端保持一致</t>
  </si>
  <si>
    <t>Function_AcuRev1320_046_15_case02</t>
  </si>
  <si>
    <t>Web页面上点击setting界面，进入Data Log1，修改Sectors、Logging Interval，查看Space Used、Space Remained、Max Record</t>
  </si>
  <si>
    <t>1、电表上电，电表通讯正常
2、Web页面上点击setting界面，进入Data Log1，修改Sectors值（0、1377、1000），修改Logging Interval值（1、1440、60、1000）
3、查看上位机及电表对于这两参数的配置是否与web端保持一致
4、查看Space Used、Space Remained、Max Record
5、查看上位机及电表对于以上3个参数的显示是否与web端保持一致</t>
  </si>
  <si>
    <t>3、三处保持一致
5、三处保持一致</t>
  </si>
  <si>
    <t>Function_AcuRev1320_046_15_case03</t>
  </si>
  <si>
    <t>Web页面上点击setting界面，进入Data Log1，设置Logging Mode为立即产生日志、设置Logging Mode为按照配置开始时间进行产生日志、设置Logging Mode为按照一个时间区间取产生日志，并多次修改这个时间区间</t>
  </si>
  <si>
    <t>1、电表上电，电表通讯正常
2、Web页面上点击setting界面，进入Data Log1，设置Logging Mode为立即产生日志
3、查看上位机及电表对于以上这个参数的配置是否与web端保持一致
4、Web页面上点击setting界面，进入Data Log1，设置Logging Mode为按照配置开始时间进行产生日志，修改配置时间（00：00；23：59；10：10）
5、查看上位机及电表对于以上这个参数的配置是否与web端保持一致
6、Web页面上点击setting界面，进入Data Log1，设置Logging Mode为按照一个时间区间取产生日志，并多次修改这个时间区间
7、查看上位机及电表对于以上这个参数的配置是否与web端保持一致</t>
  </si>
  <si>
    <t>3、三处保持一致
5、三处保持一致
7、三处保持一致</t>
  </si>
  <si>
    <t>Data Log2</t>
  </si>
  <si>
    <t>Function_AcuRev1320_046_15_case04</t>
  </si>
  <si>
    <t>Web页面上点击setting界面，进入Data Log2，进行Data Log Parameter Selection</t>
  </si>
  <si>
    <t>1、电表上电，电表通讯正常
2、Web页面上点击setting界面，进入Data Log2，进行Data Log Parameter Selection（分别配置为空、1个、配满、30个）
3、查看上位机及电表对于该参数的配置是否与web端保持一致</t>
  </si>
  <si>
    <t>Function_AcuRev1320_046_15_case05</t>
  </si>
  <si>
    <t>Web页面上点击setting界面，进入Data Log2，修改Sectors、Logging Interval，查看Space Used、Space Remained、Max Record</t>
  </si>
  <si>
    <t>1、电表上电，电表通讯正常
2、Web页面上点击setting界面，进入Data Log2，修改Sectors值（0、1377、1000），修改Logging Interval值（1、1440、60、1000）
3、查看上位机及电表对于这两参数的配置是否与web端保持一致
4、查看Space Used、Space Remained、Max Record
5、查看上位机及电表对于以上3个参数的显示是否与web端保持一致</t>
  </si>
  <si>
    <t>Function_AcuRev1320_046_15_case06</t>
  </si>
  <si>
    <t>Web页面上点击setting界面，进入Data Log2，设置Logging Mode为立即产生日志、设置Logging Mode为按照配置开始时间进行产生日志、设置Logging Mode为按照一个时间区间取产生日志，并多次修改这个时间区间</t>
  </si>
  <si>
    <t>Data Log3</t>
  </si>
  <si>
    <t>Function_AcuRev1320_046_15_case07</t>
  </si>
  <si>
    <t>Web页面上点击setting界面，进入Data Log3，进行Data Log Parameter Selection</t>
  </si>
  <si>
    <t>1、电表上电，电表通讯正常
2、Web页面上点击setting界面，进入Data Log3，进行Data Log Parameter Selection（分别配置为空、1个、配满、30个）
3、查看上位机及电表对于该参数的配置是否与web端保持一致</t>
  </si>
  <si>
    <t>Function_AcuRev1320_046_15_case08</t>
  </si>
  <si>
    <t>Web页面上点击setting界面，进入Data Log3，修改Sectors、Logging Interval，查看Space Used、Space Remained、Max Record</t>
  </si>
  <si>
    <t>1、电表上电，电表通讯正常
2、Web页面上点击setting界面，进入Data Log3，修改Sectors值（0、1377、1000），修改Logging Interval值（1、1440、60、1000）
3、查看上位机及电表对于这两参数的配置是否与web端保持一致
4、查看Space Used、Space Remained、Max Record
5、查看上位机及电表对于以上3个参数的显示是否与web端保持一致</t>
  </si>
  <si>
    <t>Function_AcuRev1320_046_15_case09</t>
  </si>
  <si>
    <t>Web页面上点击setting界面，进入Data Log3，设置Logging Mode为立即产生日志、设置Logging Mode为按照配置开始时间进行产生日志、设置Logging Mode为按照一个时间区间取产生日志，并多次修改这个时间区间</t>
  </si>
  <si>
    <t>1、电表上电，电表通讯正常
2、Web页面上点击setting界面，进入Data Log3，设置Logging Mode为立即产生日志
3、查看上位机及电表对于以上这个参数的配置是否与web端保持一致
4、Web页面上点击setting界面，进入Data Log3，设置Logging Mode为按照配置开始时间进行产生日志，修改配置时间（00：00；23：59；10：10）
5、查看上位机及电表对于以上这个参数的配置是否与web端保持一致
6、Web页面上点击setting界面，进入Data Log3，设置Logging Mode为按照一个时间区间取产生日志，并多次修改这个时间区间
7、查看上位机及电表对于以上这个参数的配置是否与web端保持一致</t>
  </si>
  <si>
    <t>Data Log</t>
  </si>
  <si>
    <t>Function_AcuRev1320_046_15_case10</t>
  </si>
  <si>
    <t>Web页面上点击setting界面，进入Data Log3，修改Sectors，Data Log1+Data Log2+Data Log3=1377</t>
  </si>
  <si>
    <t>1、电表上电，电表通讯正常
2、Web页面上点击setting界面，进入Data Log3，修改Sectors（Data Log1、Data Log2、Data Log3）
3、web需对Sectors加以限制，满足Data Log1+Data Log2+Data Log3</t>
  </si>
  <si>
    <t>3、web已对Sectors加以限制，满足Data Log1+Data Log2+Data Log3</t>
  </si>
  <si>
    <t>Trend log</t>
  </si>
  <si>
    <t>Function_AcuRev1320_046_15_case11</t>
  </si>
  <si>
    <t>Web页面上点击setting界面，进入Trend log，进行Data Log Parameter Selection</t>
  </si>
  <si>
    <t>1、电表上电，电表通讯正常
2、Web页面上点击setting界面，进入Trend log，进行Data Log Parameter Selection（分别配置为空、1个、配满、30个）
3、查看上位机及电表对于该参数的配置是否与web端保持一致</t>
  </si>
  <si>
    <t>Function_AcuRev1320_046_15_case12</t>
  </si>
  <si>
    <t>Web页面上点击setting界面，进入Trend log，修改Sectors、Logging Interval，查看Space Used、Space Remained、Max Record</t>
  </si>
  <si>
    <t>1、电表上电，电表通讯正常
2、Web页面上点击setting界面，进入Trend log，修改Sectors值（0、200、459），修改Logging Interva
3、查看上位机及电表对于这两参数的配置是否与web端保持一致
4、查看Space Used、Space Remained、Max Record
5、查看上位机及电表对于以上3个参数的显示是否与web端保持一致</t>
  </si>
  <si>
    <t>Function_AcuRev1320_046_15_case13</t>
  </si>
  <si>
    <t>Web页面上点击setting界面，进入Trend log，设置Logging Mode为立即产生日志、设置Logging Mode为按照配置开始时间进行产生日志、设置Logging Mode为按照一个时间区间取产生日志，并多次修改这个时间区间，检查4个data log页面所有描述及拼写</t>
  </si>
  <si>
    <t>1、电表上电，电表通讯正常
2、Web页面上点击setting界面，进入Trend log，设置Logging Mode为立即产生日志
3、查看上位机及电表对于以上这个参数的配置是否与web端保持一致
4、Web页面上点击setting界面，进入Trend log，设置Logging Mode为按照配置开始时间进行产生日志，修改配置时间（00：00；23：59；10：10）
5、查看上位机及电表对于以上这个参数的配置是否与web端保持一致
6、Web页面上点击setting界面，进入Trend log，设置Logging Mode为按照一个时间区间取产生日志，并多次修改这个时间区间
7、查看上位机及电表对于以上这个参数的配置是否与web端保持一致
8、检查4个data log页面所有描述及拼写</t>
  </si>
  <si>
    <t>3、三处保持一致
5、三处保持一致
7、三处保持一致
8、检查4个data log页面所有描述及拼写均准确</t>
  </si>
  <si>
    <t>alarm</t>
  </si>
  <si>
    <t>Function_AcuRev1320_046_16_case01</t>
  </si>
  <si>
    <t>点击setting界面，进入alarm界面，配置第一条alarm告警，关闭第一条alarm使能开关，20条告警全部不使能</t>
  </si>
  <si>
    <t>3、关闭第一条alarm使能开关，该条告警对应参数不能继续配置
4、检查web端该配置成功后，上位机与表保持一致</t>
  </si>
  <si>
    <t>Function_AcuRev1320_046_16_case02</t>
  </si>
  <si>
    <t>点击setting界面，进入alarm界面，配置第一条alarm告警（第一个参数），打开使能开关</t>
  </si>
  <si>
    <t>1、电表上电，电表通讯正常
2、web页面，点击setting界面，进入alarm界面，配置第一条alarm告警，打开使能开关
3、选择第一个参数（遍历多个参数），选择llogic(&gt;&lt;=),填写pick up ，pick up delay,Dropout ,Dropout delay参数，提交成功
4、查看上位机、电表及web端第一条告警中第一个参数及条件配置是否一致</t>
  </si>
  <si>
    <t>4、查看上位机、电表及web端第一条告警中第一个参数及条件配置一致</t>
  </si>
  <si>
    <t>Function_AcuRev1320_046_16_case03</t>
  </si>
  <si>
    <t>点击setting界面，进入alarm界面，配置告警参数及条件合法性校验</t>
  </si>
  <si>
    <t>1、电表上电，电表通讯正常
2、web页面，点击setting界面，进入alarm界面，配置告警参数及条件合法性校验
3，选择DI参数时，web端是否限制logic只能输入=，其他参数时只能输入&lt;，&gt;
4、输入DI参数时，web端是否限制lpick up 及Dropout 值只能是0或1
5、输入除过DI的参数时，web端是否限制当logic选择&gt;,pick up &gt;Dropout,当logic选择&lt;,pick up &lt;Dropout</t>
  </si>
  <si>
    <t>3，选择DI参数时，web端限制logic只能输入=，其他参数时只能输入&lt;，&gt;
4、输入DI参数时，web端限制lpick up 及Dropout 值只能是0或1
5、输入除过DI的参数时，web端限制当logic选择&gt;,pick up &gt;Dropout,当logic选择&lt;,pick up &lt;Dropout</t>
  </si>
  <si>
    <t>Function_AcuRev1320_046_16_case04</t>
  </si>
  <si>
    <t>点击setting界面，进入alarm界面,1条告警中两参数条件配置，DO是否使能配置</t>
  </si>
  <si>
    <t>1、电表上电，电表通讯正常
2、点击setting界面，进入alarm界面,1条告警中两参数条件配置（与或非）
3、检查web端该配置成功后，上位机与表是否保持一致
4、点击setting界面，进入alarm界面,1条告警中DO使能配置（打开/关闭）
5、检查web端该配置成功后，上位机与表是否保持一致</t>
  </si>
  <si>
    <t>3、检查web端该配置成功后，上位机与表保持一致
5、检查web端该配置成功后，上位机与表保持一致</t>
  </si>
  <si>
    <t>Function_AcuRev1320_046_16_case05</t>
  </si>
  <si>
    <t>点击setting界面，进入alarm界面,多条告警配置</t>
  </si>
  <si>
    <t>1、电表上电，电表通讯正常
2、web页面，点击setting界面，进入alarm界面,多条告警配置；（20条告警全配满/部分配置）
3、检查web端该配置成功后，上位机与表是否保持一致</t>
  </si>
  <si>
    <t>3、检查web端该配置成功后，上位机与表保持一致</t>
  </si>
  <si>
    <t>Function_AcuRev1320_046_16_case06</t>
  </si>
  <si>
    <t>点击setting界面，进入alarm界面,查看该页面英文描述及拼写</t>
  </si>
  <si>
    <t>1、电表上电，电表通讯正常
2、web页面，点击setting界面，进入alarm界面,查看该页面英文描述及拼写是否准确</t>
  </si>
  <si>
    <t>2、点击setting界面，进入alarm界面,查看该页面英文描述及拼写准确</t>
  </si>
  <si>
    <t>页面稳定性</t>
  </si>
  <si>
    <t>Function_AcuRev1320_046_17_case01</t>
  </si>
  <si>
    <t>setting模块数据页面切换无报错，通读正常，无非法数据产生</t>
  </si>
  <si>
    <t>1、电表上电，电表通讯正常
2、setting模块数据页面切换是否有报错，通读是否正常，是否有非法数据产生</t>
  </si>
  <si>
    <t>2、setting模块数据页面切换无报错，通读正常，无非法数据产生</t>
  </si>
  <si>
    <t>Function_AcuRev4100_001_01_case1</t>
    <phoneticPr fontId="10" type="noConversion"/>
  </si>
  <si>
    <t>1、Acuview2上位机
2、网线/RTU串口线
3、AcuRev4100电表</t>
  </si>
  <si>
    <t>1、连接AcuRev4100电表到Acuview2上，链接状态为connected
2、交流电源输入频率为42.5HZ。
3、Acuview2上和HMI上检查交流电频率是否在精度范围内，范围:42.415 ~ 42.585
4、交流电源输入频率为65HZ。
5、Acuview2上和HMI上检查交流电频率是否在精度范围内，范围:64.87 ~ 65.13
6、交流电源输入频率为69HZ。
7、Acuview2上检查交流电频率是否在精度范围内，范围:68.862 ~ 69.138</t>
  </si>
  <si>
    <t>3、Acuview2上和HMI上检查交流电频率在精度范围内，范围:42.415 ~ 42.585
5、Acuview2上和HMI上检查交流电频率在精度范围内，范围:64.87 ~ 65.13
7、Acuview2上检查交流电频率在精度范围内，范围:68.862 ~ 69.138</t>
  </si>
  <si>
    <t>Function_AcuRev4100_001_01_case2</t>
    <phoneticPr fontId="10" type="noConversion"/>
  </si>
  <si>
    <t>交流电在45 HZ 、55Hz，测量精度要求0.2%</t>
  </si>
  <si>
    <t>1、连接AcuRev4100电表到Acuview2上，链接状态为connected
2、交流电源输入频率45HZ。
3、Acuview2上和HMI上检查交流电频率是否在精度范围内，范围:
4、交流电源输入频率为55HZ。
5、Acuview2上和HMI上检查交流电频率是否在精度范围内，范围:</t>
  </si>
  <si>
    <t xml:space="preserve">
3、Acuview2上和HMI上检查交流电频率在精度范围内，范围:44.991	~	45.009
5、Acuview2上和HMI上检查交流电频率在精度范围内，范围:54.989	~	55.011</t>
  </si>
  <si>
    <t>Function_AcuRev4100_001_01_case3</t>
  </si>
  <si>
    <t>1、连接AcuRev4100电表到Acuview2上，链接状态为connected
2、交流电源输入频率为50HZ。
3、Acuview2上和HMI上检查交流电频率是否在精度范围内，范围:49.9 ~ 50.1
4、交流电源输入频率为60HZ。
5、Acuview2上和HMI上检查交流电频率是否在精度范围内，范围:59.88 ~ 60.12</t>
  </si>
  <si>
    <t>Function_AcuRev4100_001_01_case4</t>
  </si>
  <si>
    <t>电表上设置60HZ, 交流电在40HZ 、70 Hz，无测量精度要求</t>
    <phoneticPr fontId="10" type="noConversion"/>
  </si>
  <si>
    <t>1、连接AcuRev4100电表到Acuview2上，链接状态为connected
1.1、电表上设置60HZ
2、交流电源输入频率为40HZ。
3、Acuview2上和HMI上检查交流电频率可以测试到频率数据，无精度要求
4、交流电源输入频率为70HZ。
5、Acuview2上和HMI上检查交流电频率可以测试到频率数据，无精度要求</t>
  </si>
  <si>
    <t>3、Acuview2上和HMI上检查交流电频率可以测试到频率数据，无精度要求
5、Acuview2上和HMI上检查交流电频率可以测试到频率数据，无精度要求</t>
    <phoneticPr fontId="10" type="noConversion"/>
  </si>
  <si>
    <t>Function_AcuRev4100_001_01_case5</t>
  </si>
  <si>
    <t>关闭输出后，电表不会有频率显示</t>
    <phoneticPr fontId="10" type="noConversion"/>
  </si>
  <si>
    <t>1、输出50HZ频率
2、关闭源输出
3、HMI查看系统频率</t>
  </si>
  <si>
    <t>1、关闭源输出，频率显示0</t>
  </si>
  <si>
    <t>Function_AcuRev4100_002_01_case1</t>
    <phoneticPr fontId="10" type="noConversion"/>
  </si>
  <si>
    <t>1、连接AcuRev4100电表到Acuview2上，链接状态为connected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t>
  </si>
  <si>
    <t>3、Acuview2上和HMI上检查交流电相电压均在精度范围内，范围(V):68.931 ~ 69.069，Vlnavg范围(V)：68.931 ~ 69.069
5、Acuview2上和HMI上检查交流电相电压均在精度范围内，范围(V):119.88 ~ 120.12，Vlnavg范围(V)：119.88 ~ 120.12</t>
    <phoneticPr fontId="10" type="noConversion"/>
  </si>
  <si>
    <t>Function_AcuRev4100_002_01_case2</t>
  </si>
  <si>
    <t>1、连接AcuRev4100电表到Acuview2上，链接状态为connected
2、交流电源输入相电压Van、Vbn、Vcn的额定电压为230V。
3、Acuview2上和HMI上检查交流电相电压是否均在精度范围内，范围(V):229.77 ~ 230.23， Vlnavg范围(V)：229.77 ~ 230.23
4、交流电源输入相电压Van、Vbn、Vcn的额定电压为347V。
5、Acuview2上和HMI上检查交流电相电压是否均在精度范围内，范围(V):346.653 ~ 347.347， Vlnavg范围(V)：346.653 ~ 347.347</t>
    <phoneticPr fontId="10" type="noConversion"/>
  </si>
  <si>
    <t>3、Acuview2上和HMI上检查交流电相电压均在精度范围内，范围(V):229.77 ~ 230.23， Vlnavg范围(V)：229.77 ~ 230.23
5、Acuview2上和HMI上检查交流电相电压均在精度范围内，范围(V):346.653 ~ 347.347， Vlnavg范围(V)：346.653 ~ 347.347</t>
    <phoneticPr fontId="10" type="noConversion"/>
  </si>
  <si>
    <t>Function_AcuRev4100_002_01_case3</t>
  </si>
  <si>
    <t>交流电Van、Vbn、Vcn输入电压分别均为220V,380V,测量Van、Vbn、Vcn、Vlnavg满足精度要求0.1%</t>
  </si>
  <si>
    <t>1、连接AcuRev4100电表到Acuview2上，链接状态为connected
2、交流电源输入相电压Van、Vbn、Vcn的额定电压为220V。
3、Acuview2上和HMI上检查交流电相电压是否均在精度范围内，范围(V):219.78 ~ 220.22， Vlnavg范围(V)：219.78 ~ 220.22
4、交流电源输入相电压Van、Vbn、Vcn的额定电压为380V。
5、Acuview2上和HMI上检查交流电相电压是否均在精度范围内，范围(V):379.62 ~ 380.38， Vlnavg范围(V)：379.62 ~ 380.38</t>
  </si>
  <si>
    <t>3、Acuview2上和HMI上检查交流电相电压均在精度范围内，范围(V):219.78 ~ 220.22， Vlnavg范围(V)：219.78 ~ 220.22
5、Acuview2上和HMI上检查交流电相电压均在精度范围内，范围(V):379.62 ~ 380.38， Vlnavg范围(V)：379.62 ~ 380.38</t>
  </si>
  <si>
    <t>Function_AcuRev4100_002_01_case4</t>
  </si>
  <si>
    <t>交流电Van、Vbn、Vcn输入电压分别均为100V,200V,测量Van、Vbn、Vcn、Vlnavg满足精度要求0.1%</t>
  </si>
  <si>
    <t>1、连接AcuRev4100电表到Acuview2上，链接状态为connected
2、交流电源输入相电压Van、Vbn、Vcn的额定电压为100V。
3、Acuview2上和HMI上检查交流电相电压是否均在精度范围内，范围(V):99.9 ~ 100.1， Vlnavg范围(V)：99.9 ~ 100.1
4、交流电源输入相电压Van、Vbn、Vcn的额定电压为200V。
5、Acuview2上和HMI上检查交流电相电压是否均在精度范围内，范围(V):199.8 ~ 200.2， Vlnavg范围(V)：199.8 ~ 200.2</t>
  </si>
  <si>
    <t>3、Acuview2上和HMI上检查交流电相电压均在精度范围内，范围(V):99.9 ~ 100.1， Vlnavg范围(V)：99.9 ~ 100.1
5、Acuview2上和HMI上检查交流电相电压均在精度范围内，范围(V):199.8 ~ 200.2， Vlnavg范围(V)：199.8 ~ 200.2</t>
  </si>
  <si>
    <t>Function_AcuRev4100_002_01_case5</t>
  </si>
  <si>
    <t>交流电Van、Vbn、Vcn输入电压分别均为300V,400V,测量Van、Vbn、Vcn、Vlnavg满足精度要求0.1%</t>
  </si>
  <si>
    <t>1、连接AcuRev4100电表到Acuview2上，链接状态为connected
2、交流电源输入相电压Van、Vbn、Vcn的额定电压为300V。
3、Acuview2上和HMI上检查交流电相电压是否均在精度范围内，范围(V):199.8 ~ 200.2， Vlnavg范围(V)：199.8 ~ 200.2
4、交流电源输入相电压Van、Vbn、Vcn的额定电压为400V。
5、Acuview2上和HMI上检查交流电相电压是否均在精度范围内，范围(V):399.6 ~ 400.4， Vlnavg范围(V)：399.6 ~ 400.4</t>
  </si>
  <si>
    <t>3、Acuview2上和HMI上检查交流电相电压均在精度范围内，范围(V):199.8 ~ 200.2， Vlnavg范围(V)：199.8 ~ 200.2
5、Acuview2上和HMI上检查交流电相电压均在精度范围内，范围(V):399.6 ~ 400.4， Vlnavg范围(V)：399.6 ~ 400.4</t>
  </si>
  <si>
    <t>Fault_AcuRev4100_002_01_case6</t>
  </si>
  <si>
    <t>交流电Van、Vbn、Vcn输入范围外电压分别均为40V,68V,测量Van、Vbn、Vcn、Vlnavg满足精度要求0.1%</t>
  </si>
  <si>
    <t>1、连接AcuRev4100电表到Acuview2上，链接状态为connected
2、交流电源输入相电压Van、Vbn、Vcn的额定电压为40V。
3、Acuview2上和HMI上检查交流电相电压是否有测量显示，满足精度要求0.1%
4、交流电源输入相电压Van、Vbn、Vcn的额定电压为68V。
5、Acuview2上和HMI上检查交流电相电压是否有测量显示，满足精度要求0.1%</t>
  </si>
  <si>
    <t>3、Acuview2上和HMI上检查交流电相电压有测量显示，满足精度要求0.1%
5、Acuview2上和HMI上检查交流电相电压有测量显示，满足精度要求0.1%</t>
  </si>
  <si>
    <t>Fault_AcuRev4100_002_01_case7</t>
    <phoneticPr fontId="10" type="noConversion"/>
  </si>
  <si>
    <t>1、Acuview2上位机
2、网线/RTU串口线
3、AcuRev4100电表</t>
    <phoneticPr fontId="10" type="noConversion"/>
  </si>
  <si>
    <t>1、连接AcuRev4100电表到Acuview2上，链接状态为connected
2、交流电源输入相电压Van、Vbn、Vcn的额定电压为10.2V。
3、Acuview2上和HMI上检查交流电相电压是否有测量显示，精度没有要求
4、交流电源输入相电压Van、Vbn、Vcn的额定电压为20V。
5、Acuview2上和HMI上检查交流电相电压是否有测量显示，精度没有要求</t>
  </si>
  <si>
    <t>Fault_AcuRev4100_002_01_case8</t>
  </si>
  <si>
    <t>交流电Van、Vbn、Vcn输入电压分别均为1V，9V,电表Van、Vbn、Vcn、Vlnavg无测量值</t>
  </si>
  <si>
    <t>1、连接AcuRev4100电表到Acuview2上，链接状态为connected
2、交流电源输入相电压Van、Vbn、Vcn的额定电压为1V。
3、Acuview2上和HMI上检查交流电相电压是否为0V
4、交流电源输入相电压Van、Vbn、Vcn的额定电压为9V。
5、Acuview2上和HMI上检查交流电相电压是否为0V，不考虑精度</t>
  </si>
  <si>
    <t>3、Acuview2上和HMI上检查交流电相电压为0V
5、Acuview2上和HMI上检查交流电相电压为0V</t>
  </si>
  <si>
    <t>Fault_AcuRev4100_002_01_case8_1</t>
  </si>
  <si>
    <t>交流电Van、Vbn、Vcn输入电压分别均为0V,电表Van、Vbn、Vcn、Vlnavg测量值为0V</t>
  </si>
  <si>
    <t>1、连接AcuRev4100电表到Acuview2上，链接状态为connected
2、交流电源输入相电压Van、Vbn、Vcn的额定电压为0V。
3、Acuview2上和HMI上检查交流电相电压是否为0V</t>
  </si>
  <si>
    <t>3、Acuview2上和HMI上检查交流电相电压为0V</t>
  </si>
  <si>
    <t>Function_AcuRev4100_002_01_case9</t>
  </si>
  <si>
    <t xml:space="preserve">1、连接AcuRev4100电表到Acuview2上，链接状态为connected
2、交流电源输入相电压Van、Vbn、Vcn的额定电压分别为(69V,120V,230V)。
3、Acuview2上和HMI上检查交流电相电压是否均在精度范围内，Van范围(V):68.931 ~ 69.069，Vbn范围(V):119.88 ~ 120.12，Vcn范围(V):229.77 ~ 230.23，Vlnavg范围(V):139.527 ~ 139.8063333
</t>
  </si>
  <si>
    <t xml:space="preserve">3、Acuview2上和HMI上检查交流电相电压均在精度范围内，Van范围(V):68.931 ~ 69.069，Vbn范围(V):119.88 ~ 120.12，Vcn范围(V):229.77 ~ 230.23，Vlnavg范围(V):139.527 ~ 139.8063333
</t>
  </si>
  <si>
    <t>Function_AcuRev4100_002_01_case10</t>
  </si>
  <si>
    <t>交流电Van、Vbn、Vcn输入额定电压为(347V,100V,220V),测量Van、Vbn、Vcn、Vlnavg满足精度要求0.1%</t>
  </si>
  <si>
    <t>1、连接AcuRev4100电表到Acuview2上，链接状态为connected
2、交流电源输入相电压Van、Vbn、Vcn的额定电压分别为(347V,100V,220V)。
3、Acuview2上和HMI上检查交流电相电压是否均在精度范围内，Van范围(V):346.653 ~ 347.347，Vbn范围(V):99.9 ~ 100.1，Vcn范围(V):219.78 ~ 220.22，Vlnavg范围(V):222.111 ~ 222.5556667</t>
    <phoneticPr fontId="10" type="noConversion"/>
  </si>
  <si>
    <t>3、Acuview2上和HMI上检查交流电相电压均在精度范围内,Van范围(V):346.653 ~ 347.347，Vbn范围(V):99.9 ~ 100.1，Vcn范围(V):219.78 ~ 220.22，Vlnavg范围(V):222.111 ~ 222.5556667</t>
  </si>
  <si>
    <t>Function_AcuRev4100_002_01_case11</t>
  </si>
  <si>
    <t>交流电Van、Vbn、Vcn输入额定电压为(220V,380V,440V),测量Van、Vbn、Vcn、Vlnavg满足精度要求0.1%</t>
  </si>
  <si>
    <t>1、连接AcuRev4100电表到Acuview2上，链接状态为connected
2、交流电源输入相电压Van、Vbn、Vcn的额定电压分别为(220V,380V,440V)。
3、Acuview2上和HMI上检查交流电相电压是否均在精度范围内，Van范围(V): 219.78 ~ 220.22，Vbn范围(V): 379.62 ~ 380.38，Vcn范围(V): 399.6 ~ 400.4，Vlnavg范围(V): 333 ~ 333.6666667</t>
    <phoneticPr fontId="10" type="noConversion"/>
  </si>
  <si>
    <t>3、Acuview2上和HMI上检查交流电相电压均在精度范围内，Van范围(V): 219.78 ~ 220.22，Vbn范围(V): 379.62 ~ 380.38，Vcn范围(V): 439.5600  ~ 440.4400 ，Vlnavg范围(V): 346.3200  ~ 347.0133</t>
    <phoneticPr fontId="10" type="noConversion"/>
  </si>
  <si>
    <t>Fault_AcuRev4100_002_01_case11_1</t>
  </si>
  <si>
    <t>1、连接AcuRev4100电表到Acuview2上，链接状态为connected
2、交流电Van、Vbn、Vcn输入额定电压为(100V,100V,100V),φA、φB、φC分别为(0°、240°、120°)
3、Acuview2上和HMI上检查交流电相电压是否均在精度范围内
4、断开交流源输入
5、立即Acuview2上和HMI上检查交流电相电压Van、Vbn、Vcn、Vlnavg测量值全为0V</t>
  </si>
  <si>
    <t>3、Acuview2上和HMI上检查交流电相电压均在精度0.1%范围内
5、立即Acuview2上和HMI上检查交流电相电压Vab，Vac、Vbc、Vllavg测量值全为0V</t>
  </si>
  <si>
    <t>Fault_AcuRev4100_002_01_case11_2</t>
  </si>
  <si>
    <t>交流电Van、Vbn、Vcn输入额定电压为(220V,220V,220V),φA、φB、φC分别为(0°、240°、120°)，立即反复降低电压到10%，Van、Vbn、Vcn、Vlnavg测量值满足精度要求</t>
    <phoneticPr fontId="10" type="noConversion"/>
  </si>
  <si>
    <t>1、连接AcuRev4100电表到Acuview2上，链接状态为connected
2、交流电Van、Vbn、Vcn输入额定电压为(220V,220V,220V),φA、φB、φC分别为(0°、240°、120°)
3、立即降低电压到10%， 等待10s
4、立即升电压到100%， 等待10s
5、Acuview2上和HMI上检查交流电相电压是否均在精度0.1%范围内</t>
  </si>
  <si>
    <t>5、Acuview2上和HMI上检查交流电相电压均在精度0.1%范围内</t>
    <phoneticPr fontId="10" type="noConversion"/>
  </si>
  <si>
    <t>Fault_AcuRev4100_002_01_case11_3</t>
  </si>
  <si>
    <t>交流电Van、Vbn、Vcn输入额定电压为(220V,220V,220V),φA、φB、φC分别为(0°、240°、120°)，立即反复降低电压到50%，Van、Vbn、Vcn、Vlnavg测量值满足精度要求</t>
    <phoneticPr fontId="10" type="noConversion"/>
  </si>
  <si>
    <t>1、连接AcuRev4100电表到Acuview2上，链接状态为connected
2、交流电Van、Vbn、Vcn输入额定电压为(220V,220V,220V),φA、φB、φC分别为(0°、240°、120°)
3、立即降低电压到50%， 等待10s
4、Acuview2上和HMI上检查交流电相电压是否均在精度0.1%范围内
5、立即升电压到100%， 等待10s
6、Acuview2上和HMI上检查交流电相电压是否均在精度0.1%范围内</t>
  </si>
  <si>
    <t>4、Acuview2上和HMI上检查交流电相电压均在精度0.1%范围内
6、Acuview2上和HMI上检查交流电相电压均在精度0.1%范围内</t>
  </si>
  <si>
    <t>Fault_AcuRev4100_002_01_case11_4</t>
    <phoneticPr fontId="10" type="noConversion"/>
  </si>
  <si>
    <t>1、连接AcuRev4100电表到Acuview2上，链接状态为connected
2、交流电源输入相电压Van、Vbn、Vcn的额定电压为220V。
3、电表相序设置为ABC，φA、φB、φC分别为(0°、120°、240°)
4、Acuview2上和HMI上检查交流电相电压Van、Vbn、Vcn、Vlnavg测量值是否满足精度要求0.1%</t>
    <phoneticPr fontId="10" type="noConversion"/>
  </si>
  <si>
    <t>Fault_AcuRev4100_002_01_case11_5</t>
    <phoneticPr fontId="10" type="noConversion"/>
  </si>
  <si>
    <t>1、连接AcuRev4100电表到Acuview2上，链接状态为connected
2、交流电源输入相电压Van、Vbn、Vcn的额定电压为220V。
3、电表相序设置为ACB，φA、φB、φC分别为(0°、120°、240°)
4、Acuview2上和HMI上检查交流电相电压Van、Vbn、Vcn、Vlnavg测量值是否满足精度要求0.1%</t>
    <phoneticPr fontId="10" type="noConversion"/>
  </si>
  <si>
    <t>Fault_AcuRev4100_002_01_case11_6</t>
    <phoneticPr fontId="10" type="noConversion"/>
  </si>
  <si>
    <t>交流电Van、Vbn、Vcn输入额定电压为(120V,120V,120V),逆序，且φA、φB、φC分别为(0°、240°、120°)，Van、Vbn、Vcn、Vlnavg测量值满足精度要求0.1%</t>
  </si>
  <si>
    <t>1、连接AcuRev4100电表到Acuview2上，链接状态为connected
2、交流电源输入相电压Van、Vbn、Vcn的额定电压为120V。
3、电表相序设置为ACB，φA、φB、φC分别为(0°、240°、120°)
4、Acuview2上和HMI上检查交流电相电压Van、Vbn、Vcn、Vlnavg测量值是否满足精度要求0.1%</t>
    <phoneticPr fontId="10" type="noConversion"/>
  </si>
  <si>
    <t xml:space="preserve">4、Acuview2上和HMI上检查交流电相电压均在精度范围内，范围(V):119.8800 ~ 120.1200 ， Vlnavg范围(V)：119.8800 ~ 120.1200 </t>
    <phoneticPr fontId="10" type="noConversion"/>
  </si>
  <si>
    <t>Fault_AcuRev4100_002_01_case11_7</t>
    <phoneticPr fontId="10" type="noConversion"/>
  </si>
  <si>
    <t>交流电Van、Vbn、Vcn输入额定电压为(120V,120V,120V)顺序，且φA、φB、φC分别为(0°、120°、240°)，Van、Vbn、Vcn、Vlnavg测量值满足精度要求0.1%</t>
    <phoneticPr fontId="10" type="noConversion"/>
  </si>
  <si>
    <t>1、连接AcuRev4100电表到Acuview2上，链接状态为connected
2、交流电源输入相电压Van、Vbn、Vcn的额定电压为120V。
3、电表相序设置为ABC，φA、φB、φC分别为(0°、120°、240°)
4、Acuview2上和HMI上检查交流电相电压Van、Vbn、Vcn、Vlnavg测量值是否满足精度要求0.1%</t>
    <phoneticPr fontId="10" type="noConversion"/>
  </si>
  <si>
    <t>Fault_AcuRev4100_002_01_case11_8</t>
    <phoneticPr fontId="10" type="noConversion"/>
  </si>
  <si>
    <t>交流电Van、Vbn、Vcn输入额定电压为(120V,120V,120V)顺序，且φA、φB、φC分别为(0°、130°、250°)，Van、Vbn、Vcn、Vlnavg测量值满足精度要求0.1%</t>
    <phoneticPr fontId="10" type="noConversion"/>
  </si>
  <si>
    <t>1、连接AcuRev4100电表到Acuview2上，链接状态为connected
2、交流电源输入相电压Van、Vbn、Vcn的额定电压为120V。
3、电表相序设置为ABC，φA、φB、φC分别为(0°、130°、250°)
4、Acuview2上和HMI上检查交流电相电压Van、Vbn、Vcn、Vlnavg测量值是否满足精度要求0.1%</t>
    <phoneticPr fontId="10" type="noConversion"/>
  </si>
  <si>
    <t>Fault_AcuRev4100_002_01_case11_9</t>
    <phoneticPr fontId="10" type="noConversion"/>
  </si>
  <si>
    <t>交流电Van、Vbn、Vcn输入额定电压为(120V,120V,120V)顺序，且φA、φB、φC分别为(0°、260°、140°)，Van、Vbn、Vcn、Vlnavg量值满足精度要求0.1%</t>
    <phoneticPr fontId="10" type="noConversion"/>
  </si>
  <si>
    <t>1、连接AcuRev4100电表到Acuview2上，链接状态为connected
2、交流电源输入相电压Van、Vbn、Vcn的额定电压为120V。
3、电表相序设置为ABC，φA、φB、φC分别为(0°、260°、140°)
4、Acuview2上和HMI上检查交流电相电压Van、Vbn、Vcn、Vlnavg测量值是否满足精度要求0.1%</t>
    <phoneticPr fontId="10" type="noConversion"/>
  </si>
  <si>
    <t>Fault_AcuRev4100_002_01_case11_10</t>
    <phoneticPr fontId="10" type="noConversion"/>
  </si>
  <si>
    <t>只加电压,看电压正常精度正常， 电流测量值为0</t>
  </si>
  <si>
    <t>1、Acuview2上位机
2、网线/RTU串口线
3、AcuRev4100电表
4、接线方式3e3p4w y</t>
    <phoneticPr fontId="10" type="noConversion"/>
  </si>
  <si>
    <t>1、连接AcuRev4100电表到Acuview2上，链接状态为connected
2、交流电源输入相电压Van、Vbn、Vcn的额定电压为120V。
3、电表相序设置为ABC，φA、φB、φC分别为(0°、240°、120°)
4、电表未接电流。
5、Acuview2上和HMI上检查交流电相电压Van、Vbn、Vcn、Vlnavg测量值是否满足精度要求0.1%
6、ABC三相, 输入通道input1-24、用户user1-12电流是否均为0A</t>
  </si>
  <si>
    <t>5、Acuview2上和HMI上检查交流电相电压Van、Vbn、Vcn、Vlnavg测量值满足精度要求0.1%
6、ABC三相, 输入通道input1-24、用户user1-12电流均为0A</t>
    <phoneticPr fontId="10" type="noConversion"/>
  </si>
  <si>
    <t>Fault_AcuRev4100_002_01_case11_11</t>
  </si>
  <si>
    <t>电压为0，只加电流, 电流测量值正常，但不计算夹角、功率、能量；电压为10V，电流测量值正常，且计算夹角、功率、能量</t>
  </si>
  <si>
    <t>1、Acuview2上位机
2、网线/RTU串口线
3、AcuRev4100电表
4、接线方式3e3p4w y</t>
  </si>
  <si>
    <t>1、连接AcuRev4100电表到Acuview2上，链接状态为connected
2、交流电源输入相电压Van、Vbn、Vcn的额定电压为0V。
3、电表相序设置为ABC，φA、φB、φC分别为(0°、240°、120°)
4、input1-3 设置为3A
5、Acuview2上和HMI上检查交流电相电压Van、Vbn、Vcn、Vlnavg测量值是否为0V。
6、ABC三相, 输入通道input1-3、用户user1电流均为3A
7、交流电源输入相电压Van、Vbn、Vcn的额定电压为10V。
8、电表相序设置为ABC，φA、φB、φC分别为(0°、240°、120°)
9、input1-3 设置为3A
10、ABC三相, 输入通道input1-3、用户user1电流均为3A</t>
  </si>
  <si>
    <t>Fault_AcuRev4100_002_01_case11_12</t>
    <phoneticPr fontId="10" type="noConversion"/>
  </si>
  <si>
    <t>Function_AcuRev4100_002_02_case1</t>
  </si>
  <si>
    <t>交流电Van、Vbn、Vcn均输入电压69V和120V, 测量Vab，Vac、Vbc、Vllavg精度均满足要求0.1%</t>
  </si>
  <si>
    <t>1、连接AcuRev4100电表到Acuview2上，链接状态为connected
2、交流电源输入相电压Van、Vbn、Vcn的额定电压为69V。
3、Acuview2上和HMI上检查交流电相电压是否均在精度范围内，范围(V):119.388492 ~ 119.627508， Vllavg范围(V)：119.388492 ~ 119.627508
4、交流电源输入相电压Van、Vbn、Vcn的额定电压为120V。
5、Acuview2上和HMI上检查交流电相电压是否均在精度范围内，范围(V):207.63216 ~ 208.04784， Vllavg范围(V)：207.63216 ~ 208.04784</t>
  </si>
  <si>
    <t>3、Acuview2上和HMI上检查交流电相电压均在精度范围内，范围(V):119.388492 ~ 119.627508， Vllavg范围(V)：119.388492 ~ 119.627508
5、Acuview2上和HMI上检查交流电相电压均在精度范围内，范围(V):207.63216 ~ 208.04784， Vllavg范围(V)：207.63216 ~ 208.04784</t>
  </si>
  <si>
    <t>Function_AcuRev4100_002_02_case2</t>
  </si>
  <si>
    <t>1、连接AcuRev4100电表到Acuview2上，链接状态为connected
2、交流电源输入相电压Van、Vbn、Vcn的额定电压为230V。
3、Acuview2上和HMI上检查交流电相电压是否均在精度范围内，范围(V):397.96164 ~ 398.75836， Vllavg范围(V)：397.96164 ~ 398.75836
4、交流电源输入相电压Van、Vbn、Vcn的额定电压为。
5、Acuview2上和HMI上检查交流电相电压是否均在精度范围内347，范围(V):600.402996 ~ 601.605004， Vllavg范围(V)：600.402996 ~ 601.605004</t>
  </si>
  <si>
    <t>3、Acuview2上和HMI上检查交流电相电压均在精度范围内，范围(V):397.96164 ~ 398.75836， Vllavg范围(V)：397.96164 ~ 398.75836
5、Acuview2上和HMI上检查交流电相电压均在精度范围内347，范围(V):600.402996 ~ 601.605004， Vllavg范围(V)：600.402996 ~ 601.605004</t>
  </si>
  <si>
    <t>Function_AcuRev4100_002_02_case3</t>
  </si>
  <si>
    <t>交流电Van、Vbn、Vcn均输入电压220V和380V,测量Vab，Vac、Vbc、Vllavg精度均满足要求0.1%</t>
  </si>
  <si>
    <t>1、连接AcuRev4100电表到Acuview2上，链接状态为connected
2、交流电源输入相电压Van、Vbn、Vcn的额定电压为220V。
3、Acuview2上和HMI上检查交流电相电压是否均在精度范围内，范围(V):380.65896 ~ 381.42104， Vllavg范围(V)：380.65896 ~ 381.42104
4、交流电源输入相电压Van、Vbn、Vcn的额定电压为380V。
5、Acuview2上和HMI上检查交流电相电压是否均在精度范围内，范围(V):657.50184 ~ 658.81816， Vllavg范围(V)：657.50184 ~ 658.81816</t>
  </si>
  <si>
    <t>3、Acuview2上和HMI上检查交流电相电压均在精度范围内，范围(V):380.65896 ~ 381.42104， Vllavg范围(V)：380.65896 ~ 381.42104
5、Acuview2上和HMI上检查交流电相电压均在精度范围内，范围(V):657.50184 ~ 658.81816， Vllavg范围(V)：657.50184 ~ 658.81816</t>
  </si>
  <si>
    <t>Function_AcuRev4100_002_02_case4</t>
  </si>
  <si>
    <t>交流电Van、Vbn、Vcn均输入电压100V和200V,测量Vab，Vac、Vbc、Vllavg精度均满足要求0.1%</t>
  </si>
  <si>
    <t>1、连接AcuRev4100电表到Acuview2上，链接状态为connected
2、交流电源输入相电压Van、Vbn、Vcn的额定电压为100V。
3、Acuview2上和HMI上检查交流电相电压是否均在精度范围内，范围(V):173.0268 ~ 173.3732， Vllavg范围(V)：173.0268 ~ 173.3732
4、交流电源输入相电压Van、Vbn、Vcn的额定电压为200V。
5、Acuview2上和HMI上检查交流电相电压是否均在精度范围内，范围(V):346.0536 ~ 346.7464， Vllavg范围(V)：346.0536 ~ 346.7464</t>
  </si>
  <si>
    <t>3、Acuview2上和HMI上检查交流电相电压均在精度范围内，范围(V):173.0268 ~ 173.3732， Vllavg范围(V)：173.0268 ~ 173.3732
5、Acuview2上和HMI上检查交流电相电压均在精度范围内，范围(V):346.0536 ~ 346.7464， Vllavg范围(V)：346.0536 ~ 346.7464</t>
  </si>
  <si>
    <t>Function_AcuRev4100_002_02_case5</t>
  </si>
  <si>
    <t>交流电Van、Vbn、Vcn均输入电压300V和440V,测量Vab，Vac、Vbc、Vllavg精度均满足要求0.1%</t>
    <phoneticPr fontId="10" type="noConversion"/>
  </si>
  <si>
    <t>1、连接AcuRev4100电表到Acuview2上，链接状态为connected
2、交流电源输入相电压Van、Vbn、Vcn的额定电压为300V。
3、Acuview2上和HMI上检查交流电相电压是否均在精度范围内，范围(V):519.0804 ~ 520.1196， Vllavg范围(V)：519.0804 ~ 520.1196
4、交流电源输入相电压Van、Vbn、Vcn的额定电压为440V。
5、Acuview2上和HMI上检查交流电相电压是否均在精度范围内，范围(V):692.1072 ~ 693.4928， Vllavg范围(V)：692.1072 ~ 693.4928</t>
    <phoneticPr fontId="10" type="noConversion"/>
  </si>
  <si>
    <t>3、Acuview2上和HMI上检查交流电相电压均在精度范围内，范围(V):519.0804 ~ 520.1196， Vllavg范围(V)：519.0804 ~ 520.1196
5、Acuview2上和HMI上检查交流电相电压均在精度范围内，范围(V):762.1024  761.3403 ~ 762.8645 ， Vllavg范围(V)：762.1024  761.3403 ~ 762.8645</t>
    <phoneticPr fontId="10" type="noConversion"/>
  </si>
  <si>
    <t>Fault_AcuRev4100_002_02_case6</t>
  </si>
  <si>
    <t>交流电Van、Vbn、Vcn均输入电压40V和68V, 测量Vab，Vac、Vbc、Vllavg满足精度要求0.1%</t>
  </si>
  <si>
    <t>1、连接AcuRev4100电表到Acuview2上，链接状态为connected
2、交流电源输入相电压Van、Vbn、Vcn的额定电压为40V。
3、Acuview2上和HMI上检查交流电线电压是否有测量显示，满足精度要求0.1%
4、交流电源输入相电压Van、Vbn、Vcn的额定电压为68V。
5、Acuview2上和HMI上检查交流电线电压是否有测量显示,满足精度要求0.1%</t>
  </si>
  <si>
    <t>3、Acuview2上和HMI上检查交流电线电压有测量显示，满足精度要求0.1%
5、Acuview2上和HMI上检查交流电线电压有测量显示，满足精度要求0.1%</t>
  </si>
  <si>
    <t>Fault_AcuRev4100_002_02_case7</t>
  </si>
  <si>
    <t>交流电Van、Vbn、Vcn均输入启动电压10.2V、20V,电表有测量值，测量Vab，Vac、Vbc、Vllavg精度没有要求</t>
  </si>
  <si>
    <t>1、连接AcuRev4100电表到Acuview2上，链接状态为connected
2、交流电源输入相电压Van、Vbn、Vcn的额定电压为10.2V。
3、Acuview2上和HMI上检查交流电线电压是否有测量显示， 精度没有要求
4、交流电源输入相电压Van、Vbn、Vcn的额定电压为20V。
5、Acuview2上和HMI上检查交流电线电压是否有测量显示, 精度没有要求</t>
  </si>
  <si>
    <t>Fault_AcuRev4100_002_02_case8</t>
  </si>
  <si>
    <t>交流电Van、Vbn、Vcn均输入电压1V，9V,电表Vab，Vac、Vbc、Vllavg无测量值</t>
  </si>
  <si>
    <t>1、连接AcuRev4100电表到Acuview2上，链接状态为connected
2、交流电源输入相电压Van、Vbn、Vcn的额定电压为1V。
3、Acuview2上和HMI上检查交流电线电压是否为0V
4、交流电源输入相电压Van、Vbn、Vcn的额定电压为9V。
5、Acuview2上和HMI上检查交流电线电压是否为0V</t>
  </si>
  <si>
    <t>3、Acuview2上和HMI上检查交流电线电压为0V
5、Acuview2上和HMI上检查交流电线电压为0V</t>
  </si>
  <si>
    <t>Fault_AcuRev4100_002_02_case8_1</t>
  </si>
  <si>
    <t>交流电Van、Vbn、Vcn均输入电压0V,电表Vab，Vac、Vbc、Vllavg测量值为0V</t>
  </si>
  <si>
    <t>1、连接AcuRev4100电表到Acuview2上，链接状态为connected
2、交流电源输入相电压Van、Vbn、Vcn的额定电压为0V。
3、Acuview2上和HMI上检查交流电线电压是否为0V</t>
  </si>
  <si>
    <t>3、Acuview2上和HMI上检查交流电线电压为0V</t>
  </si>
  <si>
    <t>Function_AcuRev4100_002_02_case9</t>
  </si>
  <si>
    <t>1、连接AcuRev4100电表到Acuview2上，链接状态为connected
2、交流电源输入相电压Van、Vbn、Vcn的电压为(69V,120V,230V), θA、θB、θC分别为(0°、60°、120°)。
3、Acuview2上和HMI上检查交流电相电压是否均在精度范围内，</t>
  </si>
  <si>
    <t>3、Acuview2上和HMI上检查交流电相电压均在精度范围内
备注: 也可以使用excel公式计算任意角度和电压的线电压。</t>
  </si>
  <si>
    <t>Function_AcuRev4100_002_02_case10</t>
  </si>
  <si>
    <t>交流电Van、Vbn、Vcn输入额定电压为(347V,100V,220V),θA、θB、θC分别为(0°、45°、180°)测量Vab，Vac、Vbc、Vllavg满足精度要求0.1%</t>
    <phoneticPr fontId="10" type="noConversion"/>
  </si>
  <si>
    <t>1、连接AcuRev4100电表到Acuview2上，链接状态为connected
2、交流电源输入相电压Van、Vbn、Vcn的电压为(347V,100V,220V), θA、θB、θC分别为(0°、45°、180°)。
3、Acuview2上和HMI上检查交流电相电压是否均在精度范围内，</t>
  </si>
  <si>
    <t>Function_AcuRev4100_002_02_case11</t>
  </si>
  <si>
    <t>交流电Van、Vbn、Vcn输入额定电压为(220V,380V,440V),θA、θB、θC分别为(0°、50°、300°)测量Vab，Vac、Vbc、Vllavg满足精度要求0.1%</t>
    <phoneticPr fontId="10" type="noConversion"/>
  </si>
  <si>
    <t>1、连接AcuRev4100电表到Acuview2上，链接状态为connected
2、交流电源输入相电压Van、Vbn、Vcn的电压为(220V,380V,440V),θA、θB、θC分别为(0°、50°、300°)。
3、Acuview2上和HMI上检查交流电相电压是否均在精度范围内，</t>
    <phoneticPr fontId="10" type="noConversion"/>
  </si>
  <si>
    <t>Fault_AcuRev4100_002_02_case11_1</t>
  </si>
  <si>
    <t>交流电Van、Vbn、Vcn输入额定电压为(0V,0V,0V),φA、φB、φC分别为(0°、240°、120°)测量Vab，Vac、Vbc、Vllavg测量值全为0V</t>
  </si>
  <si>
    <t xml:space="preserve">1、连接AcuRev4100电表到Acuview2上，链接状态为connected
2、交流电源输入相电压Van、Vbn、Vcn的电压为(0V,0V,0V),θA、θB、θC分别为(0°、240°、120°)。
3、Acuview2上和HMI上检查交流电相电压是否均在精度范围内，
</t>
  </si>
  <si>
    <t>3、Acuview2上和HMI上检查交流电相电压均在精度范围内
Vab:0
Vac:0
Vbc:0
Vllavg：0</t>
  </si>
  <si>
    <t>Fault_AcuRev4100_002_02_case11_2</t>
    <phoneticPr fontId="10" type="noConversion"/>
  </si>
  <si>
    <t>交流电Van、Vbn、Vcn输入额定电压为(120V,120V,120V),逆序，且φA、φB、φC分别为(0°、240°、120°)，Vab、Vac、Vbc、Vllavg测量值满足精度要求0.1%</t>
    <phoneticPr fontId="10" type="noConversion"/>
  </si>
  <si>
    <t>1、连接AcuRev4100电表到Acuview2上，链接状态为connected
2、交流电源输入相电压Van、Vbn、Vcn的额定电压为120V。
3、电表相序设置为ACB，φA、φB、φC分别为(0°、240°、120°)
4、Acuview2上和HMI上检查交流电相电压Vab、Vac、Vbc、Vllavg测量值是否满足精度要求0.1%</t>
    <phoneticPr fontId="10" type="noConversion"/>
  </si>
  <si>
    <t>4、Acuview2上和HMI上检查交流电相电压均在精度范围内，范围(V):207.6383 ~ 208.0539， Vlnavg范围(V)：207.6383 ~ 208.0539</t>
    <phoneticPr fontId="10" type="noConversion"/>
  </si>
  <si>
    <t>Fault_AcuRev4100_002_02_case11_3</t>
    <phoneticPr fontId="10" type="noConversion"/>
  </si>
  <si>
    <t>1、连接AcuRev4100电表到Acuview2上，链接状态为connected
2、交流电源输入相电压Van、Vbn、Vcn的额定电压为120V。
3、电表相序设置为ACB，φA、φB、φC分别为(0°、260°、140°)
4、Acuview2上和HMI上检查交流电相电压Vab、Vac、Vbc、Vllavg测量值是否满足精度要求0.1%</t>
    <phoneticPr fontId="10" type="noConversion"/>
  </si>
  <si>
    <t>Fault_AcuRev4100_002_02_case11_4</t>
    <phoneticPr fontId="10" type="noConversion"/>
  </si>
  <si>
    <t>1、连接AcuRev4100电表到Acuview2上，链接状态为connected
2、交流电源输入相电压Van、Vbn、Vcn的额定电压为120V。
3、电表相序设置为ABC，φA、φB、φC分别为(0°、260°、140°)
4、Acuview2上和HMI上检查交流电相电压Vab、Vac、Vbc、Vllavg测量值是否满足精度要求0.1%</t>
    <phoneticPr fontId="10" type="noConversion"/>
  </si>
  <si>
    <t>Function_AcuRev4100_003_01_case1</t>
    <phoneticPr fontId="10" type="noConversion"/>
  </si>
  <si>
    <t>CT选型5A/333mV，3E4WY，输入三路电流分别为(5A、5A，5A)，在上位机上分别配置为对应A相、B相、C相，测量Ia,Ib,Ic,Iavg满足精度0.1%</t>
  </si>
  <si>
    <t>1、连接AcuRev4100电表到Acuview2上，链接状态为connected
2、输入三路电流分别为(5A、5A，5A)，在上位机上分别配置为对应A相、B相、C相
3、Acuview2上和HMI上检查交流电相电流是否均在精度0.1%范围内</t>
  </si>
  <si>
    <t>3、Acuview2上和HMI上检查交流电相电流均在精度范围内
Ia：	4.995	~	5.005
Ib:	4.995	~	5.005
Ic:	4.995	~	5.005
Iavg:	4.995	~	5.005</t>
  </si>
  <si>
    <t>Function_AcuRev4100_003_01_case2</t>
    <phoneticPr fontId="10" type="noConversion"/>
  </si>
  <si>
    <t>CT选型5A/333mV，输入三路电流分别为(3.5A、4.5A，4.9A),在上位机上分别配置为对应A相、B相、C相，测量Ia,Ib,Ic,Iavg满足精度0.1%</t>
  </si>
  <si>
    <t>1、连接AcuRev4100电表到Acuview2上，链接状态为connected
2、输入三路电流分别为(3.5A、4.5A，4.9A),在上位机上分别配置为对应A相、B相、C相。
3、Acuview2上和HMI上检查交流电相电流是否均在精度0.1%范围内</t>
  </si>
  <si>
    <t>3、Acuview2上和HMI上检查交流电相电流均在精度范围内
Ia：	3.4965	~	3.5035
Ib:	4.4955	~	4.5045
Ic:	4.8951	~	4.9049
Iavg:	4.2957	~	4.3043</t>
    <phoneticPr fontId="10" type="noConversion"/>
  </si>
  <si>
    <t>Function_AcuRev4100_003_01_case3</t>
  </si>
  <si>
    <t>CT选型5A/333mV，输入三路电流分别为3A、3A，3A,在上位机上分别配置为对应A相、B相、C相，测量Ia,Ib,Ic,Iavg满足精度0.1%</t>
  </si>
  <si>
    <t>1、连接AcuRev4100电表到Acuview2上，链接状态为connected
2、输入三路电流分别为3A、3A，3A,在上位机上分别配置为对应A相、B相、C相。
3、Acuview2上和HMI上检查交流电相电流是否均在精度0.1%范围内</t>
  </si>
  <si>
    <t>3、Acuview2上和HMI上检查交流电相电流均在精度范围内
Ia：	2.997	~	3.003
Ib:	2.997	~	3.003
Ic:	2.997	~	3.003</t>
  </si>
  <si>
    <t>Function_AcuRev4100_003_01_case4</t>
    <phoneticPr fontId="10" type="noConversion"/>
  </si>
  <si>
    <t>CT选型5A/333mV，输入三路电流分别为5A、5A，5A,在上位机上分别配置为对应A相、B相、C相，测量Ia,Ib,Ic,Iavg满足精度0.1%</t>
  </si>
  <si>
    <t>1、连接AcuRev4100电表到Acuview2上，链接状态为connected
2、输入三路电流分别为5A、5A，5A,在上位机上分别配置为对应A相、B相、C相。
3、Acuview2上和HMI上检查交流电相电流是否均在精度0.1%范围内</t>
  </si>
  <si>
    <t>Function_AcuRev4100_003_01_case5</t>
  </si>
  <si>
    <t>CT选型5A/333mV，输入一路电流分别为(3A)，在上位机均配置为对应A相，测量Ia,Ib,Ic,Iavg满足精度0.1%</t>
  </si>
  <si>
    <t>1、连接AcuRev4100电表到Acuview2上，链接状态为connected
2、输入一路电流分别为(3A)，在上位机均配置为对应A相
3、Acuview2上和HMI上检查交流电相电流是否均在精度0.1%范围内</t>
  </si>
  <si>
    <t>3、Acuview2上和HMI上检查交流电相电流均在精度范围内
Ia：	2.997	~	3.003
Ib:	0	~	0
Ic:	0	~	0
Iavg:	0.999	~	1.001</t>
  </si>
  <si>
    <t>Function_AcuRev4100_003_01_case6</t>
  </si>
  <si>
    <t>CT选型5A/333mV，输入两路电流分别为(4A、5A),在上位机均配置为对应B相和C相，测量Ia,Ib,Ic,Iavg满足精度0.1%</t>
  </si>
  <si>
    <t>1、连接AcuRev4100电表到Acuview2上，链接状态为connected
2、输入两路电流分别为(4A、5A),在上位机均配置为对应B相和C相。
3、Acuview2上和HMI上检查交流电相电流是否均在精度0.1%范围内</t>
  </si>
  <si>
    <t>Function_AcuRev4100_003_01_case7</t>
  </si>
  <si>
    <t>CT选型5A/333mV，输入三路电流范围外(2.5A、2A，1A)，在上位机上分别配置为对应A相、B相、C相，测量Ia,Ib,Ic,Iavg满足精度0.1%</t>
  </si>
  <si>
    <t>1、连接AcuRev4100电表到Acuview2上，链接状态为connected
2、输入三路电流范围外(2.5A、2A，1A)，在上位机上分别配置为对应A相、B相、C相
3、Acuview2上和HMI上检查交流电相电流是否均在精度0.1%范围内</t>
  </si>
  <si>
    <t>3、Acuview2上和HMI上检查交流电相电流均在精度范围内
Ia：	2.4975	~	2.5025
Ib:	1.998	~	2.002
Ic:	0.999	~	1.001
Iavg:	1.8315	~	1.835166667</t>
  </si>
  <si>
    <t>Function_AcuRev4100_003_01_case8</t>
    <phoneticPr fontId="10" type="noConversion"/>
  </si>
  <si>
    <t>CT选型5A/333mV，输入三路电流(0.3A、0.2A、0.1A)，在上位机上分别配置为对应A相、B相、C相，测量Ia,Ib,Ic,Iavg满足精度0.1%</t>
    <phoneticPr fontId="10" type="noConversion"/>
  </si>
  <si>
    <t>1、连接AcuRev4100电表到Acuview2上，链接状态为connected
2、输入三路电流(0.3A、0.2A、0.1A)，在上位机上分别配置为对应A相、B相、C相。
3、Acuview2上和HMI上检查交流电相电流是否均在精度0.1%范围内</t>
    <phoneticPr fontId="10" type="noConversion"/>
  </si>
  <si>
    <t>3、Acuview2上和HMI上检查交流电相电流均在精度0.1%范围内
Ia：	0.2997	~	0.3003
Ib:	0.1998	~	0.2002
Ic:	0.0999	~	0.1001
Iavg:	0.1998	~	0.2002</t>
    <phoneticPr fontId="10" type="noConversion"/>
  </si>
  <si>
    <t>Fault_AcuRev4100_003_01_case9</t>
    <phoneticPr fontId="10" type="noConversion"/>
  </si>
  <si>
    <t>1、连接AcuRev4100电表到Acuview2上，链接状态为connected
2、输入三路电流(0.005A、0.03A、0.00375A)，在上位机上分别配置为对应A相、B相、C相。
3、Acuview2上和HMI上检查交流电相电流是否均在精度0.1%范围内</t>
    <phoneticPr fontId="10" type="noConversion"/>
  </si>
  <si>
    <t>Fault_AcuRev4100_003_01_case9_1</t>
  </si>
  <si>
    <t>CT选型5A/333mV，输入三路电流(0.003A、0.00370A、0.00373A)，在上位机上分别配置为对应A相、B相、C相，测量Ia,Ib,Ic,Iavg測量值为0</t>
  </si>
  <si>
    <t>1、连接AcuRev4100电表到Acuview2上，链接状态为connected
2、输入三路电流(0.003A、0.00370A、0.00373A)，在上位机上分别配置为对应A相、B相、C相。
3、Acuview上检查交流电相电流是否均均为0A</t>
  </si>
  <si>
    <t>3、Acuview2上和HMI上检查交流电相电流均不为0A，不要求精度</t>
  </si>
  <si>
    <t>Fault_AcuRev4100_003_01_case9_2</t>
  </si>
  <si>
    <t>CT选型5A/333mV，输入三路电流(0A、0A、0A)，在上位机上分别配置为对应A相、B相、C相，测量Ia,Ib,Ic,Iavg測量值为0</t>
  </si>
  <si>
    <t>1、连接AcuRev4100电表到Acuview2上，链接状态为connected
2、输入三路电流(0A、0A、0A)，在上位机上分别配置为对应A相、B相、C相。
3、Acuview2上和HMI上检查交流电相电流是否均均为0A</t>
  </si>
  <si>
    <t>3、Acuview2上和HMI上检查交流电相电流均均为0A</t>
  </si>
  <si>
    <t>Function_AcuRev4100_003_01_case9_3</t>
    <phoneticPr fontId="10" type="noConversion"/>
  </si>
  <si>
    <t>CT选型5A/333mV，输入三路电流(0.05A、0.2A、0.25A)，在上位机上分别配置为对应A相、B相、C相，测量Ia,Ib,Ic,Iavg满足精度0.1%</t>
    <phoneticPr fontId="10" type="noConversion"/>
  </si>
  <si>
    <t>1、连接AcuRev4100电表到Acuview2上，链接状态为connected
2、输入三路电流(0.05A、0.2A、0.25A)，在上位机上分别配置为对应A相、B相、C相。
3、Acuview2上和HMI上检查交流电相电流是否均在精度0.1%范围内</t>
  </si>
  <si>
    <t xml:space="preserve">3、Acuview2上和HMI上检查交流电相电流均在精度0.1%范围内
Ia：	0.01499 	~	0.01502 
Ib:	0.01499 	~	0.01502 
Ic:	0.01499 	~	0.01502 
Iavg:	0.01499 	~	0.01502 </t>
    <phoneticPr fontId="10" type="noConversion"/>
  </si>
  <si>
    <t>Function_AcuRev4100_003_01_case9_4</t>
  </si>
  <si>
    <t>CT选型5A/333mV，输入三路电流分别为(3A、4A，5A)，顺序ABC，相角设置为(0°、240°、120°)，在上位机上分别配置为对应A相、B相、C相，测量Ia,Ib,Ic,Iavg满足精度0.1%</t>
  </si>
  <si>
    <t>1、连接AcuRev4100电表到Acuview2上，链接状态为connected
2、输入三路电流分别为(3A、4A，5A)，在上位机上分别配置为对应A相、B相、C相
3、电表上设置为顺序ABC， 相角设置为(0°、240°、120°)
4、Acuview2上和HMI上检查交流电相电流是否均在精度0.1%范围内</t>
    <phoneticPr fontId="10" type="noConversion"/>
  </si>
  <si>
    <t>4、Acuview2上和HMI上检查交流电相电流均在精度范围内
Ia：	2.997	~	3.003
Ib:	3.996	~	4.004
Ic:	4.995	~	5.005
Iavg:	3.996	~	4.004</t>
    <phoneticPr fontId="10" type="noConversion"/>
  </si>
  <si>
    <t>Function_AcuRev4100_003_01_case9_5</t>
    <phoneticPr fontId="10" type="noConversion"/>
  </si>
  <si>
    <t>CT选型5A/333mV，输入三路电流分别为(1A、2A，3A)，顺序ABC，相角设置为(0°、120°、240°)，在上位机上分别配置为对应A相、B相、C相，测量Ia,Ib,Ic,Iavg满足精度0.1%</t>
    <phoneticPr fontId="10" type="noConversion"/>
  </si>
  <si>
    <t>1、连接AcuRev4100电表到Acuview2上，链接状态为connected
2、输入三路电流分别为(1A、2A，3A)，在上位机上分别配置为对应A相、B相、C相
3、电表上设置为顺序ABC，相角设置为(0°、120°、240°)
4、Acuview2上和HMI上检查交流电相电流是否均在精度0.1%范围内</t>
  </si>
  <si>
    <t>4、Acuview2上和HMI上检查交流电相电流均在精度范围内
Ia： 0.9990 ~ 1.0010 
Ib: 1.9980 ~ 2.0020 
Ic: 2.9970 ~ 3.0030 
Iavg: 1.9980 ~ 2.0020</t>
    <phoneticPr fontId="10" type="noConversion"/>
  </si>
  <si>
    <t>Function_AcuRev4100_003_01_case9_6</t>
    <phoneticPr fontId="10" type="noConversion"/>
  </si>
  <si>
    <t>CT选型5A/333mV，输入三路电流分别为(1A、2A，3A)，顺序ABC，相角设置为(0°、260°、140°)，在上位机上分别配置为对应A相、B相、C相，测量Ia,Ib,Ic,Iavg满足精度0.1%</t>
    <phoneticPr fontId="10" type="noConversion"/>
  </si>
  <si>
    <t>1、连接AcuRev4100电表到Acuview2上，链接状态为connected
2、输入三路电流分别为(1A、2A，3A)，在上位机上分别配置为对应A相、B相、C相
3、电表上设置为顺序ABC，相角设置为(0°、260°、140°)
4、Acuview2上和HMI上检查交流电相电流是否均在精度0.1%范围内</t>
  </si>
  <si>
    <t>Function_AcuRev4100_003_01_case9_7</t>
    <phoneticPr fontId="10" type="noConversion"/>
  </si>
  <si>
    <t>CT选型5A/333mV，输入三路电流分别为(3A、4A，5A)，顺序ABC，相角设置为(0°、240°、120°)，电表设置电流为Negative，在上位机上分别配置为对应A相、B相、C相，测量Ia,Ib,Ic,Iavg满足精度0.1%</t>
  </si>
  <si>
    <t>1、连接AcuRev4100电表到Acuview2上，链接状态为connected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</si>
  <si>
    <t>5、Acuview2上和HMI上检查交流电相电流均在精度范围内
Ia： 2.997 ~ 3.003
Ib: 3.996 ~ 4.004
Ic: 4.995 ~ 5.005
Iavg: 3.996 ~ 4.004
6、Acuview2上和HMI上检查交流电相电流均在精度范围内
Ia：2.997 ~ 3.003
Ib: 3.996 ~ 4.004
Ic: 4.995 ~ 5.005
Iavg: 3.996 ~ 4.004
用户通道&amp;输入通道&amp;系统参数PF 为-1
用户通道&amp;输入通道&amp;系统参数有功功率P为负数</t>
  </si>
  <si>
    <t>Function_AcuRev4100_003_01_case9_8</t>
    <phoneticPr fontId="10" type="noConversion"/>
  </si>
  <si>
    <t>CT选型RCT (50HZ/100mv)，3e3p4w y输入三路电流分别为(1.5A、1.5A，1.5A)，顺序ABC，相角设置为(0°、240°、120°)，电表设置电流为Negative，在上位机上分别配置为对应A相、B相、C相，测量Ia,Ib,Ic,Iavg,  input1~3满足精度0.1%</t>
  </si>
  <si>
    <t>1、连接AcuRev4100电表到Acuview2上，链接状态为connected
2、输入三路电流分别为(1.5A、1.5A，1.5A)，在上位机上分别配置为对应A相、B相、C相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备注: 使用5A/333mV CT 代替RCT，显示倍数为66.6</t>
  </si>
  <si>
    <t xml:space="preserve">5、Acuview2上和HMI上检查交流电相电流均在精度范围内
Ia：	99.8999 	~	100.0999 
Ib:	99.8999 	~	100.0999 
Ic:	99.8999 	~	100.0999  
Iavg:	99.8999 	~	100.0999  
I_in1:	99.8999001	~	100.0999 
I_in2:	99.8999 	~	100.0999  
I_in3:	99.8999 	~	100.0999  
I_user1: 66.5666667	~	66.6999  6、Acuview2上和HMI上检查交流电相电流均在精度范围内
Ia：-99.8999 	~	-100.0999 
Ib:	-99.8999 	~	-100.0999
Ic:	-99.8999 	~	-100.0999 
Iavg:	-99.8999 	~	-100.0999 
I_in1:	 -99.8999001	~	-100.0999 
I_in2:	 -99.8999 	~	-100.0999 
I_in3:	 -99.8999 	~	-100.0999
I_user1: -99.8999 	~	-100.0999 </t>
  </si>
  <si>
    <t>Function_AcuRev4100_003_01_case9_9</t>
    <phoneticPr fontId="10" type="noConversion"/>
  </si>
  <si>
    <t>CT选型RCT (50HZ/100mv)，3e3p4w y输入三路电流分别为(0.4A、0.2A，0.1A)，顺序ABC，相角设置为(0°、240°、120°)，电表设置电流为Negative，在上位机上分别配置为对应A相、B相、C相，测量Ia,Ib,Ic,Iavg,  input1~3满足精度0.1%</t>
  </si>
  <si>
    <t>1、连接AcuRev4100电表到Acuview2上，链接状态为connected
2、输入三路电流分别为(0.4A、0.2A，0.1A)，在上位机上分别配置为对应A相、B相、C相
3、电表上设置为顺序ABC， 相角设置为(0°、240°、120°)
4、电表设置电流方向为Positive
5、Acuview2上和HMI上检查交流电相电流是否均在精度0.1%范围内
备注: 使用5A/333mV CT 代替RCT，显示倍数为66.6</t>
  </si>
  <si>
    <t xml:space="preserve">5、Acuview2上和HMI上检查交流电相电流均在精度范围内
Ia：	26.6134 	~	26.6666 
Ib:	13.3067 	~	13.3333 
Ic:	6.6533 	~	6.6667 
Iavg:	15.5089 	~	15.5400 
I_in1:	26.61336	~	26.6666 
I_in2:	13.30668	~	13.3333 
I_in3:	6.65334	~	6.6667 
I_user1:	15.52446	~	15.5555   </t>
    <phoneticPr fontId="10" type="noConversion"/>
  </si>
  <si>
    <t>Function_AcuRev4100_003_01_case9_10</t>
    <phoneticPr fontId="10" type="noConversion"/>
  </si>
  <si>
    <t>CT选型RCT (60HZ/120mv)，3e3p4w y输入三路电流分别为(1.5A、1.5A，1.5A)，顺序ABC，相角设置为(0°、240°、120°)，电表设置电流为Negative，在上位机上分别配置为对应A相、B相、C相，测量Ia,Ib,Ic,Iavg,  input1~3满足精度0.1%</t>
  </si>
  <si>
    <t>Function_AcuRev4100_003_01_case9_11</t>
    <phoneticPr fontId="10" type="noConversion"/>
  </si>
  <si>
    <t>CT选型RCT (60HZ/120mv)，3e3p4w y输入三路电流分别为(0.4A、0.2A，0.1A)，顺序ABC，相角设置为(0°、240°、120°)，电表设置电流为Negative，在上位机上分别配置为对应A相、B相、C相，测量Ia,Ib,Ic,Iavg,  input1~3满足精度0.1%</t>
    <phoneticPr fontId="10" type="noConversion"/>
  </si>
  <si>
    <t xml:space="preserve">5、Acuview2上和HMI上检查交流电相电流均在精度范围内
Ia：	26.6134 	~	26.6666 
Ib:	13.3067 	~	13.3333 
Ic:	6.6533 	~	6.6667 
Iavg:	15.5089 	~	15.5400 
I_in1:	26.61336	~	26.6666 
I_in2:	13.30668	~	13.3333 
I_in3:	6.65334	~	6.6667 
I_user1:	15.52446	~	15.5555   </t>
  </si>
  <si>
    <t>Function_AcuRev4100_003_01_case9_12</t>
  </si>
  <si>
    <t>CT选型RCT16-100A类型，3e3p4w y输入三路电流分别为(10A、10A，10A)，顺序ABC，相角设置为(0°、240°、120°)，在上位机上分别配置为对应A相、B相、C相，测量Ia,Ib,Ic,Iavg,  input1~3满足精度0.1%</t>
  </si>
  <si>
    <t>1、连接AcuRev4100电表到Acuview2上，链接状态为connected
2、输入三路电流分别为(10A、10A，10A)，在上位机上分别配置为对应A相、B相、C相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</si>
  <si>
    <t>5、Acuview2上和HMI上检查交流电相电流均在精度范围内</t>
  </si>
  <si>
    <t>Function_AcuRev4100_003_01_case9_13</t>
  </si>
  <si>
    <t>CT选型RCT16-500A类型，3e3p4w y输入三路电流分别为(25A、25A，25A)，顺序ABC，相角设置为(0°、240°、120°)，在上位机上分别配置为对应A相、B相、C相，测量Ia,Ib,Ic,Iavg,  input1~3满足精度0.1%</t>
  </si>
  <si>
    <t>1、连接AcuRev4100电表到Acuview2上，链接状态为connected
2、输入三路电流分别为(25A、25A，25A)，在上位机上分别配置为对应A相、B相、C相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</si>
  <si>
    <t>Function_AcuRev4100_003_01_case9_14</t>
  </si>
  <si>
    <t>CT选型RCT16-1000A类型，3e3p4w y输入三路电流分别为(50A、50A，50A)，顺序ABC，相角设置为(0°、240°、120°)，在上位机上分别配置为对应A相、B相、C相，测量Ia,Ib,Ic,Iavg,  input1~3满足精度0.1%</t>
  </si>
  <si>
    <t>1、连接AcuRev4100电表到Acuview2上，链接状态为connected
2、输入三路电流分别为(50A、50A，50A)，在上位机上分别配置为对应A相、B相、C相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t>
  </si>
  <si>
    <t>Function_AcuRev4100_003_01_case10</t>
  </si>
  <si>
    <t>CT选型20A/100mA，输入三路电流分别为(3A、5A，10A)，,在上位机上分别配置为对应A相、B相、C相，测量Ia,Ib,Ic,Iavg满足精度0.1%</t>
    <phoneticPr fontId="10" type="noConversion"/>
  </si>
  <si>
    <t>1、连接AcuRev4100电表到Acuview2上，链接状态为connected
2、输入三路电流分别为(3A、5A，10A)，,在上位机上分别配置为对应A相、B相、C相。
3、Acuview2上和HMI上检查交流电相电流是否均在精度0.1%范围内</t>
    <phoneticPr fontId="10" type="noConversion"/>
  </si>
  <si>
    <t>3、Acuview2上和HMI上检查交流电相电流均在精度范围内
Ia：	2.997	~	3.003
Ib:	4.995	~	5.005
Ic:	9.99	~	10.01
Iavg:	5.994	~	6.006</t>
  </si>
  <si>
    <t>Function_AcuRev4100_003_01_case11</t>
  </si>
  <si>
    <t>CT选型20A/100mA，3E4WY，输入三路电流分别为(12A、15A，20A),在上位机上分别配置为对应A相、B相、C相，测量Ia,Ib,Ic,Iavg满足精度0.1%</t>
  </si>
  <si>
    <t>1、连接AcuRev4100电表到Acuview2上，链接状态为connected
2、输入三路电流分别为(12A、15A，20A)，在上位机上分别配置为对应A相、B相、C相。
3、Acuview2上和HMI上检查交流电相电流是否均在精度0.1%范围内</t>
  </si>
  <si>
    <t>3、Acuview2上和HMI上检查交流电相电流均在精度范围内
Ia：	14.985	~	15.015
Ib:	14.985	~	15.015
Ic:	14.985	~	15.015
Iavg:	14.985	~	15.015</t>
  </si>
  <si>
    <t>Function_AcuRev4100_003_01_case12</t>
  </si>
  <si>
    <t>CT选型20A/100mA，输入三路电流分别为4A、4A，4A,在上位机上分别配置为对应A相、B相、C相，测量Ia,Ib,Ic,Iavg满足精度0.1%</t>
  </si>
  <si>
    <t>1、连接AcuRev4100电表到Acuview2上，链接状态为connected
2、输入三路电流分别为4A、4A，4A,在上位机上分别配置为对应A相、B相、C相。
3、Acuview2上和HMI上检查交流电相电流是否均在精度0.1%范围内。</t>
  </si>
  <si>
    <t>3、Acuview2上和HMI上检查交流电相电流均在精度范围内
Ia：	3.996	~	4.004
Ib:	3.996	~	4.004
Ic:	3.996	~	4.004
Iavg:	3.996	~	4.004</t>
  </si>
  <si>
    <t>Function_AcuRev4100_003_01_case13</t>
  </si>
  <si>
    <t>CT选型20A/100mA，输入三路电流分别为15A、15A，15A,在上位机上分别配置为对应A相、B相、C相，测量Ia,Ib,Ic,Iavg满足精度0.1%</t>
  </si>
  <si>
    <t>1、连接AcuRev4100电表到Acuview2上，链接状态为connected
2、输入三路电流分别为15A、15A，15A,在上位机上分别配置为对应A相、B相、C相。
3、Acuview2上和HMI上检查交流电相电流是否均在精度0.1%范围内。</t>
  </si>
  <si>
    <t>3、Acuview2上和HMI上检查交流电相电流均在精度范围内
Ia：	14.985	~	15.015
Ib:	14.985	~	15.015
Ic:	14.985	~	15.015
Iavg:	14.985	~	15.015</t>
    <phoneticPr fontId="10" type="noConversion"/>
  </si>
  <si>
    <t>Function_AcuRev4100_003_01_case14</t>
  </si>
  <si>
    <t>CT选型20A/100mA，输入一路电流分别为(15A)，在上位机均配置为对应A相，测量Ia,Ib,Ic,Iavg满足精度0.1%</t>
  </si>
  <si>
    <t>1、连接AcuRev4100电表到Acuview2上，链接状态为connected
2、输入一路电流分别为(15A)，在上位机均配置为对应A相。
3、Acuview2上和HMI上检查交流电相电流是否均在精度0.1%范围内。</t>
  </si>
  <si>
    <t>3、Acuview2上和HMI上检查交流电相电流均在精度范围内
Ia：14.985 ~ 15.015
Ib: 0 ~ 0
Ic: 0 ~  0
Iavg: 4.995 ~ 5.005</t>
    <phoneticPr fontId="10" type="noConversion"/>
  </si>
  <si>
    <t>Function_AcuRev4100_003_01_case15</t>
  </si>
  <si>
    <t>CT选型20A/100mA，输入两路电流分别为(10A、20A),在上位机均配置为对应B相和C相，测量Ia,Ib,Ic,Iavg满足精度0.1%</t>
  </si>
  <si>
    <t>1、连接AcuRev4100电表到Acuview2上，链接状态为connected
2、输入两路电流分别为(10A、20A),在上位机均配置为对应B相和C相
3、Acuview2上和HMI上检查交流电相电流是否均在精度0.1%范围内。</t>
  </si>
  <si>
    <t>3、Acuview2上和HMI上检查交流电相电流均在精度范围内
Ia：	0	~	0
Ib:	9.99	~	10.01
Ic:	19.98	~	20.02
Iavg:	9.99	~	10.01</t>
    <phoneticPr fontId="10" type="noConversion"/>
  </si>
  <si>
    <t>Function_AcuRev4100_003_01_case16</t>
  </si>
  <si>
    <t>CT选型20A/100mA，输入三路电流范围外(2.5A、2A，1A)，在上位机上分别配置为对应A相、B相、C相，测量Ia,Ib,Ic,Iavg满足精度0.1%</t>
  </si>
  <si>
    <t>1、连接AcuRev4100电表到Acuview2上，链接状态为connected
2、输入三路电流范围外(2.5A、2A，1A)，在上位机上分别配置为对应A相、B相、C相。
3、Acuview2上和HMI上检查交流电相电流是否均在精度0.1%范围内。</t>
  </si>
  <si>
    <t xml:space="preserve">3、Acuview2上和HMI上检查交流电相电流均在精度范围内
Ia：	2.49750 	~	2.50250 
Ib:	1.99800 	~	2.00200 
Ic:	0.99900 	~	1.00100 
Iavg:	1.83150 	~	1.83517 </t>
  </si>
  <si>
    <t>Function_AcuRev4100_003_01_case17</t>
  </si>
  <si>
    <t>CT选型20A/100mA，输入三路电流(0.2A、0.5A、1A)，在上位机上分别配置为对应A相、B相、C相，测量Ia,Ib,Ic,Iavg满足精度0.1%</t>
    <phoneticPr fontId="10" type="noConversion"/>
  </si>
  <si>
    <t>1、连接AcuRev4100电表到Acuview2上，链接状态为connected
2、输入三路电流(0.2A、0.5A、1A)，在上位机上分别配置为对应A相、B相、C相。
3、Acuview2上和HMI上检查交流电相电流是否均在精度0.1%范围内。</t>
    <phoneticPr fontId="10" type="noConversion"/>
  </si>
  <si>
    <t>3、Acuview2上和HMI上检查交流电相电流均在精度0.1%范围内</t>
  </si>
  <si>
    <t>Fault_AcuRev4100_003_01_case18</t>
    <phoneticPr fontId="10" type="noConversion"/>
  </si>
  <si>
    <t>CT选型20A/100mA，输入三路电流(0.025A、0.10A、0.15A)，在上位机上分别配置为对应A相、B相、C相，测量Ia,Ib,Ic,Iavg无精度要求</t>
    <phoneticPr fontId="10" type="noConversion"/>
  </si>
  <si>
    <t>1、连接AcuRev4100电表到Acuview2上，链接状态为connected
2、输入三路电流(0.025A、0.10A、0.15A)，在上位机上分别配置为对应A相、B相、C相。
3、Acuview2上和HMI上检查交流电相电流有数据，无精度要求, 不为0A</t>
    <phoneticPr fontId="10" type="noConversion"/>
  </si>
  <si>
    <t>3、Acuview2上和HMI上检查交流电相电流Ia,Ib,Ic,Iavg值无精度要求, 不为0A</t>
    <phoneticPr fontId="10" type="noConversion"/>
  </si>
  <si>
    <t>Fault_AcuRev4100_003_01_case18_2</t>
  </si>
  <si>
    <t>CT选型20A/100mA，输入三路电流(0A、0A、0A)，在上位机上分别配置为对应A相、B相、C相，测量Ia,Ib,Ic,Iavg值为0</t>
  </si>
  <si>
    <t>1、连接AcuRev4100电表到Acuview2上，链接状态为connected
2、输入三路电流(0A、0A、0A)，在上位机上分别配置为对应A相、B相、C相。
3、Acuview2上和HMI上检查交流电相电流是否测量值为0</t>
  </si>
  <si>
    <t>3、Acuview2上和HMI上检查交流电相电流测量值为0</t>
  </si>
  <si>
    <t>Fault_AcuRev4100_003_01_case18_3</t>
  </si>
  <si>
    <t>CT选型20A/100mA，输入三路电流范围外(2.5A、2A，1A)，在上位机上分别配置为对应A相、B相、C相，断开电流输入，则Ia,Ib,Ic,Iavg值立即为0A</t>
  </si>
  <si>
    <t>1、连接AcuRev4100电表到Acuview2上，链接状态为connected
1.1、Uabc 均为100V，角度为(0°, 240°，120°)
2、输入三路电流范围外(2.5A、2A，1A)
3、Acuview2上和HMI上检查交流电相电流是否均在精度0.1%范围内。
4、断开电流输入
5、Acuview2上和HMI上检查则Ia,Ib,Ic,Iavg值是否立即为0A</t>
  </si>
  <si>
    <t>Fault_AcuRev4100_003_01_case18_4</t>
    <phoneticPr fontId="10" type="noConversion"/>
  </si>
  <si>
    <t>CT选型20A/100mA，输入三路电流分别为(3A、4A，5A)，顺序ABC，相角设置为(0°、260°、140°)，在上位机上分别配置为对应A相、B相、C相，测量Ia,Ib,Ic,Iavg满足精度0.1%</t>
  </si>
  <si>
    <t>1、连接AcuRev4100电表到Acuview2上，链接状态为connected
2、输入三路电流分别为(3A、4A，5A)，在上位机上分别配置为对应A相、B相、C相
3、电表上设置为顺序ABC， 相角设置为(0°、240°、120°)
4、Acuview2上和HMI上检查交流电相电流是否均在精度0.1%范围内</t>
  </si>
  <si>
    <t>Fault_AcuRev4100_003_01_case18_5</t>
    <phoneticPr fontId="10" type="noConversion"/>
  </si>
  <si>
    <t>CT选型20A/100mA，输入三路电流分别为(3A、4A，5A)，顺序ABC，相角设置为(0°、240°、120°)，电表设置电流为Negative，在上位机上分别配置为对应A相、B相、C相，测量Ia,Ib,Ic,Iavg满足精度0.1%</t>
  </si>
  <si>
    <t>1、连接AcuRev4100电表到Acuview2上，链接状态为connected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8、检查PF是否为-1， 系统PhaseABC有功功率是否为-0.3kw，-0.4kw， -0.5kw， 系统PhaseABC视在功率为0.3kw，0.4kw， 0.5kw</t>
    <phoneticPr fontId="10" type="noConversion"/>
  </si>
  <si>
    <t>24路输入&amp;12个用户电流验证</t>
  </si>
  <si>
    <t>Function_AcuRev4100_003_02_case1</t>
    <phoneticPr fontId="10" type="noConversion"/>
  </si>
  <si>
    <t>CT选型5A/333mV，1E1p2w输入Input1~3(A相)电流为(3A、4A、5A)，测量Input1~3电流精度0.1%</t>
  </si>
  <si>
    <t>1、Acuview2上位机
2、网线/RTU串口线
3、AcuRev4100电表
4、接线方式为1E1p2w</t>
    <phoneticPr fontId="10" type="noConversion"/>
  </si>
  <si>
    <t>1、连接AcuRev4100电表到Acuview2上，链接状态为connected
2、1E1p2w输入Input1~3(三路电流全部选择对应VA)电流为(3A、4A、5A)
3、Acuview2上和HMI上检查电流Input1~3是否均在精度范围内</t>
  </si>
  <si>
    <t>3、Acuview2上和HMI上检查电流Input1~3均在精度范围内，
I_in1:	2.997	~	3.003
I_in2:	3.996	~	4.004
I_in3:	4.995	~	5.005
IphaseA: 11.9880 	~	12.0120 
其他input和user Channel电流均为0</t>
  </si>
  <si>
    <t>Function_AcuRev4100_003_02_case1_1</t>
    <phoneticPr fontId="10" type="noConversion"/>
  </si>
  <si>
    <t>CT选型5A/333mV，1E1p2w输入Input1~3(A相)电流为(3A、4A、5A)，上位机配置依次对应user1、user2、user3，修改电流方向，测量Input1~3、user1~3电流精度0.1%</t>
  </si>
  <si>
    <t>1、连接AcuRev4100电表到Acuview2上，链接状态为connected
2、1E1p2w输入Input1~3(三路电流全部选择对应VA)电流为(3A、4A、5A)，角度均为0，上位机配置依次对应user1~3
4、电表设置Input1~2电流方向为Positive, Input3电流方向为Negative,
5、Acuview2上和HMI上检查电流Input1~3、user1~3是否均在精度范围内
6、电表设置Input1~2电流方向为Negative, Input3电流方向为Positive,
7、Acuview2上和HMI上检查电流Input1~3、user1~3是否均在精度范围内</t>
  </si>
  <si>
    <t>5、Acuview2上和HMI上检查交流电相电流均在精度范围内
I_in1：2.997 ~ 3.003
I_in2: 3.996 ~ 4.004
I_in3: 4.995 ~ 5.005
I_avg: 0.666 ~ -0.6673 
Ia： 11.9880  ~ 12.0120 
Ib：0A
Ic：0A
input1~3用户通道&amp;输入通道&amp;系统参数PF 为1
input1~3用户通道&amp;输入通道&amp;系统参数有功功率P为正数
6、Acuview2上和HMI上检查交流电相电流均在精度范围内
I_in1：2.997 ~ 3.003
I_in2:  3.996 ~ 4.004
I_in3: 4.995 ~ 5.005
I_avg: 11.9880  ~ 12.0120 
Ia： 11.9880  ~ 12.0120 
Ib：0A
Ic：0A
input1~3用户通道&amp;输入通道&amp;系统参数PF 为-1
input1~3用户通道&amp;输入通道&amp;系统参数有功功率P为负数</t>
  </si>
  <si>
    <t>Function_AcuRev4100_003_02_case2</t>
  </si>
  <si>
    <t>CT选型5A/333mV，1E1p2w输入Input1~3(A相)电流为(3A、3A，3A)，上位机配置依次对应user1、user2、user3，测量Input1~3、user1~3电流精度0.1%</t>
    <phoneticPr fontId="10" type="noConversion"/>
  </si>
  <si>
    <t>1、Acuview2上位机
2、网线/RTU串口线
3、AcuRev4100电表
4、接线方式为1E1p2w</t>
  </si>
  <si>
    <t>1、连接AcuRev4100电表到Acuview2上，链接状态为connected
2、1E1p2w输入Input1~3(三路电流全部选择对应VA)电流为(3A、3A，3A)，上位机配置依次对应user1~3
3、Acuview2上和HMI上检查电流Input1~3、user1~3是否均在精度范围内</t>
  </si>
  <si>
    <t>3、Acuview2上和HMI上检查电流Input1~3、user1~3均在精度范围内，
I_in1:	2.997	~	3.003
I_in2:	2.997	~	3.003
I_in3:	2.997	~	3.003
I_user1:	2.997	~	3.003
I_user2:	2.997	~	3.003
I_user3:	2.997	~	3.003
IphaseA: 8.9910 	~	9.0090 
其他input和user Channel电流均为0</t>
  </si>
  <si>
    <t>Function_AcuRev4100_003_02_case3</t>
  </si>
  <si>
    <t>CT选型5A/333mV，1E1p2w输入Input1~3(A相)电流为(3.5A、4.5A，4.9A)，上位机配置依次对应user1、user2、user3，测量Input1~3、user1~3电流精度0.1%</t>
  </si>
  <si>
    <t>1、连接AcuRev4100电表到Acuview2上，链接状态为connected
2、1E1p2w输入Input1~3(三路电流全部选择对应VA)电流为(3.5A、4.5A，4.9A)，上位机配置依次对应user1~3
3、Acuview2上和HMI上检查电流Input1~3、user1~3是否均在精度范围内</t>
    <phoneticPr fontId="10" type="noConversion"/>
  </si>
  <si>
    <t>3、Acuview2上和HMI上检查电流Input1~3、user1~3均在精度范围内，
I_in1:	3.4965	~	3.5035
I_in2:	4.4955	~	4.5045
I_in3:	4.8951	~	4.9049
I_user1:	3.4965	~	3.5035
I_user2:	4.4955	~	4.5045
I_user3:	4.8951	~	4.9049
IphaseA: 12.8871 	~	12.9129 
其他input和user Channel电流均为0</t>
  </si>
  <si>
    <t>Function_AcuRev4100_003_02_case4</t>
  </si>
  <si>
    <t>CT选型5A/333mV，1E1p2w输入Input1~3(A相)电流为 (2.5A、2A，0.3A)， 上位机配置依次对应user1、user2、user3，测量Input1~3、user1~3电流精度0.1%</t>
  </si>
  <si>
    <t>1、连接AcuRev4100电表到Acuview2上，链接状态为connected
2、1E1p2w输入Input1~3(三路电流全部选择对应VA)电流为 (2.5A、2A，0.3A)，上位机配置依次对应user1~3
3、Acuview2上和HMI上检查电流Input1~3、user1~3是否均在精度范围内</t>
  </si>
  <si>
    <t>3、Acuview2上和HMI上检查电流Input1~3、user1~3均在精度范围内，
I_in1:	2.49750 	~	2.50250 
I_in2:	1.99800 	~	2.00200 
I_in3:	0.29970 	~	0.30030 
I_user1:	2.49750 	~	2.50250 
I_user2:	1.99800 	~	2.00200 
I_user3:	0.29970 	~	0.30030 
IphaseA: 4.7952 	~	4.8048 
其他input和user Channel电流均为0</t>
  </si>
  <si>
    <t>Function_AcuRev4100_003_02_case5</t>
  </si>
  <si>
    <t>CT选型5A/333mV，1E1p2w输入Input1~3(A相)电流为(0.005A、0.03A、0.045A)，上位机配置依次对应user1、user2、user3，测量Input1~3、user1~3有测量数据，无精度要求。</t>
  </si>
  <si>
    <t>1、连接AcuRev4100电表到Acuview2上，链接状态为connected
2、1E1p2w输入Input1~3(三路电流全部选择对应VA)电流为(0.005A、0.03A、0.045A)，上位机配置依次对应user1~3
3、Acuview2上和HMI上检查电流Input1~3、user1~3是否均在精度范围内</t>
  </si>
  <si>
    <t>3、Acuview2上和HMI上检查电流Input1~3、user1~3有测量数据，但无精度要求。
其他input和user Channel电流均为0</t>
    <phoneticPr fontId="10" type="noConversion"/>
  </si>
  <si>
    <t>Function_AcuRev4100_003_02_case5_1</t>
  </si>
  <si>
    <t>CT选型5A/333mV，1E1p2w输入Input1~3(A相)电流为(0A、0A、0A)，上位机配置依次对应user1、user2、user3，测量Input1~3、user1~3电流測量值为0</t>
  </si>
  <si>
    <t>1、连接AcuRev4100电表到Acuview2上，链接状态为connected
2、1E1p2w输入Input1~3(A相)电流为(0A、0A、0A)，上位机配置依次对应user1~3
3、Acuview2上和HMI上检查电流Input1~3、user1~3是否测量值为0</t>
  </si>
  <si>
    <t>3、Acuview2上和HMI上检查电流Input1~3、user1~3测量值全为0
其他input和user Channel电流均为0</t>
  </si>
  <si>
    <t>Function_AcuRev4100_003_02_case5_2</t>
  </si>
  <si>
    <t>CT选型5A/333mV，1E1p2w输入Input1~3(A相)电流为(0.05A、0.2A、0.25A)，上位机配置依次对应user1、user2、user3，测量Input1~3、user1~3电流精度0.1%</t>
  </si>
  <si>
    <t>1、连接AcuRev4100电表到Acuview2上，链接状态为connected
2、1E1p2w输入Input1~3(A相)电流为(0.05A、0.2A、0.25A)，上位机配置依次对应user1~3
3、Acuview2上和HMI上检查电流Input1~3、user1~3是否均在精度范围内</t>
  </si>
  <si>
    <t>3、Acuview2上和HMI上检查电流Input1~3、user1~3均在精度.1%范围内 
其他input和user Channel电流均为0</t>
  </si>
  <si>
    <t>Function_AcuRev4100_003_02_case6</t>
  </si>
  <si>
    <t>CT选型5A/333mV，1E1p2w输入Input1~12(A相)电流为(5A)， 上位机配置依次对应user1~12，测量Input1~12,user1~12电流精度0.1%</t>
  </si>
  <si>
    <t>1、连接AcuRev4100电表到Acuview2上，链接状态为connected
2、1E1p2w输入Input1~12(三路电流全部选择对应VA)电流为(5A)， 上位机配置依次对应user1~12
3、Acuview2上和HMI上检查电流Input1~12、user1~12是否均在精度范围内</t>
  </si>
  <si>
    <t>3、Acuview2上和HMI上检查电流Input1~12、user1~12均在精度范围内，
I_in1~12:	4.995	~	5.005
I_in13~24:	0.000	~	0.000
I_user1~12:	4.995	~	5.005
其他input和user Channel电流均为0</t>
    <phoneticPr fontId="10" type="noConversion"/>
  </si>
  <si>
    <t>否</t>
  </si>
  <si>
    <t>Function_AcuRev4100_003_02_case7</t>
    <phoneticPr fontId="10" type="noConversion"/>
  </si>
  <si>
    <t>CT选型5A/333mV，2ELEMENT_3_WIRE_PHASE_1接线输入Input1~2(A&amp;B相)电流为(3A、5A)，上位机配置依次对应user1，测量Input1~2、user1电流精度0.1%</t>
    <phoneticPr fontId="10" type="noConversion"/>
  </si>
  <si>
    <t>1、Acuview2上位机
2、网线/RTU串口线
3、AcuRev4100电表
4、接线方式为2ELEMENT_3_WIRE_PHASE_1接线</t>
    <phoneticPr fontId="10" type="noConversion"/>
  </si>
  <si>
    <r>
      <t>1、连接AcuRev4100电表到Acuview2上，链接状态为connected
2、2ELEMENT_3_WIRE_PHASE_1接线输入Input1~2</t>
    </r>
    <r>
      <rPr>
        <b/>
        <sz val="10"/>
        <color theme="1"/>
        <rFont val="微软雅黑"/>
        <family val="2"/>
        <charset val="134"/>
      </rPr>
      <t>(两路电流全部选择对应Va、Vb</t>
    </r>
    <r>
      <rPr>
        <sz val="10"/>
        <color theme="1"/>
        <rFont val="微软雅黑"/>
        <family val="2"/>
        <charset val="134"/>
      </rPr>
      <t>)电流为(3A、5A)，上位机配置依次对应user1
3、Acuview2上和HMI上检查电流Input1~2、User1是否均在精度范围内</t>
    </r>
  </si>
  <si>
    <r>
      <t xml:space="preserve">3、Acuview2上和HMI上检查电流Input1~2、user1均在精度范围内，
I_in1:	2.997	~	3.003
I_in2:	4.995	~	5.005
I_in3~24:	0	~	0
I_user1:	 </t>
    </r>
    <r>
      <rPr>
        <b/>
        <sz val="10"/>
        <color theme="1"/>
        <rFont val="微软雅黑"/>
        <family val="2"/>
        <charset val="134"/>
      </rPr>
      <t xml:space="preserve">3.9960 ~ 4.0040 
</t>
    </r>
    <r>
      <rPr>
        <sz val="10"/>
        <color theme="1"/>
        <rFont val="微软雅黑"/>
        <family val="2"/>
        <charset val="134"/>
      </rPr>
      <t>I_user2~12:	0		0
其他input和user Channel电流均为0</t>
    </r>
  </si>
  <si>
    <t>Function_AcuRev4100_003_02_case7_1</t>
    <phoneticPr fontId="10" type="noConversion"/>
  </si>
  <si>
    <t>CT选型5A/333mV，2ELEMENT_3_WIRE_PHASE_1接线输入Input1~2(A&amp;B相)电流为(5A、5A)，上位机配置依次对应user1，修改电流方向， 测量Input1~2、user1电流精度0.1%</t>
  </si>
  <si>
    <t>1、连接AcuRev4100电表到Acuview2上，链接状态为connected
2、2ELEMENT_3_WIRE_PHASE_1接线输入Input1~2(两路电流全部选择对应Va、Vb)电流为(5A、5A)，上位机配置依次对应user1
3、电表设置Input1~2电流方向为Positive
4、Acuview2上和HMI上检查电流Input1~2、User1是否均在精度范围内
5、电表设置Input1~2电流方向为Negative
6、Acuview2上和HMI上检查电流Input1~2、User1是否均在精度范围内</t>
  </si>
  <si>
    <t>4、Acuview2上和HMI上检查电流Input1~2、user1均在精度范围内，
I_in1: 4.995 ~ 5.005
I_in2: 4.995 ~ 5.005
I_in3~24: 0 ~ 0
I_user1:	 4.995 ~ 5.005 
I_user2~12:  0
Ia: 4.995 ~ 5.005
Ib: 4.995 ~ 5.005
input1~2用户通道&amp;输入通道&amp;系统参数PF 为1
input1~2用户通道&amp;输入通道&amp;系统参数有功功率P为正数
6、Acuview2上和HMI上检查电流Input1~2、user1均在精度范围内，
I_in1: 4.995 ~ 5.005
I_in2: 4.995 ~ 5.005
I_in3~24: 0 ~ 0
I_user1:	 4.995 ~ 5.005 
I_user2~12:  0
Ia: 4.995 ~ 5.005
Ib: 4.995 ~ 5.005
其他input和user Channel电流均为0
input1~2用户通道&amp;输入通道&amp;系统参数PF 为-1
input1~2用户通道&amp;输入通道&amp;系统参数有功功率P为负数</t>
  </si>
  <si>
    <t>Function_AcuRev4100_003_02_case7_2</t>
    <phoneticPr fontId="10" type="noConversion"/>
  </si>
  <si>
    <t>CT选型5A/333mV，2ELEMENT_3_WIRE_PHASE_1接线输入Input1~2(A&amp;B相)电流为(3A、5A)，上位机配置依次对应user1，修改电流方向， 测量Input1~2、user1电流精度0.1%</t>
    <phoneticPr fontId="10" type="noConversion"/>
  </si>
  <si>
    <t>1、Acuview2上位机
2、网线/RTU串口线
3、AcuRev4100电表
4、接线方式为2ELEMENT_3_WIRE delta接线</t>
    <phoneticPr fontId="10" type="noConversion"/>
  </si>
  <si>
    <t>1、连接AcuRev4100电表到Acuview2上，链接状态为connected
2、2ELEMENT_3_WIRE delta 接线输入Input1~2(两路电流全部选择对应Va、Vb)电流为(3A、5A)，上位机配置依次对应user1
3、电表设置Input1~2电流方向为Positive
4、Acuview2上和HMI上检查电流Input1~2、User1是否均在精度范围内</t>
  </si>
  <si>
    <t>4、Acuview2上和HMI上检查电流Input1~2、user1均在精度范围内，
I_in1: 2.997 ~ 3.003
I_in2: 4.995 ~ 5.005
I_in3~24: 0 ~ 0
I_user1:	 3.9960 ~ 4.0040 
I_user2~12:  0
Ia: 2.997 ~ 3.003
Ib: 4.995 ~ 5.005</t>
  </si>
  <si>
    <t>Function_AcuRev4100_003_02_case8</t>
  </si>
  <si>
    <t>CT选型5A/333mV，3ELEMENT_4_WIRE_Y接线输入Input1~3(A&amp;B&amp;C相)电流为(3A、4A，5A)，上位机配置依次对应user1，测量Input1~3、user1电流精度0.1%</t>
    <phoneticPr fontId="10" type="noConversion"/>
  </si>
  <si>
    <t>1、Acuview2上位机
2、网线/RTU串口线
3、AcuRev4100电表
4、接线方式为3ELEMENT_4_WIRE_Y</t>
    <phoneticPr fontId="10" type="noConversion"/>
  </si>
  <si>
    <t>1、连接AcuRev4100电表到Acuview2上，链接状态为connected
2、3ELEMENT_4_WIRE_Y接线输入Input1~3(A&amp;B&amp;C相)电流为(3A、4A，5A)，上位机配置依次对应user1
3、Acuview2上和HMI上检查电流Input1~3、user1是否均在精度范围内</t>
    <phoneticPr fontId="10" type="noConversion"/>
  </si>
  <si>
    <t>3、Acuview2上和HMI上检查电流Input1~3、user1均在精度范围内，
I_in1:	2.997	~	3.003
I_in2:	3.996	~	4.004
I_in3:	4.995	~	5.005
I_user1:	3.996	~	4.004
其他input和user Channel电流均为0</t>
  </si>
  <si>
    <t>Function_AcuRev4100_003_02_case9</t>
  </si>
  <si>
    <t>CT选型5A/333mV，3ELEMENT_4_WIRE_Y接线输入Input1~3(A&amp;B&amp;C相)电流为(4A、4A，4A)，上位机配置依次对应user1，测量Input1~3、user1电流精度0.1%</t>
    <phoneticPr fontId="10" type="noConversion"/>
  </si>
  <si>
    <t>1、连接AcuRev4100电表到Acuview2上，链接状态为connected
2、3ELEMENT_4_WIRE_Y接线输入Input1~3(A&amp;B&amp;C相)电流为(4A、4A，4A)，上位机配置依次对应user1
3、Acuview2上和HMI上检查电流Input1~3、user1是否均在精度范围内</t>
    <phoneticPr fontId="10" type="noConversion"/>
  </si>
  <si>
    <t>3、Acuview2上和HMI上检查电流Input1~3、user1均在精度范围内，
I_in1:	3.996	~	4.004
I_in2:	3.996	~	4.004
I_in3:	3.996	~	4.004
I_user1:	3.996	~	4.004
其他input和user Channel电流均为0</t>
  </si>
  <si>
    <t>Function_AcuRev4100_003_02_case10</t>
  </si>
  <si>
    <t>CT选型5A/333mV，3ELEMENT_4_WIRE_Y接线输入Input1~24(A&amp;B&amp;C相)电流为(3A、4A，5A)， 上位机配置依次对应user1~8，测量Input1~24,user1~8电流精度0.1%</t>
    <phoneticPr fontId="10" type="noConversion"/>
  </si>
  <si>
    <t>1、连接AcuRev4100电表到Acuview2上，链接状态为connected
2、3ELEMENT_4_WIRE_Y接线输入Input1~24(A&amp;B&amp;C相)电流为(3A、4A，5A)， 上位机配置依次对应user1~8
3、Acuview2上和HMI上检查电流Input1~24、user1~8是否均在精度范围内</t>
  </si>
  <si>
    <t>3、Acuview2上和HMI上检查电流Input1~24、user1~8均在精度范围内，
I_in1:	2.997	~	3.003
I_in2:	3.996	~	4.004
I_in3:	4.995	~	5.005
I_user1:	3.996	~	4.004
其他input和user Channel电流均为0</t>
  </si>
  <si>
    <t>Function_AcuRev4100_003_02_case11</t>
    <phoneticPr fontId="10" type="noConversion"/>
  </si>
  <si>
    <t>CT选型5A/333mV，3ELEMENT_4_WIRE_Y接线输入Input1~24(A&amp;B&amp;C相)电流为(5A)， 上位机配置依次对应user1~8，测量Input1~24,user1~8电流精度0.1%</t>
    <phoneticPr fontId="10" type="noConversion"/>
  </si>
  <si>
    <t>1、连接AcuRev4100电表到Acuview2上，链接状态为connected
2、3ELEMENT_4_WIRE_Y接线输入Input1~24(A&amp;B&amp;C相)电流为(5A)， 上位机配置依次对应user1~8
3、Acuview2上和HMI上检查电流Input1~24、user1~8是否均在精度范围内</t>
    <phoneticPr fontId="10" type="noConversion"/>
  </si>
  <si>
    <t>3、Acuview2上和HMI上检查电流Input1~24、user1~8均在精度范围内，
I_in1~24: 4.995	~	5.005
I_user1~8: 4.995	~	5.005
其他input和user Channel电流均为0</t>
  </si>
  <si>
    <t>Function_AcuRev4100_003_02_case12</t>
    <phoneticPr fontId="10" type="noConversion"/>
  </si>
  <si>
    <t>CT选型20A/100mA，1E1p2w输入Input1~3(A相)电流为(3A、4A、5A)，上位机配置依次对应user1、user2、user3，测量Input1~3、user1~3电流精度0.1%</t>
    <phoneticPr fontId="10" type="noConversion"/>
  </si>
  <si>
    <t>1、连接AcuRev4100电表到Acuview2上，链接状态为connected
2、1E1p2w输入Input1~3(三路电流全部选择对应VA)电流为(3A、4A、5A)，上位机配置依次对应user1~3
3、Acuview2上和HMI上检查电流Input1~3、user1~3是否均在精度范围内</t>
    <phoneticPr fontId="10" type="noConversion"/>
  </si>
  <si>
    <t>3、Acuview2上和HMI上检查电流Input1~3、user1~3均在精度范围内，
I_in1:	2.997	~	3.003
I_in2:	3.996	~	4.004
I_in3:	4.995	~	5.005
I_user1:	2.997	~	3.003
I_user2:	3.996	~	4.004
I_user3:	4.995	~	5.005
其他input和user Channel电流均为0</t>
  </si>
  <si>
    <t>Function_AcuRev4100_003_02_case13</t>
  </si>
  <si>
    <t>CT选型20A/100mA，1E1p2w输入Input1~3(A相)电流为(10A、10A,10A)，上位机配置依次对应user1、user2、user3，测量Input1~3、user1~3电流精度0.1%</t>
    <phoneticPr fontId="10" type="noConversion"/>
  </si>
  <si>
    <r>
      <t>1、连接AcuRev4100电表到Acuview2上，链接状态为connected
2、1E1p2w输入Input</t>
    </r>
    <r>
      <rPr>
        <b/>
        <sz val="10"/>
        <color theme="1"/>
        <rFont val="微软雅黑"/>
        <family val="2"/>
        <charset val="134"/>
      </rPr>
      <t>1~3(A相)</t>
    </r>
    <r>
      <rPr>
        <sz val="10"/>
        <color theme="1"/>
        <rFont val="微软雅黑"/>
        <family val="2"/>
        <charset val="134"/>
      </rPr>
      <t>电流为(10A、10A,10A)，上位机配置依次对应user1~3
3、Acuview2上和HMI上检查电流Input1~3、user1~3是否均在精度范围内</t>
    </r>
    <phoneticPr fontId="10" type="noConversion"/>
  </si>
  <si>
    <t>3、Acuview2上和HMI上检查电流Input1~3、user1~3均在精度范围内，
I_in1:	9.99	~	10.01
I_in2:	9.99	~	10.01
I_in3:	9.99	~	10.01
I_user1:	9.99	~	10.01
I_user2:	9.99	~	10.01
I_user3:	9.99	~	10.01
其他input和user Channel电流均为0</t>
  </si>
  <si>
    <t>Function_AcuRev4100_003_02_case14</t>
  </si>
  <si>
    <t>CT选型20A/100mA，1E1p2w输入Input1~3(A相)电流为(13A、15A,20A)，上位机配置依次对应user1、user2、user3，测量Input1~3、user1~3电流精度0.1%</t>
    <phoneticPr fontId="10" type="noConversion"/>
  </si>
  <si>
    <r>
      <t>1、连接AcuRev4100电表到Acuview2上，链接状态为connected
2、1E1p2w输入Input</t>
    </r>
    <r>
      <rPr>
        <b/>
        <sz val="10"/>
        <color theme="1"/>
        <rFont val="微软雅黑"/>
        <family val="2"/>
        <charset val="134"/>
      </rPr>
      <t>1~3(A相</t>
    </r>
    <r>
      <rPr>
        <sz val="10"/>
        <color theme="1"/>
        <rFont val="微软雅黑"/>
        <family val="2"/>
        <charset val="134"/>
      </rPr>
      <t>)电流为(13A、15A,20A)，上位机配置依次对应user1~3
3、Acuview2上和HMI上检查电流Input1~3、user1~3是否均在精度范围内</t>
    </r>
    <phoneticPr fontId="10" type="noConversion"/>
  </si>
  <si>
    <t>3、Acuview2上和HMI上检查电流Input1~3、user1~3均在精度范围内，
I_in1:	12.987	~	13.013
I_in2:	14.985	~	15.015
I_in3:	19.98	~	20.02
I_user1:	12.987	~	13.013
I_user2:	14.985	~	15.015
I_user3:	19.98	~	20.02
其他input和user Channel电流均为0</t>
  </si>
  <si>
    <t>Function_AcuRev4100_003_02_case15</t>
  </si>
  <si>
    <t>CT选型20A/100mA，1E1p2w输入Input1~3(A相)电流为 (2.5A、2A，0.3A)，上位机配置依次对应user1、user2、user3，测量Input1~3、user1~3电流精度0.1%</t>
  </si>
  <si>
    <t>1、连接AcuRev4100电表到Acuview2上，链接状态为connected
2、1E1p2w输入Input1~3(三路电流全部选择对应VA)电流为 (2.5A、2A，0.3A)，上位机配置依次对应user1~3
3、Acuview2上和HMI上检查电流Input1~3、user1~3是否均在精度范围内</t>
    <phoneticPr fontId="10" type="noConversion"/>
  </si>
  <si>
    <t>3、Acuview2上和HMI上检查电流Input1~3、user1~3均有测量值，但是无精度要求
I_in1:	2.4975	~	2.5025
I_in2:	1.998	~	2.002
I_in3:	0.2997	~	0.3003
I_user1:	2.4975	~	2.5025
I_user2:	1.998	~	2.002
I_user3:	0.2997	~	0.3003
其他input和user Channel电流均为0。</t>
  </si>
  <si>
    <t>Function_AcuRev4100_003_02_case16</t>
  </si>
  <si>
    <t>CT选型20A/100mA，1E1p2w输入Input1~3(A相)电流为(0.2A、0.5A、1A)，上位机配置依次对应user1、user2、user3，测量Input1~3、user1~3电流精度0.1%</t>
  </si>
  <si>
    <t>1、连接AcuRev4100电表到Acuview2上，链接状态为connected
2、1E1p2w输入Input1~3(三路电流全部选择对应VA)电流为(0.2A、0.5A、1A)，上位机配置依次对应user1~3
3、Acuview2上和HMI上检查电流Input1~3、user1~3是否均在精度范围内</t>
  </si>
  <si>
    <t>3、Acuview2上和HMI上检查电流Input1~3、user1~3均有测量值，但是无精度要求
I_in1:	0.15984 	~	0.16016 
I_in2:	0.15984 	~	0.16016 
I_in3:	0.15984 	~	0.16016 
I_user1:	0.15984 	~	0.16016 
I_user2:	0.15984 	~	0.16016 
I_user3:	0.15984 	~	0.16016 
其他input和user Channel电流均为0。</t>
  </si>
  <si>
    <t>Fault_AcuRev4100_003_02_case16_1</t>
    <phoneticPr fontId="10" type="noConversion"/>
  </si>
  <si>
    <t>CT选型20A/100mA，1E1p2w输入Input1~3(A相)电流为(0A、0A、0A)，上位机配置依次对应user1、user2、user3，测量Input1~3、user1~3电流測量值为0</t>
  </si>
  <si>
    <t>1、连接AcuRev4100电表到Acuview2上，链接状态为connected
2、1E1p2w输入Input1~3(三路电流全部选择对应VA)电流为(0A、0A、0A)，上位机配置依次对应user1~3
3、Acuview2上和HMI上检查电流Input1~3、user1~3是否测量值为0</t>
    <phoneticPr fontId="10" type="noConversion"/>
  </si>
  <si>
    <t>Function_AcuRev4100_003_02_case17</t>
    <phoneticPr fontId="10" type="noConversion"/>
  </si>
  <si>
    <t>CT选型20A/100mA，1E1p2w输入Input1~12(A相)电流为(20A)，上位机配置依次对应user1~12，测量Input1~12,user1~12电流精度0.1%</t>
    <phoneticPr fontId="10" type="noConversion"/>
  </si>
  <si>
    <t>1、连接AcuRev4100电表到Acuview2上，链接状态为connected
2、1E1p2w输入Input1~12(电流全部选择对应VA)电流为(20A)，上位机配置依次对应user1~12
3、Acuview2上和HMI上检查电流Input1~24是否均在精度范围内</t>
  </si>
  <si>
    <t>3、Acuview2上和HMI上检查电流Input1~12、user1~12均在精度范围内，
I_in1~24:	19.988	~	20.02
其他input和user Channel电流均为0</t>
  </si>
  <si>
    <t>Function_AcuRev4100_003_02_case18</t>
    <phoneticPr fontId="10" type="noConversion"/>
  </si>
  <si>
    <t>CT选型20A/100mA，2ELEMENT_3_WIRE_PHASE_1接线输入Input1~2(A&amp;B相)电流为(3A、5A)，上位机配置依次对应user1，测量Input1~2、user1电流精度0.1%</t>
    <phoneticPr fontId="10" type="noConversion"/>
  </si>
  <si>
    <t>1、Acuview2上位机
2、网线/RTU串口线
3、AcuRev4100电表
4、接线方式为2ELEMENT_3_WIRE_PHASE_1</t>
    <phoneticPr fontId="10" type="noConversion"/>
  </si>
  <si>
    <t>1、连接AcuRev4100电表到Acuview2上，链接状态为connected
2、2ELEMENT_3_WIRE_PHASE_1接线输入Input1~2(两路电流全部选择对应Va、Vb)电流为(3A、5A)，上位机配置依次对应user1
3、Acuview2上和HMI上检查电流Input1~2、user1是否均在精度范围内</t>
    <phoneticPr fontId="10" type="noConversion"/>
  </si>
  <si>
    <t>3、Acuview2上和HMI上检查电流Input1~2、user1均在精度范围内，
I_in1: 2.997 ~ 3.003
I_in2: 4.995 ~ 5.005
I_in3: 0	~ 0
I_user1:  3.996 ~ 4.004
其他input和user Channel电流均为0</t>
  </si>
  <si>
    <t>Function_AcuRev4100_003_02_case19</t>
  </si>
  <si>
    <t>CT选型20A/100mA，2ELEMENT_3_WIRE_PHASE_1接线输入Input1~2(A&amp;B相)电流为(15A、20A)，上位机配置依次对应user1，测量Input1~2、user1电流精度0.1%</t>
    <phoneticPr fontId="10" type="noConversion"/>
  </si>
  <si>
    <t>1、连接AcuRev4100电表到Acuview2上，链接状态为connected
2、2ELEMENT_3_WIRE_PHASE_1接线输入Input1~2(两路电流全部选择对应Va、Vb)电流为(15A、20A)，上位机配置依次对应user1
3、Acuview2上和HMI上检查电流Input1~2、user1是否均在精度范围内</t>
  </si>
  <si>
    <t>3、Acuview2上和HMI上检查电流Input1~2、user1均在精度范围内，
I_in1: 14.985 ~	15.015
I_in2: 19.98 ~	20.02
I_in3: 0	~ 0
I_user1:	17.4825  ~ 17.5175 
其他input和user Channel电流均为0</t>
  </si>
  <si>
    <t>Function_AcuRev4100_003_02_case20</t>
  </si>
  <si>
    <t>CT选型20A/100mA，3ELEMENT_4_WIRE_Y接线输入Input1~3(A&amp;B&amp;C相)电流为(5A、15A，20A)，上位机配置依次对应user1，测量Input1~3、user1电流精度0.1%</t>
    <phoneticPr fontId="10" type="noConversion"/>
  </si>
  <si>
    <t>1、Acuview2上位机
2、网线/RTU串口线
3、AcuRev4100电表
4、接线方式为3E3p4w</t>
    <phoneticPr fontId="10" type="noConversion"/>
  </si>
  <si>
    <t>1、连接AcuRev4100电表到Acuview2上，链接状态为connected
2、3ELEMENT_4_WIRE_Y接线输入Input1~3(A&amp;B&amp;C相)电流为(5A、15A、20A)，上位机配置依次对应user1
3、Acuview2上和HMI上检查电流Input1~3、user1是否均在精度范围内</t>
    <phoneticPr fontId="10" type="noConversion"/>
  </si>
  <si>
    <t>3、Acuview2上和HMI上检查电流Input1~3、user1均在精度范围内，
I_in1: 4.995 ~	5.005
I_in2: 14.985 ~ 15.015
I_in3: 19.98 ~	20.02
I_user1:	13.32 ~	13.3467 
其他input和user Channel电流均为0</t>
  </si>
  <si>
    <t>Function_AcuRev4100_003_02_case21</t>
    <phoneticPr fontId="10" type="noConversion"/>
  </si>
  <si>
    <t>CT选型20A/100mA，3ELEMENT_4_WIRE_Y接线输入Input1~3(A&amp;B&amp;C相)电流为(13A、13A，13A)，上位机配置依次对应user1，测量Input1~3、user1电流精度0.1%</t>
    <phoneticPr fontId="10" type="noConversion"/>
  </si>
  <si>
    <t>1、Acuview2上位机
2、网线/RTU串口线
3、AcuRev4100电表
4、接线方式为3E3p4w</t>
  </si>
  <si>
    <t>1、连接AcuRev4100电表到Acuview2上，链接状态为connected
2、3ELEMENT_4_WIRE_Y接线输入Input1~3(A&amp;B&amp;C相)电流为(13A、13A，13A)，上位机配置依次对应user1
3、Acuview2上和HMI上检查电流Input1~3、user1是否均在精度范围内</t>
    <phoneticPr fontId="10" type="noConversion"/>
  </si>
  <si>
    <t>3、Acuview2上和HMI上检查电流Input1~3、user1均在精度范围内，
I_in1: 12.987 ~ 13.013
I_in2: 12.987 ~ 13.013
I_in3: 12.987 ~ 13.013
I_user1:	12.987 ~ 13.013
其他input和user Channel电流均为0</t>
  </si>
  <si>
    <t>Function_AcuRev4100_003_02_case21_1</t>
    <phoneticPr fontId="10" type="noConversion"/>
  </si>
  <si>
    <t>CT选型20A/100mA，3ELEMENT_4_WIRE_Y接线输入Input1~3(A&amp;B&amp;C相)电流为(13A、13A，13A)，上位机配置依次对应user1，修改电流方向，测量Input1~3、user1电流精度0.1%</t>
    <phoneticPr fontId="10" type="noConversion"/>
  </si>
  <si>
    <t>1、连接AcuRev4100电表到Acuview2上，链接状态为connected
2、3ELEMENT_4_WIRE_Y接线输入Input1~3(A&amp;B&amp;C相)电流为(13A、13A，13A)，电压和电流角度均为0°，240°，120°，上位机配置依次对应user1
3、电表设置Input1~2电流方向为Positive, Input3电流方向为positive,
4、Acuview2上和HMI上检查电流Input1~3、user1是否均在精度范围内
5、电表设置Input1~2电流方向为Positive, Input3电流方向为Negative,
6、Acuview2上和HMI上检查电流Input1~3、user1是否均在精度范围内</t>
  </si>
  <si>
    <t>3、Acuview2上和HMI上检查电流Input1~3、user1均在精度范围内，
I_in1: 12.987 ~ 13.013
I_in2: 12.987 ~ 13.013
I_in3: 12.987 ~ 13.013
I_user1:	4.329	~	-4.3377 
Ia:12.987 ~ 13.013
Ib:12.987 ~ 13.013
Ic:-12.987 ~ -13.013
Iavg:: 12.987 ~ 13.013
其他input和user Channel电流均为0
6、Acuview2上和HMI上检查电流Input1~3、user1均在精度范围内，
I_in1: 12.987 ~ 13.013
I_in2: 12.987 ~ 13.013
I_in3: 12.987 ~ 13.013
I_user1:	4.329	~	-4.3377 
Ia:12.987 ~ 13.013
Ib:12.987 ~ 13.013
Ic:-12.987 ~ -13.013
Iavg:: 12.987 ~ 13.013
其他input和user Channel电流均为0</t>
  </si>
  <si>
    <t>Function_AcuRev4100_003_02_case22</t>
  </si>
  <si>
    <t>CT选型20A/100mA，3ELEMENT_4_WIRE_Y接线输入Input1~24(A&amp;B&amp;C相)电流为(5A、10A、12A)，上位机配置依次对应user1~8，测量Input1~24,user1~8电流精度0.1%</t>
    <phoneticPr fontId="10" type="noConversion"/>
  </si>
  <si>
    <t>1、连接AcuRev4100电表到Acuview2上，链接状态为connected
2、3ELEMENT_4_WIRE_Y接线输入Input1~24(A&amp;B&amp;C相)电流为(5A、10A、12A)，上位机配置依次对应user1~8
3、Acuview2上和HMI上检查电流Input1~24、user1~8是否均在精度范围内</t>
  </si>
  <si>
    <t>3、Acuview2上和HMI上检查电流Input1~24、user1~8均在精度范围内，
I_in1: 4.995 ~ 5.0050 
I_in2: 9.99	~ 10.0100 
I_in3: 11.988 ~ 12.0120 
I_user1: 8.991 ~ 9.0090 	
其他input和user Channel电流均为0</t>
  </si>
  <si>
    <t>Function_AcuRev4100_003_02_case22_1</t>
  </si>
  <si>
    <t>CT选型20A/100mA，3ELEMENT_4_WIRE_Y接线输入Input1~3(A相)电流为(10A、10A、10A)，上位机配置对应user1，立即反复降低电流到10%，测量Input1~3、user1~3电流測量值满足精度要求0.1%</t>
  </si>
  <si>
    <t>1、连接AcuRev4100电表到Acuview2上，链接状态为connected
2、CT选型20A/100mA，3ELEMENT_4_WIRE_Y接线输入Input1~3(A相)电流为(10A、10A、10A)，上位机配置对应user1
3、立即降低电流到10%，等待10s
4、立即降低电流到100%，等待10s
5、Acuview2上和HMI上检查电流Input1~3、user1是否均在精度0.1%范围内。</t>
  </si>
  <si>
    <t>5、Acuview2上和HMI上检查电流Input1~3、user1是否均在精度0.1%范围内。</t>
    <phoneticPr fontId="10" type="noConversion"/>
  </si>
  <si>
    <t>Function_AcuRev4100_003_02_case22_2</t>
  </si>
  <si>
    <t>CT选型20A/100mA，3ELEMENT_4_WIRE_Y接线输入Input1~3(A相)电流为(20A、20A、20A)，上位机配置对应user1，立即反复降低电流到50%，测量Input1~3、user1~3电流測量值满足精度要求0.1%</t>
    <phoneticPr fontId="10" type="noConversion"/>
  </si>
  <si>
    <t>1、连接AcuRev4100电表到Acuview2上，链接状态为connected
2、CT选型20A/100mA，3ELEMENT_4_WIRE_Y接线输入Input1~3(A相)电流为(20A、20A、20A)，上位机配置对应user1
3、立即降低电流到50%，等待10s
4、Acuview2上和HMI上检查电流Input1~3、user1是否均在精度0.1%范围内。
5、立即降低电流到100%，等待10s
6、Acuview2上和HMI上检查电流Input1~3、user1是否均在精度0.1%范围内。</t>
  </si>
  <si>
    <t>4、Acuview2上和HMI上检查电流Input1~3、user1均在精度0.1%范围内。
6、Acuview2上和HMI上检查电流Input1~3、user1均在精度0.1%范围内。</t>
  </si>
  <si>
    <t>Function_AcuRev4100_003_02_case22_3</t>
    <phoneticPr fontId="10" type="noConversion"/>
  </si>
  <si>
    <t>只加input1 检查input2-input24 是否有电流</t>
    <phoneticPr fontId="10" type="noConversion"/>
  </si>
  <si>
    <t>1、连接AcuRev4100电表到Acuview2上，链接状态为connected
2、3ELEMENT_4_WIRE_Y接线输入Input1~3(A相)电流为(4A、0A、0A)，上位机配置对应user1
3、Acuview2上和HMI上检查电流Input1~3、user1是否均在精度0.1%范围内。
4、Acuview2上和HMI上检查电流Input4~24、user1是否均为0A</t>
    <phoneticPr fontId="10" type="noConversion"/>
  </si>
  <si>
    <t>3、Acuview2上和HMI上检查电流Input1~3、user1均在精度0.1%范围内。
4、Acuview2上和HMI上检查电流Input4~24、user1均为0A</t>
    <phoneticPr fontId="10" type="noConversion"/>
  </si>
  <si>
    <t>Function_AcuRev4100_003_02_case22_4</t>
    <phoneticPr fontId="10" type="noConversion"/>
  </si>
  <si>
    <t>反向电流 Negative 时候， 启动电流可能无法检测到(电流和功率)</t>
    <phoneticPr fontId="10" type="noConversion"/>
  </si>
  <si>
    <t>1、连接AcuRev4100电表到Acuview2上，链接状态为connected
2、3ELEMENT_4_WIRE_Y接线输入Input1~3(A相)电流为(4A、4A、4A)，上位机配置对应user1
3、电表上input1-2的电流方向设置为positive
4、电表上input1-2的电流方向设置为Negative
5、Acuview2上和HMI上检查电流Input1~3、user1是否均在精度0.1%范围内。
6、Acuview2上和HMI上检查电流Input1~3、user1、系统功率是否均正确</t>
  </si>
  <si>
    <t>5、Acuview2上和HMI上检查电流Input1~3、user1均在精度0.1%范围内。
6、Acuview2上和HMI上检查电流Input1~3、user1、系统功率均正确</t>
  </si>
  <si>
    <t>Function_AcuRev4100_004_01_case1</t>
    <phoneticPr fontId="10" type="noConversion"/>
  </si>
  <si>
    <r>
      <t>CT选型5A/333mV，3ELEMENT_4_WIRE_Y接线输入Input1~3(A&amp;B&amp;C相)电流为(3A、3A、3A)，ABC电压均为69V,电压相角θ和电流相角ϕ差值为</t>
    </r>
    <r>
      <rPr>
        <b/>
        <sz val="10"/>
        <color theme="1"/>
        <rFont val="微软雅黑"/>
        <family val="2"/>
        <charset val="134"/>
      </rPr>
      <t>0°</t>
    </r>
    <r>
      <rPr>
        <sz val="10"/>
        <color theme="1"/>
        <rFont val="微软雅黑"/>
        <family val="2"/>
        <charset val="134"/>
      </rPr>
      <t>，上位机配置对应user1,测量A&amp;B&amp;C的P、Q、S、PF,系统P、Q、S、PF，User1通道P、Q、S、PF，input1~3通道P、Q、S、PF，功率精度满足0.2%</t>
    </r>
  </si>
  <si>
    <t>1、连接AcuRev4100电表到Acuview2上，链接状态为connected
2、Input1~3(A&amp;B&amp;C相)电流为(3A、3A、3A)， 电压均为69V
3、电压相角θ和电流相角ϕ差值为0°
4、上位机配置依次对应user1
5、Acuview2上和HMI上检查测量A&amp;B&amp;C、系统、用户通道、input通道的P、Q、S、PF是否均在精度范围内，</t>
  </si>
  <si>
    <t xml:space="preserve">5、Acuview2上和HMI上检查测量A&amp;B&amp;C、系统、用户通道、input通道的P、Q、S、PF均在精度范围内0.2%。
</t>
  </si>
  <si>
    <t>Function_AcuRev4100_004_01_case2</t>
  </si>
  <si>
    <t>CT选型5A/333mV，3ELEMENT_4_WIRE_Y接线输入Input1~3(A&amp;B&amp;C相)电流为(3A)，ABC电压均为120V,电压相角θ和电流相角ϕ差值为30°，上位机配置对应user1,测量A&amp;B&amp;C的P、Q、S、PF,系统P、Q、S、PF，User1通道P、Q、S、PF，input1~3通道P、Q、S、PF，功率精度满足0.2%</t>
    <phoneticPr fontId="10" type="noConversion"/>
  </si>
  <si>
    <t>1、连接AcuRev4100电表到Acuview2上，链接状态为connected
2、Input1~3(A&amp;B&amp;C相)电流为(3A)， 电压均为120V
3、ABC电压均为120V,电压相角θ和电流相角ϕ差值为30°
4、上位机配置依次对应user1
5、Acuview2上和HMI上检查测量A&amp;B&amp;C、系统、用户通道、input通道的P、Q、S、PF是否均在精度范围内，</t>
    <phoneticPr fontId="10" type="noConversion"/>
  </si>
  <si>
    <t>5、Acuview2上和HMI上检查测量A&amp;B&amp;C、系统、用户通道、input通道的P、Q、S、PF均在精度范围内0.2%。
备注: 使用Excel表格公式计算预期值</t>
    <phoneticPr fontId="10" type="noConversion"/>
  </si>
  <si>
    <t>Function_AcuRev4100_004_01_case2_1</t>
  </si>
  <si>
    <t>CT选型5A/333mV，3ELEMENT_4_WIRE_Y接线输入Input1~3(A&amp;B&amp;C相)电流为(3A)，ABC电压均为120V,电压相角θ和电流相角ϕ差值为60°，上位机配置对应user1,测量A&amp;B&amp;C的P、Q、S、PF,系统P、Q、S、PF，User1通道P、Q、S、PF，input1~3通道P、Q、S、PF，功率精度满足0.2%</t>
  </si>
  <si>
    <t>1、连接AcuRev4100电表到Acuview2上，链接状态为connected
2、Input1~3(A&amp;B&amp;C相)电流为(3A)， 电压均为120V
3、ABC电压均为120V,电压相角θ和电流相角ϕ差值为60°
4、上位机配置依次对应user1
5、Acuview2上和HMI上检查测量A&amp;B&amp;C、系统、用户通道、input通道的P、Q、S、PF是否均在精度范围内，
PhaseA_P:	206.586	~	207.414
PhaseA_Q:	0	~	0
PhaseA_S:	206.586	~	207.414
PhaseA_PF:	0.998	~	1.002
PhaseB_P:	206.586	~	207.414
PhaseB_Q:	0	~	0
PhaseB_S:	206.586	~	207.414
PhaseB_PF:	0.998	~	1.002
PhaseC_P:	206.586	~	207.414
PhaseC_Q:	0	~	0
PhaseC_S:	206.586	~	207.414
PhaseC_PF:	0.998	~	1.002
Sys_P:	619.758	~	622.242
Sys_Q:	0	~	0
Sys_S:	619.758	~	622.242
Sys_PF:	0.998	~	1.002
User1_P:	619.758	~	622.242
User1_Q:	0	~	0
User1_S:	619.758	~	622.242
User1_PF:	0.998	~	1.002
Input1_P:	206.586	~	207.414
Input1_Q:	0	~	0
Input1_S:	206.586	~	207.414
Input1_PF:	0.998	~	1.002
Input2_P:	206.586	~	207.414
Input2_Q:	0	~	0
Input2_S:	206.586	~	207.414
Input2_PF:	0.998	~	1.002
Input3_P:	206.586	~	207.414
Input3_Q:	0	~	0
Input3_S:	206.586	~	207.414
Input3_PF:	0.998	~	1.002</t>
  </si>
  <si>
    <t>Function_AcuRev4100_004_01_case2_2</t>
  </si>
  <si>
    <t>CT选型5A/333mV，3ELEMENT_4_WIRE_Y接线输入Input1~3(A&amp;B&amp;C相)电流为(3A)，ABC电压均为120V,电压相角θ和电流相角ϕ差值为60°，上位机配置对应user1,测量A&amp;B&amp;C的系统P、Q、S、PF，User1通道P、Q、S、PF，input1~3通道P、Q、S、PF，功率精度满足0.2%</t>
  </si>
  <si>
    <r>
      <t>1、连接AcuRev4100电表到Acuview2上，链接状态为connected
2、Input1~3(A&amp;B&amp;C相)电流为(3A)， 电压均为120V
3、ABC电压均为120V,电压相角θ和电流相角ϕ差值为60°
4、上位机配置依次对应user1
5、input1~3对应的电流方向设置为</t>
    </r>
    <r>
      <rPr>
        <i/>
        <sz val="10"/>
        <color theme="1"/>
        <rFont val="微软雅黑"/>
        <family val="2"/>
        <charset val="134"/>
      </rPr>
      <t xml:space="preserve">Positive
</t>
    </r>
    <r>
      <rPr>
        <sz val="10"/>
        <color theme="1"/>
        <rFont val="微软雅黑"/>
        <family val="2"/>
        <charset val="134"/>
      </rPr>
      <t>6、Acuview2上和HMI上检查测量A&amp;B&amp;C、系统、用户通道、input通道的P、Q、S、PF是否均在精度范0.2%内。
7、input1~3对应的电流方向设置为Negative
8、Acuview2上和HMI上检查测量A&amp;B&amp;C、系统、用户通道、input通道的P、Q、S、PF是否均在精度范0.2%内。</t>
    </r>
  </si>
  <si>
    <t>6、Acuview2上和HMI上检查测量A&amp;B&amp;C、系统、用户通道、input通道的P、Q、S、PF均在精度范围内0.2%。
Phase A Active Power	0.180  0.180 ~ 0.180 
Phase A Reactive Power	0.312  0.311 ~ 0.312 
Phase A Apparent Power	0.360  0.359 ~ 0.361 
Phase A Power Factor	0.500  0.499 ~ 0.501
Phase B Active Power	0.180  0.180 ~ 0.180 
Phase B Reactive Power	0.312  0.311 ~ 0.312 
Phase B Apparent Power	0.360  0.359 ~ 0.361 
Phase B Power Factor	0.500  0.499 ~ 0.501 
Phase C Active Power	0.180  0.180 ~ 0.180 
Phase C Reactive Power	0.312  0.311 ~ 0.312 
Phase C Apparent Power	0.360  0.359 ~ 0.361 
Phase C Power Factor	0.500  0.499 ~ 0.501
System Active Power	    0.540  0.539 ~ 0.541 
System Reactive Power	0.935  0.933 ~ 0.937 
System Apparent Power	1.080  1.078 ~ 1.082 
System Power Factor	    0.500  0.499 ~ 0.501
Input Channel 1 Active Power	0.180 0.180 ~ 0.180 
Input Channel 1 Reactive Power	0.312 0.311 ~ 0.312 
Input Channel 1 Apparent Power	0.360 0.359 ~ 0.361 
Input Channel 1 Power Factor	0.500 0.499 ~ 0.501 
Input Channel 2 Active Power	0.180 0.180 ~ 0.180 
Input Channel 2 Reactive Power	0.312 0.311 ~ 0.312 
Input Channel 2 Apparent Power	0.360 0.359 ~ 0.361 
Input Channel 2 Power Factor	0.500 0.499 ~ 0.501 
Input Channel 3 Active Power	0.180 0.180 ~ 0.180 
Input Channel 3 Reactive Power	0.312 0.311 ~ 0.312 
Input Channel 3 Apparent Power	0.360 0.359 ~ 0.361 
Input Channel 3 Power Factor	0.500 0.499 ~ 0.501 
User Channel 1 Active Power	    0.540 0.539 ~ 0.541 
User Channel 1 Reactive Power	0.935 0.933 ~ 0.937 
User Channel 1 Apparent Power	1.080 1.078 ~ 1.082 
User Channel 1 Power Factor	    0.500 0.499 ~ 0.501
7、Acuview2上和HMI上检查测量A&amp;B&amp;C、系统、用户通道、input通道的P、Q、S、PF均在精度范围内0.2%。
备注: 使用Excel表格公式计算预期值
Phase A Active Power	-0.180 	-0.180 ~ -0.180 
Phase A Reactive Power	-0.312 	-0.311 ~ -0.312 
Phase A Apparent Power	-0.360 	-0.359 ~ -0.361 
Phase A Power Factor	0.500 	0.499  ~ 0.501 			
Phase B Active Power	-0.180 	-0.180 ~ -0.180 
Phase B Reactive Power	-0.312 	-0.311 ~ -0.312 
Phase B Apparent Power	-0.360 	-0.359 ~ -0.361 
Phase B Power Factor	0.500 	0.499  ~ 0.501 			
Phase C Active Power	-0.180 	-0.180 ~ -0.180 
Phase C Reactive Power	-0.312 	-0.311 ~ -0.312 
Phase C Apparent Power	-0.360 	-0.359 ~ -0.361 
Phase C Power Factor	0.500 	0.499  ~ 0.501 			
System Active Power	    -0.540 	-0.539 ~ -0.541 
System Reactive Power	-0.935 	-0.933 ~ -0.937 
System Apparent Power	-1.080 	-1.078 ~ -1.082 
System Power Factor	    0.500 	0.499  ~ 0.501 			
Input Channel 1 Active Power	-0.180 -0.180 ~ -0.180 
Input Channel 1 Reactive Power	-0.312 -0.311 ~ -0.312 
Input Channel 1 Apparent Power	-0.360 -0.359 ~ -0.361 
Input Channel 1 Power Factor	0.500  0.499 ~ 0.501 		
Input Channel 2 Active Power	-0.180 	-0.180 ~ -0.180 
Input Channel 2 Reactive Power	-0.312 	-0.311 ~ -0.312 
Input Channel 2 Apparent Power	-0.360 	-0.359 ~ -0.361 
Input Channel 2 Power Factor	0.500 	0.499  ~ 0.501 			
Input Channel 3 Active Power	-0.180 	-0.180 ~ -0.180 
Input Channel 3 Reactive Power	-0.312 	-0.311 ~ -0.312 
Input Channel 3 Apparent Power	-0.360 	-0.359 ~ -0.361 
Input Channel 3 Power Factor	0.500 	0.499  ~ 0.501 			
User Channel 1 Active Power	   -0.540 	-0.539 ~ -0.541 
User Channel 1 Reactive Power  -0.935 	-0.933 ~ -0.937 
User Channel 1 Apparent Power  -1.080 	-1.078 ~ -1.082 
User Channel 1 Power Factor	   0.500 	0.499  ~ 0.501</t>
  </si>
  <si>
    <t>Function_AcuRev4100_004_01_case3</t>
  </si>
  <si>
    <t>CT选型5A/333mV，3ELEMENT_4_WIRE_Y接线输入Input1~3(A&amp;B&amp;C相)电流为(4A)，ABC电压均为220V,电压相角θ和电流相角ϕ差值为120°，上位机配置对应user1,测量A&amp;B&amp;C的P、Q、S、PF,系统P、Q、S、PF，User1通道P、Q、S、PF，input1~3通道P、Q、S、PF，功率精度满足0.2%</t>
    <phoneticPr fontId="10" type="noConversion"/>
  </si>
  <si>
    <t>1、连接AcuRev4100电表到Acuview2上，链接状态为connected
2、Input1~3(A&amp;B&amp;C相)电流为(4A)， 电压均为220V
3、电压相角θ和电流相角ϕ差值为120°
4、上位机配置依次对应user1
5、Acuview2上和HMI上检查测量A&amp;B&amp;C、系统、用户通道、input通道的P、Q、S、PF是否均在精度范围内，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-1317.359918	~	-1322.639918
User1_Q:	2281.734499	~	2290.879727
User1_S:	2634.72	~	2645.28
User1_PF: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-0.499999969	~	-0.499999969</t>
  </si>
  <si>
    <t>5、Acuview2上和HMI上检查测量A&amp;B&amp;C、系统、用户通道、input通道的P、Q、S、PF均在精度范围内0.2%。
PhaseA_P:	-439.1199728	~	-440.8799727
PhaseA_Q:	760.5781663	~	763.6265758
PhaseA_S:	878.24	~	881.76
PhaseA_PF:	-0.498999969	~	-0.500999969
PhaseB_P:	-439.1199728	~	-440.8799727
PhaseB_Q:	760.5781663	~	763.6265758
PhaseB_S:	878.24	~	881.76
PhaseB_PF:	-0.498999969	~	-0.500999969
PhaseC_P:	-439.1199728	~	-440.8799727
PhaseC_Q:	760.5781663	~	763.6265758
PhaseC_S:	878.24	~	881.76
PhaseC_PF:	-0.498999969	~	-0.500999969
Sys_P:	-1317.359918	~	-1322.639918
Sys_Q:	2281.734499	~	2290.879727
Sys_S:	2634.72	~	2645.28
Sys_PF:	-0.498999969	~	-0.500999969
User1_P:	-1317.359918	~	-1322.639918
User1_Q:	2281.734499	~	2290.879727
User1_S:	2634.72	~	2645.28
User1_PF:	-0.498999969	~	-0.500999969
Input1_P:	-439.1199728	~	-440.8799727
Input1_Q:	760.5781663	~	763.6265758
Input1_S:	878.24	~	881.76
Input1_PF:	-0.498999969	~	-0.500999969
Input2_P:	-439.1199728	~	-440.8799727
Input2_Q:	760.5781663	~	763.6265758
Input2_S:	878.24	~	881.76
Input2_PF:	-0.498999969	~	-0.500999969
Input3_P:	-439.1199728	~	-440.8799727
Input3_Q:	760.5781663	~	763.6265758
Input3_S:	878.24	~	881.76
Input3_PF:	-0.499999969	~	-0.499999969</t>
    <phoneticPr fontId="10" type="noConversion"/>
  </si>
  <si>
    <t>Function_AcuRev4100_004_01_case4</t>
    <phoneticPr fontId="10" type="noConversion"/>
  </si>
  <si>
    <t>CT选型5A/333mV，3ELEMENT_4_WIRE_Y接线输入Input1~3(A&amp;B&amp;C相)电流为(5A)，ABC电压均为230V,电压相角θ和电流相角ϕ差值为225°，上位机配置对应user1,测量A&amp;B&amp;C的P、Q、S、PF,系统P、Q、S、PF，User1通道P、Q、S、PF，input1~3通道P、Q、S、PF，功率精度满足0.2%</t>
    <phoneticPr fontId="10" type="noConversion"/>
  </si>
  <si>
    <t>1、连接AcuRev4100电表到Acuview2上，链接状态为connected
2、Input1~3(A&amp;B&amp;C相)电流为(5A)， 电压均为230V
3、电压相角θ和电流相角ϕ差值为225°
4、上位机配置依次对应user1
5、Acuview2上和HMI上检查测量A&amp;B&amp;C、系统、用户通道、input通道的P、Q、S、PF是否均在精度范围内，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</si>
  <si>
    <t>5、Acuview2上和HMI上检查测量A&amp;B&amp;C、系统、用户通道、input通道的P、Q、S、PF均在精度范围内0.2%。
PhaseA_P:	-811.5465071	~	-814.7991985
PhaseA_Q:	-811.5463984	~	-814.7990894
PhaseA_S:	1147.7	~	1152.3
PhaseA_PF:	-0.705692615	~	-0.708521042
PhaseB_P:	-811.5465071	~	-814.7991985
PhaseB_Q:	-811.5463984	~	-814.7990894
PhaseB_S:	1147.7	~	1152.3
PhaseB_PF:	-0.705692615	~	-0.708521042
PhaseC_P:	-811.5465071	~	-814.7991985
PhaseC_Q:	-811.5463984	~	-814.7990894
PhaseC_S:	1147.7	~	1152.3
PhaseC_PF:	-0.705692615	~	-0.708521042
Sys_P:	-2434.639521	~	-2444.397596
Sys_Q:	-2434.639195	~	-2444.397268
Sys_S:	3443.1	~	3456.9
Sys_PF:	-0.705692615	~	-0.708521042
User1_P:	-2434.639521	~	-2444.397596
User1_Q:	-2434.639195	~	-2444.397268
User1_S:	3443.1	~	3456.9
User1_PF:	-0.705692615	~	-0.708521042
Input1_P:	-811.5465071	~	-814.7991985
Input1_Q:	-811.5463984	~	-814.7990894
Input1_S:	1147.7	~	1152.3
Input1_PF:	-0.705692615	~	-0.708521042
Input2_P:	-811.5465071	~	-814.7991985
Input2_Q:	-811.5463984	~	-814.7990894
Input2_S:	1147.7	~	1152.3
Input2_PF:	-0.705692615	~	-0.708521042
Input3_P:	-811.5465071	~	-814.7991985
Input3_Q:	-811.5463984	~	-814.7990894
Input3_S:	1147.7	~	1152.3
Input3_PF:	-0.707106829	~	-0.707106829</t>
    <phoneticPr fontId="10" type="noConversion"/>
  </si>
  <si>
    <t>Function_AcuRev4100_004_01_case5</t>
    <phoneticPr fontId="10" type="noConversion"/>
  </si>
  <si>
    <t>CT选型5A/333mV，3ELEMENT_4_WIRE_Y接线输入Input1~3(A&amp;B&amp;C相)电流为(4A)，ABC电压均为400V,电压相角θ和电流相角ϕ差值为330°，上位机配置对应user1,测量A&amp;B&amp;C的P、Q、S、PF,系统P、Q、S、PF，User1通道P、Q、S、PF，input1~3通道P、Q、S、PF，功率精度满足0.2%</t>
  </si>
  <si>
    <t>1、连接AcuRev4100电表到Acuview2上，链接状态为connected
2、Input1~3(A&amp;B&amp;C相)电流为(4A)， 电压均为400V
3、电压相角θ和电流相角ϕ差值为330°
4、上位机配置依次对应user1
5、Acuview2上和HMI上检查测量A&amp;B&amp;C、系统、用户通道、input通道的P、Q、S、PF是否均在精度范围内，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</si>
  <si>
    <t>5、Acuview2上和HMI上检查测量A&amp;B&amp;C、系统、用户通道、input通道的P、Q、S、PF均在精度范围内0.2%。
PhaseA_P:	1382.869286	~	1388.411849
PhaseA_Q:	-798.4001359	~	-801.6001364
PhaseA_S:	1596.8	~	1603.2
PhaseA_PF:	0.864293304	~	0.867757405
PhaseB_P:	1382.869286	~	1388.411849
PhaseB_Q:	-798.4001359	~	-801.6001364
PhaseB_S:	1596.8	~	1603.2
PhaseB_PF:	0.864293304	~	0.867757405
PhaseC_P:	1382.869286	~	1388.411849
PhaseC_Q:	-798.4001359	~	-801.6001364
PhaseC_S:	1596.8	~	1603.2
PhaseC_PF:	0.864293304	~	0.867757405
Sys_P:	4148.607859	~	4165.235546
Sys_Q:	-2395.200408	~	-2404.800409
Sys_S:	4790.4	~	4809.6
Sys_PF:	0.864293304	~	0.867757405
User1_P:	4148.607859	~	4165.235546
User1_Q:	-2395.200408	~	-2404.800409
User1_S:	4790.4	~	4809.6
User1_PF:	0.864293304	~	0.867757405
Input1_P:	1382.869286	~	1388.411849
Input1_Q:	-798.4001359	~	-801.6001364
Input1_S:	1596.8	~	1603.2
Input1_PF:	0.864293304	~	0.867757405
Input2_P:	1382.869286	~	1388.411849
Input2_Q:	-798.4001359	~	-801.6001364
Input2_S:	1596.8	~	1603.2
Input2_PF:	0.864293304	~	0.867757405
Input3_P:	1382.869286	~	1388.411849
Input3_Q:	-798.4001359	~	-801.6001364
Input3_S:	1596.8	~	1603.2
Input3_PF:	0.866025355	~	0.866025355</t>
  </si>
  <si>
    <t>Fault_AcuRev4100_004_01_case6</t>
  </si>
  <si>
    <t>CT选型5A/333mV，3ELEMENT_4_WIRE_Y接线输入Input1~3(A&amp;B&amp;C相)电流为(4A)，ABC电压均为220V,电压相角θ和电流相角ϕ差值为90°，上位机配置对应user1,测量A&amp;B&amp;C的P、Q、S、PF,系统P、Q、S、PF，User1通道P、Q、S、PF，input1~3通道P、Q、S、PF，功率精度满足0.2%</t>
    <phoneticPr fontId="10" type="noConversion"/>
  </si>
  <si>
    <t>1、连接AcuRev4100电表到Acuview2上，链接状态为connected
2、Input1~3(A&amp;B&amp;C相)电流为(4A)， 电压均为220V
3、电压相角θ和电流相角ϕ差值为90°
4、上位机配置依次对应user1
5、Acuview2上和HMI上检查测量A&amp;B&amp;C、系统、用户通道、input通道的P、Q、S、PF是否均在精度范围内，
PhaseA_P:	2.35323E-05	~	2.36267E-05
PhaseA_Q:	878.24	~	881.76
PhaseA_S:	878.24	~	881.76
PhaseA_PF:	2.67413E-08	~	2.68485E-08
PhaseB_P:	2.35323E-05	~	2.36267E-05
PhaseB_Q:	878.24	~	881.76
PhaseB_S:	878.24	~	881.76
PhaseB_PF:	2.67413E-08	~	2.68485E-08
PhaseC_P:	2.35323E-05	~	2.36267E-05
PhaseC_Q:	878.24	~	881.76
PhaseC_S:	878.24	~	881.76
PhaseC_PF:	2.67413E-08	~	2.68485E-08
Sys_P:	7.0597E-05	~	7.088E-05
Sys_Q:	2634.72	~	2645.28
Sys_S:	2634.72	~	2645.28
Sys_PF:	2.67413E-08	~	2.68485E-08
User1_P:	7.0597E-05	~	7.088E-05
User1_Q:	2634.72	~	2645.28
User1_S:	2634.72	~	2645.28
User1_PF:	2.67413E-08	~	2.68485E-08
Input1_P:	2.35323E-05	~	2.36267E-05
Input1_Q:	878.24	~	881.76
Input1_S:	878.24	~	881.76
Input1_PF:	2.67413E-08	~	2.68485E-08
Input2_P:	2.35323E-05	~	2.36267E-05
Input2_Q:	878.24	~	881.76
Input2_S:	878.24	~	881.76
Input2_PF:	2.67413E-08	~	2.68485E-08
Input3_P:	2.35323E-05	~	2.36267E-05
Input3_Q:	878.24	~	881.76
Input3_S:	878.24	~	881.76
Input3_PF:	2.67949E-08	~	2.67949E-08</t>
  </si>
  <si>
    <t>5、Acuview2上和HMI上检查测量A&amp;B&amp;C、系统、用户通道、input通道的P、Q、S、PF均在精度范围内0.2%。
PhaseA_P:	2.35323E-05	~	2.36267E-05
PhaseA_Q:	878.24	~	881.76
PhaseA_S:	878.24	~	881.76
PhaseA_PF:	2.67413E-08	~	2.68485E-08
PhaseB_P:	2.35323E-05	~	2.36267E-05
PhaseB_Q:	878.24	~	881.76
PhaseB_S:	878.24	~	881.76
PhaseB_PF:	2.67413E-08	~	2.68485E-08
PhaseC_P:	2.35323E-05	~	2.36267E-05
PhaseC_Q:	878.24	~	881.76
PhaseC_S:	878.24	~	881.76
PhaseC_PF:	2.67413E-08	~	2.68485E-08
Sys_P:	7.0597E-05	~	7.088E-05
Sys_Q:	2634.72	~	2645.28
Sys_S:	2634.72	~	2645.28
Sys_PF:	2.67413E-08	~	2.68485E-08
User1_P:	7.0597E-05	~	7.088E-05
User1_Q:	2634.72	~	2645.28
User1_S:	2634.72	~	2645.28
User1_PF:	2.67413E-08	~	2.68485E-08
Input1_P:	2.35323E-05	~	2.36267E-05
Input1_Q:	878.24	~	881.76
Input1_S:	878.24	~	881.76
Input1_PF:	2.67413E-08	~	2.68485E-08
Input2_P:	2.35323E-05	~	2.36267E-05
Input2_Q:	878.24	~	881.76
Input2_S:	878.24	~	881.76
Input2_PF:	2.67413E-08	~	2.68485E-08
Input3_P:	2.35323E-05	~	2.36267E-05
Input3_Q:	878.24	~	881.76
Input3_S:	878.24	~	881.76
Input3_PF:	2.67949E-08	~	2.67949E-08</t>
  </si>
  <si>
    <t>Fault_AcuRev4100_004_01_case7</t>
  </si>
  <si>
    <t>CT选型5A/333mV，3ELEMENT_4_WIRE_Y接线输入Input1~3(A&amp;B&amp;C相)电流为(3.5A)，ABC电压均为220V,电压相角θ和电流相角ϕ差值为180°，上位机配置对应user1,测量A&amp;B&amp;C的P、Q、S、PF,系统P、Q、S、PF，User1通道P、Q、S、PF，input1~3通道P、Q、S、PF，功率精度满足0.2%</t>
  </si>
  <si>
    <t>1、连接AcuRev4100电表到Acuview2上，链接状态为connected
2、Input1~3(A&amp;B&amp;C相)电流为(3.5A)， 电压均为220V
3、电压相角θ和电流相角ϕ差值为180
4、上位机配置依次对应user1
5、Acuview2上和HMI上检查测量A&amp;B&amp;C、系统、用户通道、input通道的P、Q、S、PF是否均在精度范围内，
PhaseA_P:	-768.46	~	-771.54
PhaseA_Q:	4.11816E-05	~	4.13467E-05
PhaseA_S:	768.46	~	771.54
PhaseA_PF:	-0.998	~	-1.002
PhaseB_P:	-768.46	~	-771.54
PhaseB_Q:	4.11816E-05	~	4.13467E-05
PhaseB_S:	768.46	~	771.54
PhaseB_PF:	-0.998	~	-1.002
PhaseC_P:	-768.46	~	-771.54
PhaseC_Q:	4.11816E-05	~	4.13467E-05
PhaseC_S:	768.46	~	771.54
PhaseC_PF:	-0.998	~	-1.002
Sys_P:	-2305.38	~	-2314.62
Sys_Q:	0.000123545	~	0.00012404
Sys_S:	2305.38	~	2314.62
Sys_PF:	-0.998	~	-1.002
User1_P:	-2305.38	~	-2314.62
User1_Q:	0.000123545	~	0.00012404
User1_S:	2305.38	~	2314.62
User1_PF:	-0.998	~	-1.002
Input1_P:	-768.46	~	-771.54
Input1_Q:	4.11816E-05	~	4.13467E-05
Input1_S:	768.46	~	771.54
Input1_PF:	-0.998	~	-1.002
Input2_P:	-768.46	~	-771.54
Input2_Q:	4.11816E-05	~	4.13467E-05
Input2_S:	768.46	~	771.54
Input2_PF:	-0.998	~	-1.002
Input3_P:	-768.46	~	-771.54
Input3_Q:	4.11816E-05	~	4.13467E-05
Input3_S:	768.46	~	771.54
Input3_PF:	-1	~	-1</t>
  </si>
  <si>
    <t>5、Acuview2上和HMI上检查测量A&amp;B&amp;C、系统、用户通道、input通道的P、Q、S、PF均在精度范围内0.2%。
PhaseA_P:	-768.46	~	-771.54
PhaseA_Q:	4.11816E-05	~	4.13467E-05
PhaseA_S:	768.46	~	771.54
PhaseA_PF:	-0.998	~	-1.002
PhaseB_P:	-768.46	~	-771.54
PhaseB_Q:	4.11816E-05	~	4.13467E-05
PhaseB_S:	768.46	~	771.54
PhaseB_PF:	-0.998	~	-1.002
PhaseC_P:	-768.46	~	-771.54
PhaseC_Q:	4.11816E-05	~	4.13467E-05
PhaseC_S:	768.46	~	771.54
PhaseC_PF:	-0.998	~	-1.002
Sys_P:	-2305.38	~	-2314.62
Sys_Q:	0.000123545	~	0.00012404
Sys_S:	2305.38	~	2314.62
Sys_PF:	-0.998	~	-1.002
User1_P:	-2305.38	~	-2314.62
User1_Q:	0.000123545	~	0.00012404
User1_S:	2305.38	~	2314.62
User1_PF:	-0.998	~	-1.002
Input1_P:	-768.46	~	-771.54
Input1_Q:	4.11816E-05	~	4.13467E-05
Input1_S:	768.46	~	771.54
Input1_PF:	-0.998	~	-1.002
Input2_P:	-768.46	~	-771.54
Input2_Q:	4.11816E-05	~	4.13467E-05
Input2_S:	768.46	~	771.54
Input2_PF:	-0.998	~	-1.002
Input3_P:	-768.46	~	-771.54
Input3_Q:	4.11816E-05	~	4.13467E-05
Input3_S:	768.46	~	771.54
Input3_PF:	-1	~	-1</t>
  </si>
  <si>
    <t>Fault_AcuRev4100_004_01_case8</t>
  </si>
  <si>
    <t>CT选型5A/333mV，3ELEMENT_4_WIRE_Y接线输入Input1~3(A&amp;B&amp;C相)电流为(4.5A)，ABC电压均为220V,电压相角θ和电流相角ϕ差值为270°，上位机配置对应user1,测量A&amp;B&amp;C的P、Q、S、PF,系统P、Q、S、PF，User1通道P、Q、S、PF，input1~3通道P、Q、S、PF，功率精度满足0.2%</t>
    <phoneticPr fontId="10" type="noConversion"/>
  </si>
  <si>
    <t>1、连接AcuRev4100电表到Acuview2上，链接状态为connected
2、Input1~3(A&amp;B&amp;C相)电流为4.5A， 电压均为220
3、电压相角θ和电流相角ϕ差值为270°
4、上位机配置依次对应user1
5、Acuview2上和HMI上检查测量A&amp;B&amp;C、系统、用户通道、input通道的P、Q、S、PF是否均在精度范围内，
PhaseA_P:	-7.94217E-05	~	-7.974E-05
PhaseA_Q:	-988.02	~	-991.98
PhaseA_S:	988.02	~	991.98
PhaseA_PF:	-8.02239E-08	~	-8.05455E-08
PhaseB_P:	-7.94217E-05	~	-7.974E-05
PhaseB_Q:	-988.02	~	-991.98
PhaseB_S:	988.02	~	991.98
PhaseB_PF:	-8.02239E-08	~	-8.05455E-08
PhaseC_P:	-7.94217E-05	~	-7.974E-05
PhaseC_Q:	-988.02	~	-991.98
PhaseC_S:	988.02	~	991.98
PhaseC_PF:	-8.02239E-08	~	-8.05455E-08
Sys_P:	-0.000238265	~	-0.00023922
Sys_Q:	-2964.06	~	-2975.94
Sys_S:	2964.06	~	2975.94
Sys_PF:	-8.02239E-08	~	-8.05455E-08
User1_P:	-0.000238265	~	-0.00023922
User1_Q:	-2964.06	~	-2975.94
User1_S:	2964.06	~	2975.94
User1_PF:	-8.02239E-08	~	-8.05455E-08
Input1_P:	-7.94217E-05	~	-7.974E-05
Input1_Q:	-988.02	~	-991.98
Input1_S:	988.02	~	991.98
Input1_PF:	-8.02239E-08	~	-8.05455E-08
Input2_P:	-7.94217E-05	~	-7.974E-05
Input2_Q:	-988.02	~	-991.98
Input2_S:	988.02	~	991.98
Input2_PF:	-8.02239E-08	~	-8.05455E-08
Input3_P:	-7.94217E-05	~	-7.974E-05
Input3_Q:	-988.02	~	-991.98
Input3_S:	988.02	~	991.98
Input3_PF:	-8.03847E-08	~	-8.03847E-08</t>
  </si>
  <si>
    <t>5、Acuview2上和HMI上检查测量A&amp;B&amp;C、系统、用户通道、input通道的P、Q、S、PF均在精度范围内0.2%。
PhaseA_P:	-7.94217E-05	~	-7.974E-05
PhaseA_Q:	-988.02	~	-991.98
PhaseA_S:	988.02	~	991.98
PhaseA_PF:	-8.02239E-08	~	-8.05455E-08
PhaseB_P:	-7.94217E-05	~	-7.974E-05
PhaseB_Q:	-988.02	~	-991.98
PhaseB_S:	988.02	~	991.98
PhaseB_PF:	-8.02239E-08	~	-8.05455E-08
PhaseC_P:	-7.94217E-05	~	-7.974E-05
PhaseC_Q:	-988.02	~	-991.98
PhaseC_S:	988.02	~	991.98
PhaseC_PF:	-8.02239E-08	~	-8.05455E-08
Sys_P:	-0.000238265	~	-0.00023922
Sys_Q:	-2964.06	~	-2975.94
Sys_S:	2964.06	~	2975.94
Sys_PF:	-8.02239E-08	~	-8.05455E-08
User1_P:	-0.000238265	~	-0.00023922
User1_Q:	-2964.06	~	-2975.94
User1_S:	2964.06	~	2975.94
User1_PF:	-8.02239E-08	~	-8.05455E-08
Input1_P:	-7.94217E-05	~	-7.974E-05
Input1_Q:	-988.02	~	-991.98
Input1_S:	988.02	~	991.98
Input1_PF:	-8.02239E-08	~	-8.05455E-08
Input2_P:	-7.94217E-05	~	-7.974E-05
Input2_Q:	-988.02	~	-991.98
Input2_S:	988.02	~	991.98
Input2_PF:	-8.02239E-08	~	-8.05455E-08
Input3_P:	-7.94217E-05	~	-7.974E-05
Input3_Q:	-988.02	~	-991.98
Input3_S:	988.02	~	991.98
Input3_PF:	-8.03847E-08	~	-8.03847E-08</t>
  </si>
  <si>
    <t>Fault_AcuRev4100_004_01_case9</t>
  </si>
  <si>
    <t>CT选型5A/333mV，3ELEMENT_4_WIRE_Y接线输入Input1~3(A&amp;B&amp;C相)电流为(2.5A,1A,0.3A)，ABC电压均为69V，电压相角θ和电流相角ϕ差值为30°，上位机配置对应user1，测量A&amp;B&amp;C的P、Q、S、PF,系统P、Q、S、PF，User1通道P、Q、S、PF，input通道P、Q、S、PF，功率精度满足0.2%</t>
  </si>
  <si>
    <t>1、连接AcuRev4100电表到Acuview2上，链接状态为connected
2、Input1~3(A&amp;B&amp;C相)电流为(2.5A,1A,0.3A)， 电压均为69V
3、电压相角θ和电流相角ϕ差值为30°
4、上位机配置依次对应user1
5、Acuview2上和HMI上检查测量A&amp;B&amp;C、系统、用户通道、input通道的P、Q、S、PF是否均在精度范围内，
PhaseA_P:	475.3613466	~	477.2666025
PhaseA_Q:	274.4499958	~	275.5499957
PhaseA_S:	548.9	~	551.1
PhaseA_PF:	0.864293357	~	0.867757459
PhaseB_P:	190.1445386	~	190.906641
PhaseB_Q:	109.7799983	~	110.2199983
PhaseB_S:	219.56	~	220.44
PhaseB_PF:	0.864293357	~	0.867757459
PhaseC_P:	57.04336159	~	57.2719923
PhaseC_Q:	32.93399949	~	33.06599949
PhaseC_S:	65.868	~	66.132
PhaseC_PF:	0.864293357	~	0.867757459
Sys_P:	722.5492468	~	725.4452358
Sys_Q:	417.1639935	~	418.8359935
Sys_S:	834.328	~	837.672
Sys_PF:	0.864293357	~	0.867757459
User1_P:	722.5492468	~	725.4452358
User1_Q:	417.1639935	~	418.8359935
User1_S:	834.328	~	837.672
User1_PF:	0.864293357	~	0.867757459
Input1_P:	475.3613466	~	477.2666025
Input1_Q:	274.4499958	~	275.5499957
Input1_S:	548.9	~	551.1
Input1_PF:	0.864293357	~	0.867757459
Input2_P:	190.1445386	~	190.906641
Input2_Q:	109.7799983	~	110.2199983
Input2_S:	219.56	~	220.44
Input2_PF:	0.864293357	~	0.867757459
Input3_P:	57.04336159	~	57.2719923
Input3_Q:	32.93399949	~	33.06599949
Input3_S:	65.868	~	66.132
Input3_PF:	0.866025408	~	0.866025408</t>
  </si>
  <si>
    <t>5、Acuview2上和HMI上检查测量A&amp;B&amp;C、系统、用户通道、input通道的P、Q、S、PF均在精度范围内0.2%。
PhaseA_P:	475.3613466	~	477.2666025
PhaseA_Q:	274.4499958	~	275.5499957
PhaseA_S:	548.9	~	551.1
PhaseA_PF:	0.864293357	~	0.867757459
PhaseB_P:	190.1445386	~	190.906641
PhaseB_Q:	109.7799983	~	110.2199983
PhaseB_S:	219.56	~	220.44
PhaseB_PF:	0.864293357	~	0.867757459
PhaseC_P:	57.04336159	~	57.2719923
PhaseC_Q:	32.93399949	~	33.06599949
PhaseC_S:	65.868	~	66.132
PhaseC_PF:	0.864293357	~	0.867757459
Sys_P:	722.5492468	~	725.4452358
Sys_Q:	417.1639935	~	418.8359935
Sys_S:	834.328	~	837.672
Sys_PF:	0.864293357	~	0.867757459
User1_P:	722.5492468	~	725.4452358
User1_Q:	417.1639935	~	418.8359935
User1_S:	834.328	~	837.672
User1_PF:	0.864293357	~	0.867757459
Input1_P:	475.3613466	~	477.2666025
Input1_Q:	274.4499958	~	275.5499957
Input1_S:	548.9	~	551.1
Input1_PF:	0.864293357	~	0.867757459
Input2_P:	190.1445386	~	190.906641
Input2_Q:	109.7799983	~	110.2199983
Input2_S:	219.56	~	220.44
Input2_PF:	0.864293357	~	0.867757459
Input3_P:	57.04336159	~	57.2719923
Input3_Q:	32.93399949	~	33.06599949
Input3_S:	65.868	~	66.132
Input3_PF:	0.866025408	~	0.866025408</t>
  </si>
  <si>
    <t>Fault_AcuRev4100_004_01_case10</t>
    <phoneticPr fontId="10" type="noConversion"/>
  </si>
  <si>
    <t>CT选型5A/333mV，3ELEMENT_4_WIRE_Y接线输入Input1~3(A&amp;B&amp;C相)电流为(0.05A、0.2A、0.25A)，ABC电压均为220V，电压电流相角差值为0°，上位机配置对应user1，测量A&amp;B&amp;C相、系统、User1通道、input通道P、Q、S、PF，功率精度满足0.2%</t>
  </si>
  <si>
    <t>1、连接AcuRev4100电表到Acuview2上，链接状态为connected
2、Input1~3(A&amp;B&amp;C相)电流为(0.05A、0.2A、0.25A)， 电压均为220V
3、电压相角θ和电流相角ϕ差值为0°
4、上位机配置依次对应user1
5、Acuview2上和HMI上检查测量A&amp;B&amp;C、系统、用户通道、input通道的P、Q、S、PF是否均在精度范围内，</t>
  </si>
  <si>
    <t xml:space="preserve">5、Acuview2上和HMI上检查测量A&amp;B&amp;C、系统、用户通道、input通道的P、Q、S、PF均在精度范围内0.2%。
备注: 接线方式和input对应取电压值明确后，使用excel 批量计算对应参数。
</t>
  </si>
  <si>
    <t>Fault_AcuRev4100_004_01_case10_1</t>
  </si>
  <si>
    <t>CT选型5A/333mV，3ELEMENT_4_WIRE_Y接线输入Input1~3(A&amp;B&amp;C相)电流为(0.005A、0.03A、0.045A)，ABC电压均为220V，电压电流相角差值为0°，上位机配置对应user1，测量A&amp;B&amp;C相、系统、User1通道、input通道P、Q、S、PF，有测量值，无精度要求</t>
    <phoneticPr fontId="10" type="noConversion"/>
  </si>
  <si>
    <t>1、连接AcuRev4100电表到Acuview2上，链接状态为connected
2、Input1~3(A&amp;B&amp;C相)电流为(0.005A、0.03A、0.045A)， 电压均为220V
3、电压相角θ和电流相角ϕ差值为0°
4、上位机配置依次对应user1
5、Acuview2上和HMI上检查测量A&amp;B&amp;C、系统、用户通道、input通道的P、Q、S、PF是否均在精度范围内</t>
  </si>
  <si>
    <t>5、Acuview2上和HMI上检查测量A&amp;B&amp;C、系统、用户通道、input通道的P、Q、S、PF, 功率有参数，无精度要求。功率显示为0，目前最小显示功率为0.015</t>
  </si>
  <si>
    <t>Fault_AcuRev4100_004_01_case10_2</t>
  </si>
  <si>
    <t>CT选型5A/333mV，3ELEMENT_4_WIRE_Y接线输入Input1~3(A&amp;B&amp;C相)电流为(0.002A、0.003A、0.004A)，ABC电压均为220V，电压电流相角差值为0°，上位机配置对应user1，测量A&amp;B&amp;C相、系统、User1通道、input通道P、Q、S、PF，功率测量值为0</t>
    <phoneticPr fontId="10" type="noConversion"/>
  </si>
  <si>
    <t>1、连接AcuRev4100电表到Acuview2上，链接状态为connected
2、Input1~3(A&amp;B&amp;C相)电流为(0.002A、0.003A、0.004A)， 电压均为220V
3、电压相角θ和电流相角ϕ差值为0°
4、上位机配置依次对应user1
5、Acuview2上和HMI上检查测量A&amp;B&amp;C、系统、用户通道、input通道的P、Q、S、PF，功率测量值是否全为0.</t>
  </si>
  <si>
    <t>5、Acuview2上和HMI上检查测量A&amp;B&amp;C、系统、用户通道、input通道的P、Q、S、PF，功率测量值无精度要求
备注：mV启动电流0.001875A，故功率不为0</t>
  </si>
  <si>
    <t>Function_AcuRev4100_004_01_case10_3</t>
    <phoneticPr fontId="10" type="noConversion"/>
  </si>
  <si>
    <t>3ELEMENT_4_WIRE_Y接线输入Input1~24(A&amp;B&amp;C相)电流为(0A、0A、0A)，ABC电压均为220V，电压电流相角差值为0°，测量A&amp;B&amp;C相、系统、User1~12通道、input1~24通道P、Q、S、PF，功率测量值为0</t>
    <phoneticPr fontId="10" type="noConversion"/>
  </si>
  <si>
    <t>1、连接AcuRev4100电表到Acuview2上，链接状态为connected
2、Input1~24(A&amp;B&amp;C相)电流为(0A、0A、0A)， 电压均为220V
3、电压相角θ和电流相角ϕ差值为0°
4、上位机配置依次对应user1~12
5、Acuview2上和HMI上检查测量A&amp;B&amp;C、系统、用户通道、input通道的P、Q、S、PF，功率测量值是否全为0.</t>
    <phoneticPr fontId="10" type="noConversion"/>
  </si>
  <si>
    <t>5、Acuview2上和HMI上检查测量A&amp;B&amp;C、系统、用户通道、input通道的P、Q、S、PF，功率测量值全为0.</t>
    <phoneticPr fontId="10" type="noConversion"/>
  </si>
  <si>
    <t>Fault_AcuRev4100_004_01_case10_4</t>
  </si>
  <si>
    <t>3ELEMENT_4_WIRE_Y接线输入Input1~3(A&amp;B&amp;C相)电流为(1A、1A、1A)，ABC电压分别为(68V、30V，10.2V)，电压电流相角差值为0°，上位机配置对应user1，测量A&amp;B&amp;C相、系统、User1通道、input通道P、Q、S、PF，功率精度满足0.2%   C电压改为15.2</t>
    <phoneticPr fontId="10" type="noConversion"/>
  </si>
  <si>
    <t>1、连接AcuRev4100电表到Acuview2上，链接状态为connected
2、Input1~3(A&amp;B&amp;C相)电流为(1A、1A、1A)， ABC电压分别为(68V、30V，10V)
3、电压相角θ和电流相角ϕ差值为0°
4、上位机配置依次对应user1
5、Acuview2上和HMI上检查测量A&amp;B&amp;C、系统、用户通道、input通道的P、Q、S、PF是否均在精度范围内</t>
  </si>
  <si>
    <r>
      <t xml:space="preserve">5、Acuview2上和HMI上检查测量A&amp;B&amp;C、系统、用户通道、input通道的P、Q、S、PF, </t>
    </r>
    <r>
      <rPr>
        <b/>
        <sz val="10"/>
        <color theme="1"/>
        <rFont val="微软雅黑"/>
        <family val="2"/>
        <charset val="134"/>
      </rPr>
      <t>功率精度满足0.2%</t>
    </r>
    <phoneticPr fontId="10" type="noConversion"/>
  </si>
  <si>
    <t>Fault_AcuRev4100_004_01_case10_5</t>
  </si>
  <si>
    <t>3ELEMENT_4_WIRE_Y接线输入Input1~3(A&amp;B&amp;C相)电流为(1A、1A、1A)，ABC电压均为9V，电压电流相角差值为0°，上位机配置对应user1，测量A&amp;B&amp;C相、系统、User1通道、input通道P、Q、S、PF，功率测量值为0</t>
  </si>
  <si>
    <t>1、连接AcuRev4100电表到Acuview2上，链接状态为connected
2、Input1~3(A&amp;B&amp;C相)电流为(1A、1A、1A)， 电压均为9V
3、电压相角θ和电流相角ϕ差值为0°
4、上位机配置依次对应user1
5、Acuview2上和HMI上检查测量A&amp;B&amp;C、系统、用户通道、input通道的P、Q、S、PF，功率测量值是否全为0.</t>
    <phoneticPr fontId="10" type="noConversion"/>
  </si>
  <si>
    <t>5、Acuview2上和HMI上检查测量A&amp;B&amp;C、系统、用户通道、input通道的P、Q、S、PF,功率测量值全为0.</t>
    <phoneticPr fontId="10" type="noConversion"/>
  </si>
  <si>
    <t>Function_AcuRev4100_004_01_case11</t>
    <phoneticPr fontId="10" type="noConversion"/>
  </si>
  <si>
    <t>CT选型5A/333mV, 1E1p2w输入Input1~3(A相)电流为(3A、4A、5A)，ABC电压均为120V, 电压相角θ和电流相角ϕ差值为0°，系统P、Q、S、PF，User1通道P、Q、S、PF，input1~3通道P、Q、S、PF，功率精度满足0.2%</t>
  </si>
  <si>
    <t>1、Acuview2上位机
2、网线/RTU串口线
3、AcuRev4100电表
4、接线方式为1E1p2w(A相)</t>
    <phoneticPr fontId="10" type="noConversion"/>
  </si>
  <si>
    <t>1、连接AcuRev4100电表到Acuview2上，链接状态为connected
2、Input1~3(三路电流全部选择对应VA)电流为(3A、4A、5A)， 电压均为120
3、电压相角θ和电流相角ϕ差值为0°（φUABC为(0° 240° 120°，φIinput1~3为0°,0°,0°)
4、Acuview2上和HMI上检查测量A&amp;B&amp;C、系统、input通道的P、Q、S、PF是否均在精度0.2%范围内。</t>
  </si>
  <si>
    <t xml:space="preserve">4、Acuview2上和HMI上检查测量A、系统、input通道的P、Q、S、PF均在精度范围内0.2%。
Phase A Active Power	1.440 	1.437 	1.443 
Phase A Reactive Power	0.000 	0.000 	0.000 
Phase A Apparent Power	1.440 	1.437 	1.443 
Phase A Power Factor	1.000 	0.998 	1.002 
System Active Power	    1.440 	1.437 	1.443 
System Reactive Power	0.000 	0.000 	0.000 
System Apparent Power	1.440 	1.437 	1.443 
System Power Factor	    1.000 	0.998 	1.002 
Input Channel 1 Active Power	0.360 	0.359 	0.361 
Input Channel 1 Reactive Power	0.000 	0.000 	0.000 
Input Channel 1 Apparent Power	0.360 	0.359 	0.361 
Input Channel 1 Power Factor	1.000 	0.998 	1.002 
Input Channel 2 Active Power	0.480 	0.479 	0.481 
Input Channel 2 Reactive Power	0.000 	0.000 	0.000 
Input Channel 2 Apparent Power	0.480 	0.479 	0.481 
Input Channel 2 Power Factor	1.000 	0.998 	1.002 
Input Channel 3 Active Power	0.600 	0.599 	0.601 
Input Channel 3 Reactive Power	0.000 	0.000 	0.000 
Input Channel 3 Apparent Power	0.600 	0.599 	0.601 
Input Channel 3 Power Factor	1.000 	0.998 	1.002 
			</t>
  </si>
  <si>
    <t>Function_AcuRev4100_004_01_case11_1</t>
    <phoneticPr fontId="10" type="noConversion"/>
  </si>
  <si>
    <t>CT选型5A/333mV, 1E1p2w输入Input1~3(A相)电流为(3A、4A、5A)，ABC电压均为120V, 电压相角θ和电流相角ϕ差值为0°，上位机配置对应user1~3,修改电流方向为Negative， 测量A的P、Q、S、PF，系统P、Q、S、PF，User1通道P、Q、S、PF，input1~3通道P、Q、S、PF，功率精度满足0.2%</t>
  </si>
  <si>
    <t>1、连接AcuRev4100电表到Acuview2上，链接状态为connected
2、Input1~3(三路电流全部选择对应VA)电流为(3A、4A、5A)， 电压均为120
3、电压相角θ和电流相角ϕ差值为0°（φUABC为(0° 240° 120°，φIinput1~3为0°,0°,0°)
4、上位机配置依次对应user1-user3
5、Input1~3电流方向设置为Positive
6、Acuview2上和HMI上检查测量A&amp;B&amp;C、系统、用户通道、input通道的P、Q、S、PF是否均在精度0.2%范围内。
7、Input1~3电流方向设置为Negative
8、Acuview2上和HMI上检查测量A&amp;B&amp;C、系统、用户通道、input通道的P、Q、S、PF是否均在精度0.2%范围内。</t>
    <phoneticPr fontId="10" type="noConversion"/>
  </si>
  <si>
    <t>6、Acuview2上和HMI上检查测量A&amp;B&amp;C、系统、用户通道、input通道的P、Q、S、PF均在精度范围内0.2%，且PF为1
8、Acuview2上和HMI上检查测量A&amp;B&amp;C、系统、用户通道、input通道的P、Q、S、PF均在精度范围内0.2%,且PF为-1</t>
    <phoneticPr fontId="10" type="noConversion"/>
  </si>
  <si>
    <t>Function_AcuRev4100_004_01_case12</t>
  </si>
  <si>
    <t>CT选型5A/333mV, 1E1p2w输入Input1~3(A相)电流为(3A)，ABC电压均为69V,电压相角θ和电流相角ϕ差值为30°,上位机配置对应user1~3,测量B的P、Q、S、PF，系统P、Q、S、PF，User1通道P、Q、S、PF，input1~3通道P、Q、S、PF，功率精度满足0.2%</t>
  </si>
  <si>
    <t>1、Acuview2上位机
2、网线/RTU串口线
3、AcuRev4100电表
4、接线方式为1E1p2w(A相)</t>
  </si>
  <si>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 电压均为69V
3、电压相角θ和电流相角ϕ差值为30°， Va的相角为0，Input1~3为330°
4、上位机配置依次对应user1-user3
5、Acuview2上和HMI上检查测量A&amp;B&amp;C、系统、用户通道、input通道的P、Q、S、PF是否均在精度范围内</t>
    </r>
  </si>
  <si>
    <t xml:space="preserve">5、Acuview2上和HMI上检查测量A&amp;B&amp;C、系统、用户通道、input通道的P、Q、S、PF均在精度范围内0.2%。
Phase A Active Power	0.538 	0.537 	0.539 
Phase A Reactive Power	0.311 	0.310 	0.311 
Phase A Apparent Power	0.621 	0.620 	0.622 
Phase A Power Factor	0.866 	0.864 	0.868 
Phase B Active Power	0.000 	0.000 	0.000 
Phase B Reactive Power	0.000 	0.000 	0.000 
Phase B Apparent Power	0.000 	0.000 	0.000 
Phase B Power Factor	0.866 	0.864 	0.868 
Phase C Active Power	0.000 	0.000 	0.000 
Phase C Reactive Power	0.000 	0.000 	0.000 
Phase C Apparent Power	0.000 	0.000 	0.000 
Phase C Power Factor	0.866 	0.864 	0.868 
System Active Power	0.538 	0.537 	0.539 
System Reactive Power	0.311 	0.310 	0.311 
System Apparent Power	0.621 	0.620 	0.622 
System Power Factor	0.866 	0.864 	0.868 
Input Channel 1 Active Power	0.179 	0.179 	0.180 
Input Channel 1 Reactive Power	0.104 	0.103 	0.104 
Input Channel 1 Apparent Power	0.207 	0.207 	0.207 
Input Channel 1 Power Factor	0.866 	0.864 	0.868 
Input Channel 2 Active Power	0.179 	0.179 	0.180 
Input Channel 2 Reactive Power	0.104 	0.103 	0.104 
Input Channel 2 Apparent Power	0.207 	0.207 	0.207 
Input Channel 2 Power Factor	0.866 	0.864 	0.868 
Input Channel 3 Active Power	0.179 	0.179 	0.180 
Input Channel 3 Reactive Power	0.104 	0.103 	0.104 
Input Channel 3 Apparent Power	0.207 	0.207 	0.207 
Input Channel 3 Power Factor	0.866 	0.864 	0.868 
User Channel 1 Active Power	0.179 	0.179 	0.180 
User Channel 1 Reactive Power	0.104 	0.103 	0.104 
User Channel 1 Apparent Power	0.207 	0.207 	0.207 
User Channel 1 Power Factor	0.866 	0.864 	0.868 
User Channel 2 Active Power	0.179 	0.179 	0.180 
User Channel 2 Reactive Power	0.104 	0.103 	0.104 
User Channel 2 Apparent Power	0.207 	0.207 	0.207 
User Channel 2 Power Factor	0.866 	0.864 	0.868 
User Channel 3 Active Power	0.179 	0.179 	0.180 
User Channel 3 Reactive Power	0.104 	0.103 	0.104 
User Channel 3 Apparent Power	0.207 	0.207 	0.207 
User Channel 3 Power Factor	0.866 	0.864 	0.868 </t>
  </si>
  <si>
    <t>Function_AcuRev4100_004_01_case12_1</t>
    <phoneticPr fontId="10" type="noConversion"/>
  </si>
  <si>
    <t>CT选型5A/333mV, 1E1p2w输入Input1~3(A相)电流为(3A)，ABC电压均为69V,电压相角θ和电流相角ϕ差值为30°,电流反向negative，上位机配置对应user1~3,测量B的P、Q、S、PF，系统P、Q、S、PF，User1通道P、Q、S、PF，input1~3通道P、Q、S、PF，功率精度满足0.2%</t>
  </si>
  <si>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 电压均为69V
3、电压相角θ和电流相角ϕ差值为30°， Va的相角为0，Input1~3为330°
4、上位机配置依次对应user1-user3
5、电流设置为postive
6、Acuview2上和HMI上检查测量A&amp;B&amp;C、系统、用户通道、input通道的P、Q、S、PF是否均在精度范围内
7、电流设置为negative
8、Acuview2上和HMI上检查测量A&amp;B&amp;C、系统、用户通道、input通道的P、Q、S、PF是否均在精度范围内</t>
    </r>
  </si>
  <si>
    <t>6、Acuview2上和HMI上检查测量A&amp;B&amp;C、系统、用户通道、input通道的P、Q、S、PF均在精度范围内0.2%。
8、Acuview2上和HMI上检查测量A&amp;B&amp;C、系统、用户通道、input通道的P、Q、S、PF均在精度范围内0.2%，且P、Q、PF均为负值。</t>
    <phoneticPr fontId="10" type="noConversion"/>
  </si>
  <si>
    <t>Function_AcuRev4100_004_01_case13</t>
    <phoneticPr fontId="10" type="noConversion"/>
  </si>
  <si>
    <r>
      <t>CT选型5A/333mV, 1E1p2w输入Input1~3(A相)电流为(4A)，ABC电压均为220V,电压相角θ和电流相角ϕ差值为</t>
    </r>
    <r>
      <rPr>
        <b/>
        <sz val="10"/>
        <color theme="1"/>
        <rFont val="微软雅黑"/>
        <family val="2"/>
        <charset val="134"/>
      </rPr>
      <t>120°</t>
    </r>
    <r>
      <rPr>
        <sz val="10"/>
        <color theme="1"/>
        <rFont val="微软雅黑"/>
        <family val="2"/>
        <charset val="134"/>
      </rPr>
      <t>,上位机配置对应user1~3,测量B的P、Q、S、PF，系统P、Q、S、PF，User1通道P、Q、S、PF，input1~3通道P、Q、S、PF，功率精度满足0.2%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</si>
  <si>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电流为(4A)， 电压均为220V
3、电压相角θ和电流相角ϕ差值为120°，</t>
    </r>
    <r>
      <rPr>
        <b/>
        <sz val="10"/>
        <color theme="1"/>
        <rFont val="微软雅黑"/>
        <family val="2"/>
        <charset val="134"/>
      </rPr>
      <t xml:space="preserve"> Va的相角为0，Input1~3为240°
</t>
    </r>
    <r>
      <rPr>
        <sz val="10"/>
        <color theme="1"/>
        <rFont val="微软雅黑"/>
        <family val="2"/>
        <charset val="134"/>
      </rPr>
      <t>4、上位机配置依次对应user1-user3
5、Acuview2上和HMI上检查测量A&amp;B&amp;C、系统、用户通道、input通道的P、Q、S、PF是否均在精度范围内，</t>
    </r>
  </si>
  <si>
    <t>5、Acuview2上和HMI上检查测量A&amp;B&amp;C、系统、用户通道、input通道的P、Q、S、PF均在精度范围内0.2%。
Phase A Active Power	-0.414 	-0.413 	-0.415 
Phase A Reactive Power	0.717 	0.716 	0.719 
Phase A Apparent Power	0.828 	0.826 	0.830 
Phase A Power Factor	-0.500 	-0.499 	-0.501 
Phase B Active Power	0.000 	0.000 	0.000 
Phase B Reactive Power	0.000 	0.000 	0.000 
Phase B Apparent Power	0.000 	0.000 	0.000 
Phase B Power Factor	-0.500 	-0.499 	-0.501 
Phase C Active Power	0.000 	0.000 	0.000 
Phase C Reactive Power	0.000 	0.000 	0.000 
Phase C Apparent Power	0.000 	0.000 	0.000 
Phase C Power Factor	-0.500 	-0.499 	-0.501 
System Active Power	    -0.414 	-0.413 	-0.415 
System Reactive Power	0.717 	0.716 	0.719 
System Apparent Power	0.828 	0.826 	0.830 
System Power Factor	    -0.500 	-0.499 	-0.501 
Input Channel 1 Active Power	-0.138 	-0.138 	-0.138 
Input Channel 1 Reactive Power	0.239 	0.239 	0.240 
Input Channel 1 Apparent Power	0.276 	0.275 	0.277 
Input Channel 1 Power Factor	-0.500 	-0.499 	-0.501 
Input Channel 2 Active Power	-0.138 	-0.138 	-0.138 
Input Channel 2 Reactive Power	0.239 	0.239 	0.240 
Input Channel 2 Apparent Power	0.276 	0.275 	0.277 
Input Channel 2 Power Factor	-0.500 	-0.499 	-0.501 
Input Channel 3 Active Power	-0.138 	-0.138 	-0.138 
Input Channel 3 Reactive Power	0.239 	0.239 	0.240 
Input Channel 3 Apparent Power	0.276 	0.275 	0.277 
Input Channel 3 Power Factor	-0.500 	-0.499 	-0.501 
User Channel 1 Active Power	    -0.138 	-0.138 	-0.138 
User Channel 1 Reactive Power	0.239 	0.239 	0.240 
User Channel 1 Apparent Power	0.276 	0.275 	0.277 
User Channel 1 Power Factor	    -0.500 	-0.499 	-0.501 
User Channel 2 Active Power	    -0.138 	-0.138 	-0.138 
User Channel 2 Reactive Power	0.239 	0.239 	0.240 
User Channel 2 Apparent Power	0.276 	0.275 	0.277 
User Channel 2 Power Factor	    -0.500 	-0.499 	-0.501 
User Channel 3 Active Power	    -0.138 	-0.138 	-0.138 
User Channel 3 Reactive Power	0.239 	0.239 	0.240 
User Channel 3 Apparent Power	0.276 	0.275 	0.277</t>
    <phoneticPr fontId="10" type="noConversion"/>
  </si>
  <si>
    <t>Function_AcuRev4100_004_01_case14</t>
  </si>
  <si>
    <r>
      <t>CT选型5A/333mV, 1E1p2w输入Input1~3(A相)电流为(5A)，ABC电压均为230V,电压相角θ和电流相角ϕ差值为</t>
    </r>
    <r>
      <rPr>
        <b/>
        <sz val="10"/>
        <color theme="1"/>
        <rFont val="微软雅黑"/>
        <family val="2"/>
        <charset val="134"/>
      </rPr>
      <t>225</t>
    </r>
    <r>
      <rPr>
        <sz val="10"/>
        <color theme="1"/>
        <rFont val="微软雅黑"/>
        <family val="2"/>
        <charset val="134"/>
      </rPr>
      <t>°,上位机配置对应user1~3,测量C的P、Q、S、PF，系统P、Q、S、PF，User1通道P、Q、S、PF，input1~3通道P、Q、S、PF，功率精度满足0.2%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</si>
  <si>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)电流为(5A)， 电压均为230V
3、电压相角θ和电流相角ϕ差值为225°，</t>
    </r>
    <r>
      <rPr>
        <b/>
        <sz val="10"/>
        <color theme="1"/>
        <rFont val="微软雅黑"/>
        <family val="2"/>
        <charset val="134"/>
      </rPr>
      <t xml:space="preserve">Va的相角为0，Input1~3为135°
</t>
    </r>
    <r>
      <rPr>
        <sz val="10"/>
        <color theme="1"/>
        <rFont val="微软雅黑"/>
        <family val="2"/>
        <charset val="134"/>
      </rPr>
      <t>4、上位机配置依次对应user1-user3
5、Acuview2上和HMI上检查测量A&amp;B&amp;C、系统、用户通道、input通道的P、Q、S、PF是否均在精度范围内，</t>
    </r>
  </si>
  <si>
    <t xml:space="preserve">"5、Acuview2上和HMI上检查测量A&amp;B&amp;C、系统、用户通道、input通道的P、Q、S、PF均在精度范围内0.2%。
Phase A Active Power	-2.43952 	-2.43464 	-2.44440 
Phase A Reactive Power	-2.43952 	-2.43464 	-2.44440 
Phase A Apparent Power	3.45000 	3.44310 	3.45690 
Phase A Power Factor	-0.70711 	-0.70569 	-0.70852 
Phase B Active Power	0.00000 	0.00000 	0.00000 
Phase B Reactive Power	0.00000 	0.00000 	0.00000 
Phase B Apparent Power	0.00000 	0.00000 	0.00000 
Phase B Power Factor	-0.70711 	-0.70569 	-0.70852 
Phase C Active Power	0.00000 	0.00000 	0.00000 
Phase C Reactive Power	0.00000 	0.00000 	0.00000 
Phase C Apparent Power	0.00000 	0.00000 	0.00000 
Phase C Power Factor	-0.70711 	-0.70569 	-0.70852 
System Active Power	-2.43952 	-2.43464 	-2.44440 
System Reactive Power	-2.43952 	-2.43464 	-2.44440 
System Apparent Power	3.45000 	3.44310 	3.45690 
System Power Factor	-0.70711 	-0.70569 	-0.70852 
Input Channel 1 Active Power	-0.81317 	-0.81155 	-0.81480 
Input Channel 1 Reactive Power	-0.81317 	-0.81155 	-0.81480 
Input Channel 1 Apparent Power	1.15000 	1.14770 	1.15230 
Input Channel 1 Power Factor	-0.70711 	-0.70569 	-0.70852 
Input Channel 2 Active Power	-0.81317 	-0.81155 	-0.81480 
Input Channel 2 Reactive Power	-0.81317 	-0.81155 	-0.81480 
Input Channel 2 Apparent Power	1.15000 	1.14770 	1.15230 
Input Channel 2 Power Factor	-0.70711 	-0.70569 	-0.70852 
Input Channel 3 Active Power	-0.81317 	-0.81155 	-0.81480 
Input Channel 3 Reactive Power	-0.81317 	-0.81155 	-0.81480 
Input Channel 3 Apparent Power	1.15000 	1.14770 	1.15230 
Input Channel 3 Power Factor	-0.70711 	-0.70569 	-0.70852 
User Channel 1 Active Power	-0.81317 	-0.81155 	-0.81480 
User Channel 1 Reactive Power	-0.81317 	-0.81155 	-0.81480 
User Channel 1 Apparent Power	1.15000 	1.14770 	1.15230 
User Channel 1 Power Factor	-0.70711 	-0.70569 	-0.70852 
User Channel 2 Active Power	-0.81317 	-0.81155 	-0.81480 
User Channel 2 Reactive Power	-0.81317 	-0.81155 	-0.81480 
User Channel 2 Apparent Power	1.15000 	1.14770 	1.15230 
User Channel 2 Power Factor	-0.70711 	-0.70569 	-0.70852 
User Channel 3 Active Power	-0.81317 	-0.81155 	-0.81480 
User Channel 3 Reactive Power	-0.81317 	-0.81155 	-0.81480 
User Channel 3 Apparent Power	1.15000 	1.14770 	1.15230 
User Channel 3 Power Factor	-0.70711 	-0.70569 	-0.70852 </t>
    <phoneticPr fontId="10" type="noConversion"/>
  </si>
  <si>
    <t>Function_AcuRev4100_004_01_case15</t>
  </si>
  <si>
    <r>
      <t>CT选型5A/333mV, 1E1p2w输入Input1~3(</t>
    </r>
    <r>
      <rPr>
        <b/>
        <sz val="10"/>
        <color theme="1"/>
        <rFont val="微软雅黑"/>
        <family val="2"/>
        <charset val="134"/>
      </rPr>
      <t>A相)</t>
    </r>
    <r>
      <rPr>
        <sz val="10"/>
        <color theme="1"/>
        <rFont val="微软雅黑"/>
        <family val="2"/>
        <charset val="134"/>
      </rPr>
      <t>电流为(5A)，ABC电压均为400V,电压相角θ和电流相角ϕ差值</t>
    </r>
    <r>
      <rPr>
        <b/>
        <sz val="10"/>
        <color theme="1"/>
        <rFont val="微软雅黑"/>
        <family val="2"/>
        <charset val="134"/>
      </rPr>
      <t>为330°,</t>
    </r>
    <r>
      <rPr>
        <sz val="10"/>
        <color theme="1"/>
        <rFont val="微软雅黑"/>
        <family val="2"/>
        <charset val="134"/>
      </rPr>
      <t>上位机配置对应user1~3</t>
    </r>
    <r>
      <rPr>
        <b/>
        <sz val="10"/>
        <color theme="1"/>
        <rFont val="微软雅黑"/>
        <family val="2"/>
        <charset val="134"/>
      </rPr>
      <t>,测量系统P、Q、S、PF，User1通道P、Q、S、PF，input1~3通道P、Q、S、PF，功率精度满足0.2%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</si>
  <si>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)电流为(5A)， 电压均为400V
3、电压相角θ和电流相角ϕ差值为330°</t>
    </r>
    <r>
      <rPr>
        <b/>
        <sz val="10"/>
        <color theme="1"/>
        <rFont val="微软雅黑"/>
        <family val="2"/>
        <charset val="134"/>
      </rPr>
      <t>，Va的相角为0，Input1~3为30°</t>
    </r>
    <r>
      <rPr>
        <sz val="10"/>
        <color theme="1"/>
        <rFont val="微软雅黑"/>
        <family val="2"/>
        <charset val="134"/>
      </rPr>
      <t xml:space="preserve">
4、上位机配置依次对应user1-user3
5、Acuview2上和HMI上检查测量A&amp;B&amp;C、系统、用户通道、input通道的P、Q、S、PF是否均在精度范围内
</t>
    </r>
    <phoneticPr fontId="10" type="noConversion"/>
  </si>
  <si>
    <t xml:space="preserve">5、Acuview2上和HMI上检查测量A&amp;B&amp;C、系统、用户通道、input通道的P、Q、S、PF均在精度范围内0.2%。
Phase A Active Power	5.19615 	5.18576 	5.20654 
Phase A Reactive Power	-3.00000 	-2.99400 	-3.00600 
Phase A Apparent Power	6.00000 	5.98800 	6.01200 
Phase A Power Factor	0.86603 	0.86429 	0.86776 
Phase B Active Power	0.00000 	0.00000 	0.00000 
Phase B Reactive Power	0.00000 	0.00000 	0.00000 
Phase B Apparent Power	0.00000 	0.00000 	0.00000 
Phase B Power Factor	0.86603 	0.86429 	0.86776 
Phase C Active Power	0.00000 	0.00000 	0.00000 
Phase C Reactive Power	0.00000 	0.00000 	0.00000 
Phase C Apparent Power	0.00000 	0.00000 	0.00000 
Phase C Power Factor	0.86603 	0.86429 	0.86776 
System Active Power	5.19615 	5.18576 	5.20654 
System Reactive Power	-3.00000 	-2.99400 	-3.00600 
System Apparent Power	6.00000 	5.98800 	6.01200 
System Power Factor	0.86603 	0.86429 	0.86776 
Input Channel 1 Active Power	1.73205 	1.72859 	1.73551 
Input Channel 1 Reactive Power	-1.00000 	-0.99800 	-1.00200 
Input Channel 1 Apparent Power	2.00000 	1.99600 	2.00400 
Input Channel 1 Power Factor	0.86603 	0.86429 	0.86776 
Input Channel 2 Active Power	1.73205 	1.72859 	1.73551 
Input Channel 2 Reactive Power	-1.00000 	-0.99800 	-1.00200 
Input Channel 2 Apparent Power	2.00000 	1.99600 	2.00400 
Input Channel 2 Power Factor	0.86603 	0.86429 	0.86776 
Input Channel 3 Active Power	1.73205 	1.72859 	1.73551 
Input Channel 3 Reactive Power	-1.00000 	-0.99800 	-1.00200 
Input Channel 3 Apparent Power	2.00000 	1.99600 	2.00400 
Input Channel 3 Power Factor	0.86603 	0.86429 	0.86776 	
User Channel 1 Active Power	1.73205 	1.72859 	1.73551 
User Channel 1 Reactive Power	-1.00000 	-0.99800 	-1.00200 
User Channel 1 Apparent Power	2.00000 	1.99600 	2.00400 
User Channel 1 Power Factor	0.86603 	0.86429 	0.86776 
User Channel 2 Active Power	1.73205 	1.72859 	1.73551 
User Channel 2 Reactive Power	-1.00000 	-0.99800 	-1.00200 
User Channel 2 Apparent Power	2.00000 	1.99600 	2.00400 
User Channel 2 Power Factor	0.86603 	0.86429 	0.86776 
User Channel 3 Active Power	1.73205 	1.72859 	1.73551 
User Channel 3 Reactive Power	-1.00000 	-0.99800 	-1.00200 
User Channel 3 Apparent Power	2.00000 	1.99600 	2.00400 
User Channel 3 Power Factor	0.86603 	0.86429 	0.86776 </t>
    <phoneticPr fontId="10" type="noConversion"/>
  </si>
  <si>
    <t>Function_AcuRev4100_004_01_case15_1</t>
    <phoneticPr fontId="10" type="noConversion"/>
  </si>
  <si>
    <r>
      <t>CT选型5A/333mV, 2 ELEMENT_3_WIRE_PHASE_1输入Input1~2</t>
    </r>
    <r>
      <rPr>
        <b/>
        <sz val="10"/>
        <color theme="1"/>
        <rFont val="微软雅黑"/>
        <family val="2"/>
        <charset val="134"/>
      </rPr>
      <t>(AC相)</t>
    </r>
    <r>
      <rPr>
        <sz val="10"/>
        <color theme="1"/>
        <rFont val="微软雅黑"/>
        <family val="2"/>
        <charset val="134"/>
      </rPr>
      <t>电流为(5A 5A)，ABC电压均为120V,电压相角θ和电流相角ϕ差值为</t>
    </r>
    <r>
      <rPr>
        <b/>
        <sz val="10"/>
        <color theme="1"/>
        <rFont val="微软雅黑"/>
        <family val="2"/>
        <charset val="134"/>
      </rPr>
      <t>30</t>
    </r>
    <r>
      <rPr>
        <sz val="10"/>
        <color theme="1"/>
        <rFont val="微软雅黑"/>
        <family val="2"/>
        <charset val="134"/>
      </rPr>
      <t>°,上位机配置对应user1,测量系统P、Q、S、PF，User1通道P、Q、S、PF，input1~3通道P、Q、S、PF，功率精度满足0.2%</t>
    </r>
  </si>
  <si>
    <t>1、Acuview2上位机
2、网线/RTU串口线
3、AcuRev4100电表
4、接线方式为2 ELEMENT_3_WIRE_PHASE_1</t>
    <phoneticPr fontId="10" type="noConversion"/>
  </si>
  <si>
    <t xml:space="preserve">1、连接AcuRev4100电表到Acuview2上，链接状态为connected
2、Input1~2(两路电流全部选择对应VA VC)电流为(5A 5A)， 电压均为120V
3、电压相角θ和电流相角ϕ差值为30°，Va VC的相角为0 240，Input1~2为330°、210° 
4、上位机配置依次对应user1
5、Acuview2上和HMI上检查测量A&amp;B&amp;C、系统、用户通道、input通道的P、Q、S、PF是否均在精度范围内
6、检查相电压是否满足精度要求，线电压是否为207.8461   207.6383 ~ 208.0539 </t>
  </si>
  <si>
    <t xml:space="preserve">5、Acuview2上和HMI上检查测量A&amp;B&amp;C、系统、用户通道、input通道的P、Q、S、PF均在精度范围内0.2%。 
6、检查相电压是否满足精度要求，线电压为207.8461   207.6383 ~ 208.0539 </t>
  </si>
  <si>
    <t>Function_AcuRev4100_004_01_case15_2</t>
    <phoneticPr fontId="10" type="noConversion"/>
  </si>
  <si>
    <r>
      <t>CT选型5A/333mV, 2 ELEMENT_3_WIRE_PHASE_1输入Input1~2</t>
    </r>
    <r>
      <rPr>
        <b/>
        <sz val="10"/>
        <color theme="1"/>
        <rFont val="微软雅黑"/>
        <family val="2"/>
        <charset val="134"/>
      </rPr>
      <t>(AC相)</t>
    </r>
    <r>
      <rPr>
        <sz val="10"/>
        <color theme="1"/>
        <rFont val="微软雅黑"/>
        <family val="2"/>
        <charset val="134"/>
      </rPr>
      <t>电流为(4A 5A)，修改电流方向Negative，ABC电压均为120V,电压相角θ和电流相角ϕ差值为30°,上位机配置对应user1,测量系统P、Q、S、PF，User1通道P、Q、S、PF，input1~3通道P、Q、S、PF，功率精度满足0.2%</t>
    </r>
  </si>
  <si>
    <t>1、连接AcuRev4100电表到Acuview2上，链接状态为connected
2、Input1~2(两路电流全部选择对应VA Vc)电流为(4A 5A)， 电压均为120V
3、电压相角θ和电流相角ϕ差值为30°，Va Vc的相角为0 240，Input1~2为330°、210° 
4、上位机配置依次对应user1
5、修改电流方向为Positive
6、Acuview2上和HMI上检查测量A&amp;B&amp;C、系统、用户通道、input通道的P、Q、S、PF是否均在精度范围内
7、修改电流方向为Negative
8、Acuview2上和HMI上检查测量A&amp;B&amp;C、系统、用户通道、input通道的P、Q、S、PF是否均在精度范围内</t>
  </si>
  <si>
    <t xml:space="preserve">"6、Acuview2上和HMI上检查测量A&amp;B&amp;C、系统、用户通道、input通道的P、Q、S、PF均在精度范围内0.2%。
Phase A Active Power	0.41569 	0.41486 	0.41652 
Phase A Reactive Power	0.24000 	0.23952 	0.24048 
Phase A Apparent Power	0.48000 	0.47904 	0.48096 
Phase A Power Factor	0.86603 	0.86429 	0.86776 
Phase C Active Power	0.51962 	0.51858 	0.52065 
Phase C Reactive Power	0.30000 	0.29940 	0.30060 
Phase C Apparent Power	0.60000 	0.59880 	0.60120 
Phase C Power Factor	0.86603 	0.86429 	0.86776 
System Active Power	0.93531 	0.93344 	0.93718 
System Reactive Power	0.54000 	0.53892 	0.54108 
System Apparent Power	1.08000 	1.07784 	1.08216 
System Power Factor	0.86603 	0.86429 	0.86776 
Input Channel 1 Active Power	0.41569 	0.41486 	0.41652 
Input Channel 1 Reactive Power	0.24000 	0.23952 	0.24048 
Input Channel 1 Apparent Power	0.48000 	0.47904 	0.48096 
Input Channel 1 Power Factor	0.86603 	0.86429 	0.86776 
Input Channel 2 Active Power	0.51962 	0.51858 	0.52065 
Input Channel 2 Reactive Power	0.30000 	0.29940 	0.30060 
Input Channel 2 Apparent Power	0.60000 	0.59880 	0.60120 
Input Channel 2 Power Factor	0.86603 	0.86429 	0.86776 
Input Channel 3 Active Power	0.00000 	0.00000 	0.00000 
Input Channel 3 Reactive Power	0.00000 	0.00000 	0.00000 
Input Channel 3 Apparent Power	0.00000 	0.00000 	0.00000 
Input Channel 3 Power Factor	0.00000 	0.00000 	0.00000 
User Channel 1 Active Power	0.93531 	0.93344 	0.93718 
User Channel 1 Reactive Power	0.54000 	0.53892 	0.54108 
User Channel 1 Apparent Power	1.08000 	1.07784 	1.08216 
User Channel 1 Power Factor	0.86603 	0.86429 	0.86776 
8、Acuview2上和HMI上检查测量A&amp;B&amp;C、系统、用户通道、input通道的P、Q、S、PF均在精度范围内0.2%。
Phase A Active Power	-0.41569 	-0.41486 	-0.41652 
Phase A Reactive Power	-0.24000 	-0.23952 	-0.24048 
Phase A Apparent Power	0.48000 	0.47904 	0.48096 
Phase A Power Factor	-0.86603 	-0.86429 	-0.86776 
Phase C Active Power	-0.51962 	-0.51858 	-0.52065 
Phase C Reactive Power	-0.30000 	-0.29940 	-0.30060 
Phase C Apparent Power	0.60000 	0.59880 	0.60120 
Phase C Power Factor	-0.86603 	-0.86429 	-0.86776 
System Active Power	-0.93531 	-0.93344 	-0.93718 
System Reactive Power	-0.54000 	-0.53892 	-0.54108 
System Apparent Power	1.08000 	1.07784 	1.08216 
System Power Factor	-0.86603 	-0.86429 	-0.86776 
Input Channel 1 Active Power	-0.41569 	-0.41486 	-0.41652 
Input Channel 1 Reactive Power	-0.24000 	-0.23952 	-0.24048 
Input Channel 1 Apparent Power	0.48000 	0.47904 	0.48096 
Input Channel 1 Power Factor	-0.86603 	-0.86429 	-0.86776 
Input Channel 2 Active Power	-0.51962 	-0.51858 	-0.52065 
Input Channel 2 Reactive Power	-0.30000 	-0.29940 	-0.30060 
Input Channel 2 Apparent Power	0.60000 	0.59880 	0.60120 
Input Channel 2 Power Factor	-0.86603 	-0.86429 	-0.86776 
Input Channel 3 Active Power	0.00000 	0.00000 	0.00000 
Input Channel 3 Reactive Power	0.00000 	0.00000 	0.00000 
Input Channel 3 Apparent Power	0.00000 	0.00000 	0.00000 
Input Channel 3 Power Factor	0.00000 	0.00000 	0.00000 
User Channel 1 Active Power	    -0.93531 	-0.93344 	-0.93718 
User Channel 1 Reactive Power	-0.54000 	-0.53892 	-0.54108 
User Channel 1 Apparent Power	1.08000 	1.07784 	1.08216 
User Channel 1 Power Factor	-0.86603 	-0.86429 	-0.86776 </t>
  </si>
  <si>
    <t>Function_AcuRev4100_004_01_case16</t>
  </si>
  <si>
    <t>CT选型5A/333mV，1E1p2w输入Input1~24电流为(3A)，ABC电压均为120V,电压相角θ和电流相角ϕ差值为0°,上位机配置依次对应user1~12，测量A&amp;B&amp;C的P、Q、S、PF,系统P、Q、S、PF，User1~12通道P、Q、S、PF，input1-24通道P、Q、S、PF，功率精度满足0.2%</t>
  </si>
  <si>
    <t>1、Acuview2上位机
2、网线/RTU串口线
3、AcuRev4100电表
4、接线方式为1E1p2w(C相)</t>
  </si>
  <si>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电流为(3A、4A、5A)， 电压均为120
3、电压相角θ和电流相角ϕ差值为0°
4、上位机配置依次对应Input1~24
5、Acuview2上和HMI上检查测量A&amp;B&amp;C、系统、用户通道、input通道的P、Q、S、PF是否均在精度范围内
备注:通过工具批量计算精度范围内值和上位机上值比较</t>
    </r>
  </si>
  <si>
    <t>5、Acuview2上和HMI上检查测量A&amp;B&amp;C、系统、用户通道、input通道的P、Q、S、PF均在精度范围内0.2%。
备注:通过工具批量计算精度范围内值和上位机上值比较</t>
    <phoneticPr fontId="10" type="noConversion"/>
  </si>
  <si>
    <t>Function_AcuRev4100_004_01_case17</t>
  </si>
  <si>
    <r>
      <t>CT选型5A/333mV，1E1p2w输入Input1~24电流为(4A)，ABC电压均为220V,电压相角θ和电流相角ϕ差值为</t>
    </r>
    <r>
      <rPr>
        <b/>
        <sz val="10"/>
        <color theme="1"/>
        <rFont val="微软雅黑"/>
        <family val="2"/>
        <charset val="134"/>
      </rPr>
      <t>30</t>
    </r>
    <r>
      <rPr>
        <sz val="10"/>
        <color theme="1"/>
        <rFont val="微软雅黑"/>
        <family val="2"/>
        <charset val="134"/>
      </rPr>
      <t>°,上位机配置依次对应user1~12，测量A&amp;B&amp;C的P、Q、S、PF,系统P、Q、S、PF，User1~12通道P、Q、S、PF，input1-24通道P、Q、S、PF，功率精度满足0.2%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</si>
  <si>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电流为(4A)， 电压均为120
3、电压相角θ和电流相角ϕ差值为</t>
    </r>
    <r>
      <rPr>
        <b/>
        <sz val="10"/>
        <color theme="1"/>
        <rFont val="微软雅黑"/>
        <family val="2"/>
        <charset val="134"/>
      </rPr>
      <t xml:space="preserve">30°
</t>
    </r>
    <r>
      <rPr>
        <sz val="10"/>
        <color theme="1"/>
        <rFont val="微软雅黑"/>
        <family val="2"/>
        <charset val="134"/>
      </rPr>
      <t>4、上位机配置依次对应Input1~24
5、Acuview2上和HMI上检查测量A&amp;B&amp;C、系统、用户通道、input通道的P、Q、S、PF是否均在精度范围内，
备注：通过工具批量计算精度范围内值和上位机上值比较</t>
    </r>
  </si>
  <si>
    <t>5、Acuview2上和HMI上检查测量A&amp;B&amp;C、系统、用户通道、input通道的P、Q、S、PF均在精度范围内0.2%。
备注:通过工具批量计算精度范围内值和上位机上值比较</t>
  </si>
  <si>
    <t>Function_AcuRev4100_004_01_case18</t>
  </si>
  <si>
    <t>3ELEMENT_4_WIRE_Y接线输入Input1~3(A&amp;B&amp;C相)电流为(3A、4A、5A)，ABC电压均为120V,电压电流相角ϕ差值为0°,配置对应user1,无功功率算法设置“True Reactive Power”，测量A&amp;B&amp;C的Q,系统Q，User1通道Q，input1~3通道Q，功率精度满足0.2%</t>
  </si>
  <si>
    <t xml:space="preserve">1、连接AcuRev4100电表到Acuview2上，链接状态为connected
2、Input1~3(A&amp;B&amp;C相)电流为(3A、4A、5A)， 电压均为120
3、电压相角θ和电流相角ϕ差值为0°
4、上位机配置依次对应user1， 无功功率算法设置“True Reactive Power”
5、Acuview2上和HMI上检查测量A&amp;B&amp;C、系统、用户通道、input通道的Q是否均在精度范围内
PhaseA_Q: 0.00	
PhaseB_Q: 0.00	
PhaseC_Q: 0.00	
Sys_Q:	  0.00   
User1_Q: 0.00	
Input1_Q: 0.00	
Input2_Q: 0.00	
Input3_Q: 0.00	</t>
  </si>
  <si>
    <t xml:space="preserve">5、Acuview2上和HMI上检查测量A&amp;B&amp;C、系统、用户通道、input通道的Q均在精度范围内
PhaseA_Q: 0.00	
PhaseB_Q: 0.00	
PhaseC_Q: 0.00	
Sys_Q:	  0.00   
User1_Q: 0.00	
Input1_Q: 0.00	
Input2_Q: 0.00	
Input3_Q: 0.00	</t>
  </si>
  <si>
    <t>Function_AcuRev4100_004_01_case19</t>
  </si>
  <si>
    <t>3ELEMENT_4_WIRE_Y接线输入Input1~3(A&amp;B&amp;C相)电流为(3A、4A、5A)，ABC电压均为120V,电压电流相角ϕ差值为0°,配置对应user1,无功功率算法设置“Generic Reactive Power”，测量A&amp;B&amp;C的Q,系统Q，User1通道Q，input1~3通道Q，功率精度满足0.2%</t>
  </si>
  <si>
    <t xml:space="preserve">1、连接AcuRev4100电表到Acuview2上，链接状态为connected
2、Input1~3(A&amp;B&amp;C相)电流为(3A、4A、5A)， 电压均为120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</si>
  <si>
    <t>Function_AcuRev4100_004_01_case20</t>
  </si>
  <si>
    <t>3ELEMENT_4_WIRE_Y接线输入Input1~3(A&amp;B&amp;C相)电流为(3A、4A、5A)，ABC电压均为220V,电压电流相角ϕ差值为0°,配置对应user1,三相电压叠加3次谐波(50%)，无功功率算法设置“Generic Reactive Power”，测量A&amp;B&amp;C的Q,系统Q，User1通道Q，input1~3通道Q，功率精度满足0.2%</t>
  </si>
  <si>
    <t xml:space="preserve">1、连接AcuRev4100电表到Acuview2上，链接状态为connected
2、Input1~3(A&amp;B&amp;C相)电流为(3A、4A、5A)， 电压均为220
3、电压相角θ和电流相角ϕ差值为0°
4、上位机配置依次对应user1，无功功率算法设置“Generic Reactive Power”
5、Acuview2上和HMI上检查测量A&amp;B&amp;C、系统、用户通道、input通道的Q是否均在精度范围内
PhaseA_Q: 0.00	
PhaseB_Q: 0.00	
PhaseC_Q: 0.00	
Sys_Q:	  0.00  
User1_Q: 0.00	
Input1_Q: 0.00	
Input2_Q: 0.00	
Input3_Q: 0.00	</t>
  </si>
  <si>
    <t>Function_AcuRev4100_004_01_case21</t>
  </si>
  <si>
    <t>3ELEMENT_4_WIRE_Y接线输入Input1~3(A&amp;B&amp;C相)电流为(3A、4A、5A)，ABC电压均为220V,电压电流相角ϕ差值为30°,配置对应user1，无功功率算法设置“True Reactive Power”，测量A&amp;B&amp;C的Q,系统Q，User1通道Q，input1~3通道Q，功率精度满足0.2%</t>
  </si>
  <si>
    <t>1、连接AcuRev4100电表到Acuview2上，链接状态为connected
2、Input1~3(A&amp;B&amp;C相)电流为(3A、4A、5A)， 电压均为220
3、电压相角θ和电流相角ϕ差值为30°
4、上位机配置依次对应user1，无功功率算法设置“Generic Reactive Power”
5、Acuview2上和HMI上检查测量A&amp;B&amp;C、系统、用户通道、input通道的Q是否均在精度范围内, 单位:KW
PhaseA_Q:	0.32934	~	0.33066
PhaseB_Q:	0.43912	~	0.44088
PhaseC_Q:	0.5489	~	0.5511
Sys_Q:	1.31736	~	1.32264
User1_Q:	1.31736	~	1.32264
Input1_Q:	0.32934	~	0.33066
Input2_Q:	0.43912	~	0.44088
Input3_Q:	0.5489	~	0.5511</t>
  </si>
  <si>
    <t>5、Acuview2上和HMI上检查测量A&amp;B&amp;C、系统、用户通道、input通道的Q均在精度范围内
PhaseA_Q:	0.32934	~	0.33066
PhaseB_Q:	0.43912	~	0.44088
PhaseC_Q:	0.5489	~	0.5511
Sys_Q:	1.31736	~	1.32264
User1_Q:	1.31736	~	1.32264
Input1_Q:	0.32934	~	0.33066
Input2_Q:	0.43912	~	0.44088
Input3_Q:	0.5489	~	0.5511</t>
    <phoneticPr fontId="10" type="noConversion"/>
  </si>
  <si>
    <t>Function_AcuRev4100_004_01_case22</t>
  </si>
  <si>
    <r>
      <t>3ELEMENT_4_WIRE_Y接线输入Input1~3(A&amp;B&amp;C相)电流为(3A、4A、5A)，ABC电压均为220V,电压电流相角ϕ差</t>
    </r>
    <r>
      <rPr>
        <b/>
        <sz val="10"/>
        <color theme="1"/>
        <rFont val="微软雅黑"/>
        <family val="2"/>
        <charset val="134"/>
      </rPr>
      <t>值为60°</t>
    </r>
    <r>
      <rPr>
        <sz val="10"/>
        <color theme="1"/>
        <rFont val="微软雅黑"/>
        <family val="2"/>
        <charset val="134"/>
      </rPr>
      <t>,配置对应user1,三相电压叠加5次谐</t>
    </r>
    <r>
      <rPr>
        <b/>
        <sz val="10"/>
        <color theme="1"/>
        <rFont val="微软雅黑"/>
        <family val="2"/>
        <charset val="134"/>
      </rPr>
      <t>波(30%)</t>
    </r>
    <r>
      <rPr>
        <sz val="10"/>
        <color theme="1"/>
        <rFont val="微软雅黑"/>
        <family val="2"/>
        <charset val="134"/>
      </rPr>
      <t>，无功功率算法设置“Generic Reactive Power”，测量A&amp;B&amp;C的Q,系统Q，User1通道Q，input1~3通道Q，功率精度满足0.2%</t>
    </r>
  </si>
  <si>
    <t>1、连接AcuRev4100电表到Acuview2上，链接状态为connected
2、Input1~3(A&amp;B&amp;C相)电流为(3A、4A、5A)， 电压均为220V
3、电压相角θ和电流相角ϕ差值为60°,三相电压叠加5次谐波(30%)
4、上位机配置依次对应user1，无功功率算法设置“Generic Reactive Power”
5、Acuview2上和HMI上检查测量A&amp;B&amp;C、系统、用户通道、input通道的Q是否均在精度范围内, 单位:KW
PhaseA_Q:	0.603690192	~	0.606109792
PhaseB_Q:	0.804920256	~	0.808146389
PhaseC_Q:	1.00615032	~	1.010182986
Sys_Q:	2.414760767	~	2.424439167
User1_Q:	2.414760767	~	2.424439167
Input1_Q:	0.603690192	~	0.606109792
Input2_Q:	0.804920256	~	0.808146389
Input3_Q:	1.00615032	~	1.010182986</t>
  </si>
  <si>
    <t>5、Acuview2上和HMI上检查测量A&amp;B&amp;C、系统、用户通道、input通道的Q均在精度范围内
PhaseA_Q:	0.603690192	~	0.606109792
PhaseB_Q:	0.804920256	~	0.808146389
PhaseC_Q:	1.00615032	~	1.010182986
Sys_Q:	2.414760767	~	2.424439167
User1_Q:	2.414760767	~	2.424439167
Input1_Q:	0.603690192	~	0.606109792
Input2_Q:	0.804920256	~	0.808146389
Input3_Q:	1.00615032	~	1.010182986</t>
  </si>
  <si>
    <t>Function_AcuRev4100_004_01_case23</t>
    <phoneticPr fontId="10" type="noConversion"/>
  </si>
  <si>
    <r>
      <t>3ELEMENT_4_WIRE_Y接线输入Input1~3(A&amp;B&amp;C相)电流为(5A、5A、5A)，ABC电压均为220V,电压电流相角ϕ差值为120°,配置对应user1,三相电流叠加5次谐波(</t>
    </r>
    <r>
      <rPr>
        <b/>
        <sz val="10"/>
        <color theme="1"/>
        <rFont val="微软雅黑"/>
        <family val="2"/>
        <charset val="134"/>
      </rPr>
      <t>30%</t>
    </r>
    <r>
      <rPr>
        <sz val="10"/>
        <color theme="1"/>
        <rFont val="微软雅黑"/>
        <family val="2"/>
        <charset val="134"/>
      </rPr>
      <t>)，无功功率算法设置“Generic Reactive Power”，测量A&amp;B&amp;C的Q,系统Q，User1通道Q，input1~3通道Q，功率精度满足0.2%</t>
    </r>
  </si>
  <si>
    <t>1、连接AcuRev4100电表到Acuview2上，链接状态为connected
2、Input1~3(A&amp;B&amp;C相)电流为(5A、5A、5A)， 电压均为220V
3、电压相角θ和电流相角ϕ差值为120°
4、上位机配置依次对应user1，无功功率算法设置“Generic Reactive Power”
5、Acuview2上和HMI上检查测量A&amp;B&amp;C、系统、用户通道、input通道的Q是否均在精度范围内, 单位:KW
PhaseA_Q:	1.00615032	~	1.010182986
PhaseB_Q:	1.00615032	~	1.010182986
PhaseC_Q:	1.00615032	~	1.010182986
Sys_Q:	3.018450959	~	3.030548959
User1_Q:	3.018450959	~	3.030548959
Input1_Q:	1.00615032	~	1.010182986
Input2_Q:	1.00615032	~	1.010182986
Input3_Q:	1.00615032	~	1.010182986</t>
    <phoneticPr fontId="10" type="noConversion"/>
  </si>
  <si>
    <t>5、Acuview2上和HMI上检查测量A&amp;B&amp;C、系统、用户通道、input通道的Q均在精度范围内
PhaseA_Q:	1.00615032	~	1.010182986
PhaseB_Q:	1.00615032	~	1.010182986
PhaseC_Q:	1.00615032	~	1.010182986
Sys_Q:	3.018450959	~	3.030548959
User1_Q:	3.018450959	~	3.030548959
Input1_Q:	1.00615032	~	1.010182986
Input2_Q:	1.00615032	~	1.010182986
Input3_Q:	1.00615032	~	1.010182986</t>
    <phoneticPr fontId="10" type="noConversion"/>
  </si>
  <si>
    <t>Function_AcuRev4100_004_02_case1</t>
    <phoneticPr fontId="10" type="noConversion"/>
  </si>
  <si>
    <t>CT选型20A/100mA，3ELEMENT_4_WIRE_Y接线输入Input1~3(A&amp;B&amp;C相)电流为(3A、15A、20A)，ABC电压均为69V,电压相角θ和电流相角ϕ差值为0°，上位机配置对应user1,测量A&amp;B&amp;C的P、Q、S、PF,系统P、Q、S、PF，User1通道P、Q、S、PF，input1~3通道P、Q、S、PF，功率精度满足0.2%</t>
  </si>
  <si>
    <t>1、连接AcuRev4100电表到Acuview2上，链接状态为connected
2、Input1~3(A&amp;B&amp;C相)电流为(3A、15A、20A)， 电压均为69V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</si>
  <si>
    <t xml:space="preserve">5、Acuview2上和HMI上检查测量A&amp;B&amp;C、系统、用户通道、input通道的P、Q、S、PF均在精度范围内0.2%。
备注测试方法：通过功率精度计算工具1计算精度范围内值和上位机上值比较
</t>
  </si>
  <si>
    <t>Function_AcuRev4100_004_02_case1_1</t>
  </si>
  <si>
    <t>CT选型20A/100mA，3ELEMENT_4_WIRE_Y接线输入Input1~3(A&amp;B&amp;C相)电流为(4A)，ABC电压均为220V,电压电流相角差值为0°，上位机配置对应user1,测量A&amp;B&amp;C的,系统，User1通道P、Q、S、PF，input1~3通道P、Q、S、PF，功率精度满足0.2%</t>
    <phoneticPr fontId="10" type="noConversion"/>
  </si>
  <si>
    <t>1、连接AcuRev4100电表到Acuview2上，链接状态为connected
2、Input1~3(A&amp;B&amp;C相)电流为(4A)， 电压均为220V
3、电压相角θ和电流相角ϕ差值为0°
4、上位机配置依次对应user1
5、Acuview2上和HMI上检查测量A&amp;B&amp;C、系统、用户通道、input通道的P、Q、S、PF是否均在精度范围内
备注测试方法：通过功率精度计算工具1计算精度范围内值和上位机上值比较</t>
    <phoneticPr fontId="10" type="noConversion"/>
  </si>
  <si>
    <t xml:space="preserve">5、Acuview2上和HMI上检查测量A&amp;B&amp;C、系统、用户通道、input通道的P、Q、S、PF均在精度范围内0.2%。
备注测试方法：通过功率精度计算工具1计算精度范围内值和上位机上值比较
</t>
    <phoneticPr fontId="10" type="noConversion"/>
  </si>
  <si>
    <t>Function_AcuRev4100_004_02_case2</t>
  </si>
  <si>
    <t>CT选型20A/100mA，3ELEMENT_4_WIRE_Y接线输入Input1~3(A&amp;B&amp;C相)电流为(3A)，ABC电压均为120V,电压相角θ和电流相角ϕ差值为30°，上位机配置对应user1,测量A&amp;B&amp;C的P、Q、S、PF,系统P、Q、S、PF，User1通道P、Q、S、PF，input1~3通道P、Q、S、PF，功率精度满足0.2%</t>
    <phoneticPr fontId="10" type="noConversion"/>
  </si>
  <si>
    <t>1、连接AcuRev4100电表到Acuview2上，链接状态为connected
2、Input1~3(A&amp;B&amp;C相)电流为(3A)， 电压均为120V
3、电压相角θ和电流相角ϕ差值为30°
4、上位机配置依次对应user1
5、Acuview2上和HMI上检查测量A&amp;B&amp;C、系统、用户通道、input通道的P、Q、S、PF是否均在精度范围内
备注测试方法：通过功率精度计算工具1计算精度范围内值和上位机上值比较</t>
  </si>
  <si>
    <t>Function_AcuRev4100_004_02_case2_1</t>
  </si>
  <si>
    <t>CT选型20A/100mA，3ELEMENT_4_WIRE_Y接线输入Input1~3(A&amp;B&amp;C相)电流为(3A)，ABC电压均为120V,电压相角θ和电流相角ϕ差值为60°，上位机配置对应user1,测量A&amp;B&amp;C的P、Q、S、PF,系统P、Q、S、PF，User1通道P、Q、S、PF，input1~3通道P、Q、S、PF，功率精度满足0.2%</t>
    <phoneticPr fontId="10" type="noConversion"/>
  </si>
  <si>
    <t>1、连接AcuRev4100电表到Acuview2上，链接状态为connected
2、Input1~3(A&amp;B&amp;C相)电流为(3A)， 电压均为120V
3、电压相角θ和电流相角ϕ差值为60°
4、上位机配置依次对应user1
5、Acuview2上和HMI上检查测量A&amp;B&amp;C、系统、用户通道、input通道的P、Q、S、PF是否均在精度范围内
备注测试方法：通过功率精度计算工具1计算精度范围内值和上位机上值比较</t>
  </si>
  <si>
    <t>Function_AcuRev4100_004_02_case3</t>
  </si>
  <si>
    <t>CT选型20A/100mA，3ELEMENT_4_WIRE_Y接线输入Input1~3(A&amp;B&amp;C相)电流为(10A)，ABC电压均为220V,电压相角θ和电流相角ϕ差值为120°，上位机配置对应user1,测量A&amp;B&amp;C的P、Q、S、PF,系统P、Q、S、PF，User1通道P、Q、S、PF，input1~3通道P、Q、S、PF，功率精度满足0.2%</t>
    <phoneticPr fontId="10" type="noConversion"/>
  </si>
  <si>
    <t>1、连接AcuRev4100电表到Acuview2上，链接状态为connected
2、Input1~3(A&amp;B&amp;C相)电流为(10A)， 电压均为220V
3、电压相角θ和电流相角ϕ差值为120°
4、上位机配置依次对应user1
5、Acuview2上和HMI上检查测量A&amp;B&amp;C、系统、用户通道、input通道的P、Q、S、PF是否均在精度范围内
备注测试方法：通过功率精度计算工具1计算精度范围内值和上位机上值比较</t>
  </si>
  <si>
    <t>Function_AcuRev4100_004_02_case4</t>
  </si>
  <si>
    <t>CT选型20A/100mA，3ELEMENT_4_WIRE_Y接线输入Input1~3(A&amp;B&amp;C相)电流为(15A)，ABC电压均为230V,电压相角θ和电流相角ϕ差值为225°，上位机配置对应user1,测量A&amp;B&amp;C的P、Q、S、PF,系统P、Q、S、PF，User1通道P、Q、S、PF，input1~3通道P、Q、S、PF，功率精度满足0.2%</t>
    <phoneticPr fontId="10" type="noConversion"/>
  </si>
  <si>
    <t>1、连接AcuRev4100电表到Acuview2上，链接状态为connected
2、Input1~3(A&amp;B&amp;C相)电流为(15A)， 电压均为230V
3、电压相角θ和电流相角ϕ差值为225°
4、上位机配置依次对应user1
5、Acuview2上和HMI上检查测量A&amp;B&amp;C、系统、用户通道、input通道的P、Q、S、PF是否均在精度范围内
备注测试方法：通过功率精度计算工具1计算精度范围内值和上位机上值比较</t>
  </si>
  <si>
    <t>Function_AcuRev4100_004_02_case5</t>
    <phoneticPr fontId="10" type="noConversion"/>
  </si>
  <si>
    <t>CT选型20A/100mA，3ELEMENT_4_WIRE_Y接线输入Input1~3(A&amp;B&amp;C相)电流为(20A)，ABC电压均为400V,电压相角θ和电流相角ϕ差值为330°，上位机配置对应user1,测量A&amp;B&amp;C的P、Q、S、PF,系统P、Q、S、PF，User1通道P、Q、S、PF，input1~3通道P、Q、S、PF，功率精度满足0.2%</t>
    <phoneticPr fontId="10" type="noConversion"/>
  </si>
  <si>
    <t>1、连接AcuRev4100电表到Acuview2上，链接状态为connected
2、Input1~3(A&amp;B&amp;C相)电流为(20A)， 电压均为400V
3、电压相角θ和电流相角ϕ差值为330°
4、上位机配置依次对应user1
5、Acuview2上和HMI上检查测量A&amp;B&amp;C、系统、用户通道、input通道的P、Q、S、PF是否均在精度范围内
备注测试方法：通过功率精度计算工具1计算精度范围内值和上位机上值比较</t>
    <phoneticPr fontId="10" type="noConversion"/>
  </si>
  <si>
    <t>Fault_AcuRev4100_004_02_case6</t>
  </si>
  <si>
    <t>CT选型20A/100mA，3ELEMENT_4_WIRE_Y接线输入Input1~3(A&amp;B&amp;C相)电流为(4A)，ABC电压均为220V,电压相角θ和电流相角ϕ差值为90°，上位机配置对应user1,测量A&amp;B&amp;C的P、Q、S、PF,系统P、Q、S、PF，User1通道P、Q、S、PF，input1~3通道P、Q、S、PF，功率精度满足0.2%</t>
    <phoneticPr fontId="10" type="noConversion"/>
  </si>
  <si>
    <t>1、连接AcuRev4100电表到Acuview2上，链接状态为connected
2、Input1~3(A&amp;B&amp;C相)电流为(4A)， 电压均为220V
3、电压相角θ和电流相角ϕ差值为90°
4、上位机配置依次对应user1
5、Acuview2上和HMI上检查测量A&amp;B&amp;C、系统、用户通道、input通道的P、Q、S、PF是否均在精度范围内
备注测试方法：通过功率精度计算工具1计算精度范围内值和上位机上值比较</t>
  </si>
  <si>
    <t>Fault_AcuRev4100_004_02_case7</t>
    <phoneticPr fontId="10" type="noConversion"/>
  </si>
  <si>
    <t>CT选型20A/100mA，3ELEMENT_4_WIRE_Y接线输入Input1~3(A&amp;B&amp;C相)电流为(5A)，ABC电压均为220V,电压相角θ和电流相角ϕ差值为180°，上位机配置对应user1,测量A&amp;B&amp;C的P、Q、S、PF,系统P、Q、S、PF，User1通道P、Q、S、PF，input1~3通道P、Q、S、PF，功率精度满足0.2%</t>
    <phoneticPr fontId="10" type="noConversion"/>
  </si>
  <si>
    <t>1、连接AcuRev4100电表到Acuview2上，链接状态为connected
2、Input1~3(A&amp;B&amp;C相)电流为(5A)， 电压均为220V
3、电压相角θ和电流相角ϕ差值为180°
4、上位机配置依次对应user1
5、Acuview2上和HMI上检查测量A&amp;B&amp;C、系统、用户通道、input通道的P、Q、S、PF是否均在精度范围内
备注测试方法：通过功率精度计算工具1计算精度范围内值和上位机上值比较</t>
    <phoneticPr fontId="10" type="noConversion"/>
  </si>
  <si>
    <t>Fault_AcuRev4100_004_02_case8</t>
    <phoneticPr fontId="10" type="noConversion"/>
  </si>
  <si>
    <t>CT选型20A/100mA，3ELEMENT_4_WIRE_Y接线输入Input1~3(A&amp;B&amp;C相)电流为(10A)，ABC电压均为220V,电压相角θ和电流相角ϕ差值为270°，上位机配置对应user1,测量A&amp;B&amp;C的P、Q、S、PF,系统P、Q、S、PF，User1通道P、Q、S、PF，input1~3通道P、Q、S、PF，功率精度满足0.2%</t>
    <phoneticPr fontId="10" type="noConversion"/>
  </si>
  <si>
    <t>1、连接AcuRev4100电表到Acuview2上，链接状态为connected
2、Input1~3(A&amp;B&amp;C相)电流为(10A)， 电压均为220V
3、电压相角θ和电流相角ϕ差值为270°
4、上位机配置依次对应user1
5、Acuview2上和HMI上检查测量A&amp;B&amp;C、系统、用户通道、input通道的P、Q、S、PF是否均在精度范围内
备注测试方法：通过功率精度计算工具1计算精度范围内值和上位机上值比较</t>
    <phoneticPr fontId="10" type="noConversion"/>
  </si>
  <si>
    <t>Function_AcuRev4100_004_02_case9</t>
    <phoneticPr fontId="10" type="noConversion"/>
  </si>
  <si>
    <t>CT选型20A/100mA，3ELEMENT_4_WIRE_Y接线输入Input1~3(A&amp;B&amp;C相)电流为(2.5A,1A,0.3A)，ABC电压均为120V，电压相角θ和电流相角ϕ差值为0°，上位机配置对应user1，测量A&amp;B&amp;C的P、Q、S、PF,系统P、Q、S、PF，User1通道P、Q、S、PF，input通道P、Q、S、PF，功率精度满足0.2%</t>
  </si>
  <si>
    <t>1、连接AcuRev4100电表到Acuview2上，链接状态为connected
2、Input1~3(A&amp;B&amp;C相)电流为(2.5A,1A,0.3A)， 电压均为120V
3、电压相角θ和电流相角ϕ差值为30°
4、上位机配置依次对应user1
5、Acuview2上和HMI上检查测量A&amp;B&amp;C、系统、用户通道、input通道的P、Q、S、PF是否均在精度范围内
备注测试方法：通过功率精度计算工具1计算精度范围内值和上位机上值比较</t>
    <phoneticPr fontId="10" type="noConversion"/>
  </si>
  <si>
    <t>Function_AcuRev4100_004_02_case10</t>
  </si>
  <si>
    <t>3ELEMENT_4_WIRE_Y接线输入Input1~3(A&amp;B&amp;C相)电流为(0.2A、0.5A、1A)，ABC电压均为220V，电压电流相角差值为0°，上位机配置对应user1，测量A&amp;B&amp;C相、系统、User1通道、input通道P、Q、S、PF，功率精度满足0.2%</t>
  </si>
  <si>
    <t>1、连接AcuRev4100电表到Acuview2上，链接状态为connected
2、Input1~3(A&amp;B&amp;C相)电流为(0.2A、0.5A、1A)， 电压均为220V
3、电压相角θ和电流相角ϕ差值为0°
4、上位机配置依次对应user1
5、Acuview2上和HMI上检查测量A&amp;B&amp;C、系统、用户通道、input通道的P、Q、S、PF是否均在精度范围内</t>
  </si>
  <si>
    <t xml:space="preserve">5、Acuview2上和HMI上检查测量A&amp;B&amp;C、系统、用户通道、input通道的P、Q、S、PF均在精度范围内0.2%。
接线方式和input对应取电压值明确后，modbus中值有(0: Va  1: Vb 2: Vc 3: Vab 4: Vbc 5: Vca)，使用excel 批量计算对应参数。
</t>
  </si>
  <si>
    <t>Fault_AcuRev4100_004_02_case10_1</t>
  </si>
  <si>
    <t>3ELEMENT_4_WIRE_Y接线输入Input1~3(A&amp;B&amp;C相)电流为(0.025A、0.10A、0.2A)，ABC电压均为220V，电压电流相角差值为0°，上位机配置对应user1，测量A&amp;B&amp;C相、系统、User1通道、input通道P、Q、S、PF，有测量值，无精度要求</t>
  </si>
  <si>
    <t>1、连接AcuRev4100电表到Acuview2上，链接状态为connected
2、Input1~3(A&amp;B&amp;C相)电流为(0.025A、0.10A、0.2A)， 电压均为220V
3、电压相角θ和电流相角ϕ差值为0°
4、上位机配置依次对应user1
5、Acuview2上和HMI上检查测量A&amp;B&amp;C、系统、用户通道、input通道的P、Q、S、PF是否均在精度范围内</t>
  </si>
  <si>
    <t>5、Acuview2上和HMI上检查测量A&amp;B&amp;C、系统、用户通道、input通道的P、Q、S、PF, 功率有参数，无精度要求。</t>
  </si>
  <si>
    <t>Fault_AcuRev4100_004_02_case10_2</t>
    <phoneticPr fontId="10" type="noConversion"/>
  </si>
  <si>
    <t>3ELEMENT_4_WIRE_Y接线输入Input1~3(A&amp;B&amp;C相)电流为(0.02A、0.015A、0.010A)，ABC电压均为220V，电压电流相角差值为0°，上位机配置对应user1，测量A&amp;B&amp;C相、系统、User1通道、input通道P、Q、S、PF，功率测量值为0</t>
  </si>
  <si>
    <t>1、连接AcuRev4100电表到Acuview2上，链接状态为connected
2、Input1~3(A&amp;B&amp;C相)电流为(0.12A、0.006A、0.005A)， 电压均为220V
3、电压相角θ和电流相角ϕ差值为0°
4、上位机配置依次对应user1
5、Acuview2上和HMI上检查测量A&amp;B&amp;C、系统、用户通道、input通道的P、Q、S、PF，功率测量值</t>
  </si>
  <si>
    <t>5、Acuview2上和HMI上检查测量A&amp;B、系统、用户通道、input1-2通道的P、Q、S、PF，功率均有值，没有进度要求.
C相和第3路input，电流小于0.006A，测量为0，对应功率也为0 
备注：mA电流精度最低电流为0.16A；小于start_up 电流的一半，0.006A,将电流处理为0，</t>
    <phoneticPr fontId="10" type="noConversion"/>
  </si>
  <si>
    <t>Fault_AcuRev4100_004_02_case10_3</t>
  </si>
  <si>
    <t>1、连接AcuRev4100电表到Acuview2上，链接状态为connected
2、Input1~24(A&amp;B&amp;C相)电流为(0A、0A、0A)， 电压均为220V
3、电压相角θ和电流相角ϕ差值为0°
4、上位机配置依次对应user1~12
5、Acuview2上和HMI上检查测量A&amp;B&amp;C、系统、用户通道、input通道的P、Q、S、PF，功率测量值是否全为0.</t>
  </si>
  <si>
    <t>5、Acuview2上和HMI上检查测量A&amp;B&amp;C、系统、用户通道、input通道的P、Q、S、PF，功率测量值全为0.</t>
  </si>
  <si>
    <t>Fault_AcuRev4100_004_02_case10_4</t>
  </si>
  <si>
    <t>3ELEMENT_4_WIRE_Y接线输入Input1~3(A&amp;B&amp;C相)电流为(5A、5A、5A)，ABC电压分别为(68V、30V，10V)，电压电流相角差值为0°，上位机配置对应user1，测量A&amp;B&amp;C相、系统、User1通道、input通道P、Q、S、PF，功率精度满足0.2%</t>
    <phoneticPr fontId="10" type="noConversion"/>
  </si>
  <si>
    <t>1、连接AcuRev4100电表到Acuview2上，链接状态为connected
2、Input1~3(A&amp;B&amp;C相)电流为(5A、5A、5A)， ABC电压分别为(68V、30V，10.2V)
3、电压相角θ和电流相角ϕ差值为0°
4、上位机配置依次对应user1
5、Acuview2上和HMI上检查测量A&amp;B&amp;C、系统、用户通道、input通道的P、Q、S、PF是否均在精度范围内</t>
    <phoneticPr fontId="10" type="noConversion"/>
  </si>
  <si>
    <t>Fault_AcuRev4100_004_02_case10_5</t>
    <phoneticPr fontId="10" type="noConversion"/>
  </si>
  <si>
    <t>3ELEMENT_4_WIRE_Y接线输入Input1~3(A&amp;B&amp;C相)电流为(5A、5A、5A)，ABC电压均为9V，电压电流相角差值为0°，上位机配置对应user1，测量A&amp;B&amp;C相、系统、User1通道、input通道P、Q、S、PF，功率测量值为0</t>
    <phoneticPr fontId="10" type="noConversion"/>
  </si>
  <si>
    <t>1、连接AcuRev4100电表到Acuview2上，链接状态为connected
2、Input1~3(A&amp;B&amp;C相)电流为(5A、5A、5A)， 电压均为9V
3、电压相角θ和电流相角ϕ差值为0°
4、上位机配置依次对应user1
5、Acuview2上和HMI上检查测量A&amp;B&amp;C、系统、用户通道、input通道的P、Q、S、PF，功率测量值是否全为0.</t>
  </si>
  <si>
    <t>5、Acuview2上和HMI上检查测量A&amp;B&amp;C、系统、用户通道、input通道的P、Q、S、PF, 功率全为0，无精度要求。</t>
  </si>
  <si>
    <t>Function_AcuRev4100_004_02_case11</t>
    <phoneticPr fontId="10" type="noConversion"/>
  </si>
  <si>
    <t>CT选型20A/100mA, 1E1p2w输入Input1~3(A相)电流为(10A、15A、20A)，ABC电压均为120V, 电压相角θ和电流相角ϕ差值为30°，上位机配置对应的接线方式,测量A的P、Q、S、PF，系统P、Q、S、PF，input1~3通道P、Q、S、PF，功率精度满足0.2%</t>
  </si>
  <si>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电流为(3A、15A、20A)， 电压均为120V
3、电压相角θ和电流相角ϕ差值为30°
4、Acuview2上和HMI上检查测量A、系统、用户通道、input通道的P、Q、S、PF是否均在精度范围内
备注测试方法：通过功率精度计算工具2计算精度范围内值和上位机上值比较</t>
    </r>
  </si>
  <si>
    <t xml:space="preserve">4、Acuview2上和HMI上检查测量A、系统、用户通道、input通道的P、Q、S、PF均在精度范围内0.2%。
备注测试方法：通过功率精度计算工具1计算精度范围内值和上位机上值比较
</t>
  </si>
  <si>
    <t>Function_AcuRev4100_004_02_case12</t>
    <phoneticPr fontId="10" type="noConversion"/>
  </si>
  <si>
    <t>CT选型20A/100mA, 1E1p2w输入Input1~3(A相)电流为(3A)，ABC电压均为69V,电压相角θ和电流相角ϕ差值为0°,上位机配置对应user1~3,测量B的P、Q、S、PF，系统P、Q、S、PF，User1通道P、Q、S、PF，input1~3通道P、Q、S、PF，功率精度满足0.2%</t>
    <phoneticPr fontId="10" type="noConversion"/>
  </si>
  <si>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)电流为(3A)， 电压均为69V
3、电压相角θ和电流相角ϕ差值为0°
4、上位机配置依次对应user1~3
5、Acuview2上和HMI上检查测量A&amp;B&amp;C、系统、用户通道、input通道的P、Q、S、PF是否均在精度范围内
备注测试方法：通过功率精度计算工具2计算精度范围内值和上位机上值比较</t>
    </r>
    <phoneticPr fontId="10" type="noConversion"/>
  </si>
  <si>
    <t xml:space="preserve">5、Acuview2上和HMI上检查测量A&amp;B&amp;C、系统、用户通道、input通道的P、Q、S、PF均在精度范围内0.2%。
备注测试方法：通过功率精度计算工具2计算精度范围内值和上位机上值比较
</t>
    <phoneticPr fontId="10" type="noConversion"/>
  </si>
  <si>
    <t>Function_AcuRev4100_004_02_case13</t>
    <phoneticPr fontId="10" type="noConversion"/>
  </si>
  <si>
    <r>
      <t>CT选型20A/100mA, 1E1p2w输入Input1~3</t>
    </r>
    <r>
      <rPr>
        <b/>
        <sz val="10"/>
        <color theme="1"/>
        <rFont val="微软雅黑"/>
        <family val="2"/>
        <charset val="134"/>
      </rPr>
      <t>(A相)</t>
    </r>
    <r>
      <rPr>
        <sz val="10"/>
        <color theme="1"/>
        <rFont val="微软雅黑"/>
        <family val="2"/>
        <charset val="134"/>
      </rPr>
      <t>电流为(10A)，ABC电压均为220V,电压相角θ和电流相角ϕ差值为120°,上位机配置对应user1~3,测量B的P、Q、S、PF，系统P、Q、S、PF，User1通道P、Q、S、PF，input1~3通道P、Q、S、PF，功率精度满足0.2%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</si>
  <si>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电流为(10A)， 电压均为220V
3、电压相角θ和电流相角ϕ差值为120°
4、上位机配置依次对应user1~3
5、Acuview2上和HMI上检查测量A&amp;B&amp;C、系统、用户通道、input通道的P、Q、S、PF是否均在精度范围内
备注测试方法：通过功率精度计算工具2计算精度范围内值和上位机上值比较</t>
    </r>
    <phoneticPr fontId="10" type="noConversion"/>
  </si>
  <si>
    <t xml:space="preserve">5、Acuview2上和HMI上检查测量A&amp;B&amp;C、系统、用户通道、input通道的P、Q、S、PF均在精度范围内0.2%。
备注测试方法：通过功率精度计算工具2计算精度范围内值和上位机上值比较
</t>
  </si>
  <si>
    <t>Function_AcuRev4100_004_02_case14</t>
    <phoneticPr fontId="10" type="noConversion"/>
  </si>
  <si>
    <r>
      <t>CT选型20A/100mA, 1E1p2w输入Input1~3</t>
    </r>
    <r>
      <rPr>
        <b/>
        <sz val="10"/>
        <color theme="1"/>
        <rFont val="微软雅黑"/>
        <family val="2"/>
        <charset val="134"/>
      </rPr>
      <t>(A相</t>
    </r>
    <r>
      <rPr>
        <sz val="10"/>
        <color theme="1"/>
        <rFont val="微软雅黑"/>
        <family val="2"/>
        <charset val="134"/>
      </rPr>
      <t>)电流为(15A)，ABC电压均为230V,电压相角θ和电流相角ϕ差值为225°,上位机配置对应user1~3,测量C的P、Q、S、PF，系统P、Q、S、PF，User1通道P、Q、S、PF，input1~3通道P、Q、S、PF，功率精度满足0.2%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</si>
  <si>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电流为(15A)， 电压均为230V
3、电压相角θ和电流相角ϕ差值为225°
4、上位机配置依次对应user1~3
5、Acuview2上和HMI上检查测量A&amp;B&amp;C、系统、用户通道、input通道的P、Q、S、PF是否均在精度范围内
备注测试方法：通过功率精度计算工具2计算精度范围内值和上位机上值比较</t>
    </r>
  </si>
  <si>
    <t>Function_AcuRev4100_004_02_case15</t>
  </si>
  <si>
    <r>
      <t>CT选型20A/100mA, 1E1p2w输入Input1~3</t>
    </r>
    <r>
      <rPr>
        <b/>
        <sz val="10"/>
        <color theme="1"/>
        <rFont val="微软雅黑"/>
        <family val="2"/>
        <charset val="134"/>
      </rPr>
      <t>(A相)</t>
    </r>
    <r>
      <rPr>
        <sz val="10"/>
        <color theme="1"/>
        <rFont val="微软雅黑"/>
        <family val="2"/>
        <charset val="134"/>
      </rPr>
      <t>电流为(20A)，ABC电压均为400V,电压相角θ和电流相角ϕ差值为330°,上位机配置对应user1~3,测量C的P、Q、S、PF，系统P、Q、S、PF，User1通道P、Q、S、PF，input1~3通道P、Q、S、PF，功率精度满足0.2%</t>
    </r>
  </si>
  <si>
    <r>
      <t>1、连接AcuRev4100电表到Acuview2上，链接状态为connected
2、Input1~3</t>
    </r>
    <r>
      <rPr>
        <b/>
        <sz val="10"/>
        <color theme="1"/>
        <rFont val="微软雅黑"/>
        <family val="2"/>
        <charset val="134"/>
      </rPr>
      <t>(三路电流全部选择对应VA)</t>
    </r>
    <r>
      <rPr>
        <sz val="10"/>
        <color theme="1"/>
        <rFont val="微软雅黑"/>
        <family val="2"/>
        <charset val="134"/>
      </rPr>
      <t>电流为(20A)， 电压均为400V
3、电压相角θ和电流相角ϕ差值为330°
4、上位机配置依次对应user1~3
5、Acuview2上和HMI上检查测量A&amp;B&amp;C、系统、用户通道、input通道的P、Q、S、PF是否均在精度范围内
备注测试方法：通过功率精度计算工具2计算精度范围内值和上位机上值比较</t>
    </r>
    <phoneticPr fontId="10" type="noConversion"/>
  </si>
  <si>
    <t>Function_AcuRev4100_004_02_case16</t>
  </si>
  <si>
    <t>CT选型20A/100mA，1E1p2w输入Input1~24电流为(3A)，ABC电压均为120V,电压相角θ和电流相角ϕ差值为0°,上位机配置依次对应user1~12，测量A&amp;B&amp;C的P、Q、S、PF,系统P、Q、S、PF，User1~12通道P、Q、S、PF，input1-24通道P、Q、S、PF，功率精度满足0.2%</t>
  </si>
  <si>
    <r>
      <t>1、连接AcuRev4100电表到Acuview2上，链接状态为connected
2、Input1~24(</t>
    </r>
    <r>
      <rPr>
        <b/>
        <sz val="10"/>
        <color theme="1"/>
        <rFont val="微软雅黑"/>
        <family val="2"/>
        <charset val="134"/>
      </rPr>
      <t>三路电流全部选择对应VA</t>
    </r>
    <r>
      <rPr>
        <sz val="10"/>
        <color theme="1"/>
        <rFont val="微软雅黑"/>
        <family val="2"/>
        <charset val="134"/>
      </rPr>
      <t>)电流为(3A)， 电压均为120V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r>
  </si>
  <si>
    <t>Function_AcuRev4100_004_02_case17</t>
  </si>
  <si>
    <t>CT选型20A/100mA，1E1p2w输入Input1~24电流为(10A)，ABC电压均为220V,电压相角θ和电流相角ϕ差值为0°,上位机配置依次对应user1~12，测量A&amp;B&amp;C的P、Q、S、PF,系统P、Q、S、PF，User1~12通道P、Q、S、PF，input1-24通道P、Q、S、PF，功率精度满足0.2%</t>
  </si>
  <si>
    <r>
      <t>1、连接AcuRev4100电表到Acuview2上，链接状态为connected
2、Input1~24</t>
    </r>
    <r>
      <rPr>
        <b/>
        <sz val="10"/>
        <color theme="1"/>
        <rFont val="微软雅黑"/>
        <family val="2"/>
        <charset val="134"/>
      </rPr>
      <t>(三路电流全部选择对应VA)</t>
    </r>
    <r>
      <rPr>
        <sz val="10"/>
        <color theme="1"/>
        <rFont val="微软雅黑"/>
        <family val="2"/>
        <charset val="134"/>
      </rPr>
      <t>电流为(10A)， 电压均为220V
3、电压相角θ和电流相角ϕ差值为0°
4、上位机配置依次对应user1~12
5、Acuview2上和HMI上检查测量A&amp;B&amp;C、系统、用户通道、input通道的P、Q、S、PF是否均在精度范围内
备注测试方法：通过功率精度计算工具2计算精度范围内值和上位机上值比较</t>
    </r>
  </si>
  <si>
    <t>Function_AcuRev4100_005_01_case1</t>
    <phoneticPr fontId="10" type="noConversion"/>
  </si>
  <si>
    <t>3ELEMENT_4_WIRE_Y接线输入Input1~3(A&amp;B&amp;C相)电流为(10A)，电压均为100V, 电压电流相角差为0°(纯电阻负载)，上位机配置对应user1,系统总负载特性、A&amp;B&amp;C相、User1通道、input1~3通道负载特性为R</t>
  </si>
  <si>
    <t>1、连接AcuRev4100电表到Acuview2上，链接状态为connected
2、Input1~3电流为(10A)， 电压均为100V
3、电压相角θ和电流相角ϕ差值为0°
4、上位机配置依次对应user1
5、Acuview2上和HMI上检查系统总负载特性、A&amp;B&amp;C相、User1通道、input1~3通道负载特性是否均为R。</t>
  </si>
  <si>
    <t>5、Acuview2上和HMI上检查系统总负载特性、A&amp;B&amp;C相、User1通道、input1~3通道负载特性均为R。</t>
    <phoneticPr fontId="10" type="noConversion"/>
  </si>
  <si>
    <t>Function_AcuRev4100_005_01_case2</t>
  </si>
  <si>
    <t>3ELEMENT_4_WIRE_Y接线输入Input1~3(A&amp;B&amp;C相)电流为(10A)，电压均为100V, 电压电流相角差为180°(阻性负载)，上位机配置对应user1,系统总负载特性、A&amp;B&amp;C相、User1通道、input1~3通道负载特性为R</t>
  </si>
  <si>
    <t>1、连接AcuRev4100电表到Acuview2上，链接状态为connected
2、Input1~3电流为(10A)， 电压均为100V
3、电压相角θ和电流相角ϕ差值为180°
4、上位机配置依次对应user1
5、Acuview2上和HMI上检查系统总负载特性、A&amp;B&amp;C相、User1通道、input1~3通道负载特性是否均为R。</t>
  </si>
  <si>
    <t>5、Acuview2上和HMI上检查系统总负载特性、A&amp;B&amp;C相、User1通道、input1~3通道负载特性均为R。</t>
  </si>
  <si>
    <t>Function_AcuRev4100_005_01_case3</t>
    <phoneticPr fontId="10" type="noConversion"/>
  </si>
  <si>
    <t>3ELEMENT_4_WIRE_Y接线输入Input1~3(A&amp;B&amp;C相)电流为(10A)，电压均为100V, 电压电流相角差为30°，上位机配置对应user1,系统总负载特性、A&amp;B&amp;C相、User1通道、input1~3通道负载特性为L</t>
  </si>
  <si>
    <t>1、连接AcuRev4100电表到Acuview2上，链接状态为connected
2、Input1~3电流为(10A)， 电压均为100V
3、电压相角θ和电流相角ϕ差值为30°
4、上位机配置依次对应user1
5、Acuview2上和HMI上检查系统总负载特性、A&amp;B&amp;C相、User1通道、input1~3通道负载特性是否均为L。</t>
  </si>
  <si>
    <t>5、Acuview2上和HMI上检查系统总负载特性、A&amp;B&amp;C相、User1通道、input1~3通道负载特性均为L。</t>
    <phoneticPr fontId="10" type="noConversion"/>
  </si>
  <si>
    <t>Function_AcuRev4100_005_01_case4</t>
  </si>
  <si>
    <t>3ELEMENT_4_WIRE_Y接线输入Input1~3(A&amp;B&amp;C相)电流为(10A)，电压均为100V, 电压电流相角差为60°，上位机配置对应user1,系统总负载特性、A&amp;B&amp;C相、User1通道、input1~3通道负载特性为L</t>
    <phoneticPr fontId="10" type="noConversion"/>
  </si>
  <si>
    <t>1、连接AcuRev4100电表到Acuview2上，链接状态为connected
2、Input1~3电流为(10A)， 电压均为100V
3、电压相角θ和电流相角ϕ差值为60°
4、上位机配置依次对应user1
5、Acuview2上和HMI上检查系统总负载特性、A&amp;B&amp;C相、User1通道、input1~3通道负载特性是否均为L。</t>
  </si>
  <si>
    <t>5、Acuview2上和HMI上检查系统总负载特性、A&amp;B&amp;C相、User1通道、input1~3通道负载特性均为L。</t>
  </si>
  <si>
    <t>Fault_AcuRev4100_005_01_case5</t>
    <phoneticPr fontId="10" type="noConversion"/>
  </si>
  <si>
    <t>3ELEMENT_4_WIRE_Y接线输入Input1~3(A&amp;B&amp;C相)电流为(10A)，电压均为100V, 电压电流相角差为90°(纯感负载)，上位机配置对应user1,系统总负载特性、A&amp;B&amp;C相、User1通道、input1~3通道负载特性为L</t>
  </si>
  <si>
    <t>1、连接AcuRev4100电表到Acuview2上，链接状态为connected
2、Input1~3电流为(10A)， 电压均为100V
3、电压相角θ和电流相角ϕ差值为90°
4、上位机配置依次对应user1
5、Acuview2上和HMI上检查系统总负载特性、A&amp;B&amp;C相、User1通道、input1~3通道负载特性是否均为L。</t>
    <phoneticPr fontId="10" type="noConversion"/>
  </si>
  <si>
    <t>Fault_AcuRev4100_005_01_case6</t>
    <phoneticPr fontId="10" type="noConversion"/>
  </si>
  <si>
    <t>3ELEMENT_4_WIRE_Y接线输入Input1~3(A&amp;B&amp;C相)电流为(10A)，电压均为100V, 电压电流相角差为210°，上位机配置对应user1,系统总负载特性、A&amp;B&amp;C相、User1通道、input1~3通道负载特性为L</t>
    <phoneticPr fontId="10" type="noConversion"/>
  </si>
  <si>
    <t>1、连接AcuRev4100电表到Acuview2上，链接状态为connected
2、Input1~3电流为(10A)， 电压均为100V
3、电压相角θ和电流相角ϕ差值为210°
4、上位机配置依次对应user1
5、Acuview2上和HMI上检查系统总负载特性、A&amp;B&amp;C相、User1通道、input1~3通道负载特性是否均为L。</t>
    <phoneticPr fontId="10" type="noConversion"/>
  </si>
  <si>
    <t>Fault_AcuRev4100_005_01_case7</t>
  </si>
  <si>
    <t>3ELEMENT_4_WIRE_Y接线输入Input1~3(A&amp;B&amp;C相)电流为(10A)，电压均为100V, 电压电流相角差为240°，上位机配置对应user1,系统总负载特性、A&amp;B&amp;C相、User1通道、input1~3通道负载特性为L</t>
    <phoneticPr fontId="10" type="noConversion"/>
  </si>
  <si>
    <t>1、连接AcuRev4100电表到Acuview2上，链接状态为connected
2、Input1~3电流为(10A)， 电压均为100V
3、电压相角θ和电流相角ϕ差值为240°
4、上位机配置依次对应user1
5、Acuview2上和HMI上检查系统总负载特性、A&amp;B&amp;C相、User1通道、input1~3通道负载特性是否均为L。</t>
  </si>
  <si>
    <t>Function_AcuRev4100_005_01_case8</t>
  </si>
  <si>
    <t>3ELEMENT_4_WIRE_Y接线输入Input1~3(A&amp;B&amp;C相)电流为(10A)，电压均为100V, 电压电流相角差为120°，上位机配置对应user1,系统总负载特性、A&amp;B&amp;C相、User1通道、input1~3通道负载特性为C</t>
  </si>
  <si>
    <t>1、连接AcuRev4100电表到Acuview2上，链接状态为connected
2、Input1~3电流为(10A)， 电压均为100V
3、电压相角θ和电流相角ϕ差值为120°
4、上位机配置依次对应user1
5、Acuview2上和HMI上检查系统总负载特性、A&amp;B&amp;C相、User1通道、input1~3通道负载特性是否均为C。</t>
  </si>
  <si>
    <t>5、Acuview2上和HMI上检查系统总负载特性、A&amp;B&amp;C相、User1通道、input1~3通道负载特性均为C。</t>
  </si>
  <si>
    <t>Function_AcuRev4100_005_01_case9</t>
  </si>
  <si>
    <t>3ELEMENT_4_WIRE_Y接线输入Input1~3(A&amp;B&amp;C相)电流为(10A)，电压均为100V, 电压电流相角差为150°，上位机配置对应user1,系统总负载特性、A&amp;B&amp;C相、User1通道、input1~3通道负载特性为C</t>
    <phoneticPr fontId="10" type="noConversion"/>
  </si>
  <si>
    <t>1、连接AcuRev4100电表到Acuview2上，链接状态为connected
2、Input1~3电流为(10A)， 电压均为100V
3、电压相角θ和电流相角ϕ差值为150°
4、上位机配置依次对应user1
5、Acuview2上和HMI上检查系统总负载特性、A&amp;B&amp;C相、User1通道、input1~3通道负载特性是否均为C。</t>
  </si>
  <si>
    <t>Function_AcuRev4100_005_01_case10</t>
  </si>
  <si>
    <t>3ELEMENT_4_WIRE_Y接线输入Input1~3(A&amp;B&amp;C相)电流为(10A)，电压均为100V, 电压电流相角差为300°，上位机配置对应user1,系统总负载特性、A&amp;B&amp;C相、User1通道、input1~3通道负载特性为C</t>
    <phoneticPr fontId="10" type="noConversion"/>
  </si>
  <si>
    <t>1、连接AcuRev4100电表到Acuview2上，链接状态为connected
2、Input1~3电流为(10A)， 电压均为100V
3、电压相角θ和电流相角ϕ差值为300°
4、上位机配置依次对应user1
5、Acuview2上和HMI上检查系统总负载特性、A&amp;B&amp;C相、User1通道、input1~3通道负载特性是否均为C。</t>
  </si>
  <si>
    <t>Fault_AcuRev4100_005_01_case11</t>
  </si>
  <si>
    <t>3ELEMENT_4_WIRE_Y接线输入Input1~3(A&amp;B&amp;C相)电流为(10A)，电压均为100V, 电压电流相角差为270°(纯容负载)，上位机配置对应user1,系统总负载特性、A&amp;B&amp;C相、User1通道、input1~3通道负载特性为C</t>
    <phoneticPr fontId="10" type="noConversion"/>
  </si>
  <si>
    <t>1、连接AcuRev4100电表到Acuview2上，链接状态为connected
2、Input1~3电流为(10A)， 电压均为100V
3、电压相角θ和电流相角ϕ差值为270°
4、上位机配置依次对应user1
5、Acuview2上和HMI上检查系统总负载特性、A&amp;B&amp;C相、User1通道、input1~3通道负载特性是否均为L。</t>
    <phoneticPr fontId="10" type="noConversion"/>
  </si>
  <si>
    <t>Function_AcuRev4100_005_01_case12</t>
  </si>
  <si>
    <t>3ELEMENT_4_WIRE_Y接线输入Input1~3(A&amp;B&amp;C相)电流为(10A)，电压均为100V, 电压电流相角差为330°，上位机配置对应user1,系统总负载特性、A&amp;B&amp;C相、User1通道、input1~3通道负载特性为C</t>
  </si>
  <si>
    <t>1、连接AcuRev4100电表到Acuview2上，链接状态为connected
2、Input1~3电流为(10A)， 电压均为100V
3、电压相角θ和电流相角ϕ差值为330°
4、上位机配置依次对应user1
5、Acuview2上和HMI上检查系统总负载特性、A&amp;B&amp;C相、User1通道、input1~3通道负载特性是否均为C。</t>
    <phoneticPr fontId="10" type="noConversion"/>
  </si>
  <si>
    <t>Function_AcuRev4100_005_01_case13</t>
  </si>
  <si>
    <t>2E3P3w delta输入Input1~2电流为(5A)，ABC电压均为100V，线电压φab:0°,&amp;φbc:240°( 电流Ia:270°， I2:30°),  user1的负载特性为L，系统负载特性为L。 input1、input2、A B C 相均无负载特性。</t>
  </si>
  <si>
    <t>1、Acuview2上位机
2、网线/RTU串口线
3、AcuRev4100电表
4、接线方式为2E3P3w delta</t>
  </si>
  <si>
    <t>1、连接AcuRev4100电表到Acuview2上，链接状态为connected
2、Input1~2电流为(5A)， 电压均为100V
3、线电压φab:0°&amp;φbc:240°(电流Ia:270°， I2:30°)
4、上位机配置依次对应user1
5、Acuview2上和HMI上检查系统总负载特性、A&amp;B&amp;C相、User1通道、input1~2通道负载特性是否正确</t>
  </si>
  <si>
    <t>5、Acuview2上和HMI上 user1的负载特性为L，系统负载特性为L。 input1、input2、A B C 相均无负载特性，显示“-”。
补充计算过程
系统：P=0.75kwh，Q=1.299kvar，S=1.500kva，PF= 0.500
用户：Puser1=0.75kwhkwh，Quser1=1.299kwh，Suser1=1.500kva，PF= 0.500
其他user功率为0，input功率为"-"
备注计算方式：
S = (Uab * Ia + Ubc * Ic) * cos(30)
P = S * cos(压流角)
Q= S^2 - P^2 开根号
压流角： Uab、Ubc、Uca 角度为0°、240°、120°，
Ia、Ic 是270°、30°，换算Iab、Ica是 300°、60°
比较Uab和Iab、Uca和Ica的压流角是60
夹角在第一象限，Q为正数【一二象限为正数、三四象限为负数】</t>
  </si>
  <si>
    <t>Function_AcuRev4100_005_01_case14</t>
    <phoneticPr fontId="10" type="noConversion"/>
  </si>
  <si>
    <t>2E3P3w delta输入Input1~2电流为(5A)，ABC电压均为100V，线电压φab:0°&amp;φbc:240°(电流Ia:210°， I2:330°),  则user1的负载特性为C， input1、input2、A B C 相均无负载特性。</t>
  </si>
  <si>
    <t>1、连接AcuRev4100电表到Acuview2上，链接状态为connected
2、Input1~2电流为(5A)， 电压均为100V
3、线电压φab:0°&amp;φbc:240°(电流Ia:210°， I2:330°)
4、上位机配置依次对应user1
5、Acuview2上和HMI上检查系统总负载特性、A&amp;B&amp;C相、User1通道、input1~2通道负载特性是否正确</t>
  </si>
  <si>
    <t>5、Acuview2上和HMI上 user1的负载特性为C，系统负载特性为C。 input1、input2、A B C 相均无负载特性，显示“-”。
补充计算过程：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</si>
  <si>
    <t>系统中只有多种负载类型</t>
  </si>
  <si>
    <t>Function_AcuRev4100_005_02_case1</t>
  </si>
  <si>
    <t>3E3p4w输入Input1~3(A&amp;B&amp;C相)电流为(5A)，电压各为100V, 电压电流相角差值分别为(30°,210°，0°)，上位机配置对应user1，user1和测量系统总负载特性R, A&amp;B&amp;C相和input1~3通道负载特性为L、L、R</t>
  </si>
  <si>
    <t>1、连接AcuRev4100电表到Acuview2上，链接状态为connected
2、Input1~3电流为(5A)， 电压均为100V
3、电压相角θ和电流相角ϕ差值为(30°,210°，0°)
4、上位机配置依次对应user1
5、Acuview2上和HMI上检查user1和测量系统总负载特性是否为R, A&amp;B&amp;C相和input1~3通道负载特性是否分别为L、L、R</t>
  </si>
  <si>
    <t>5、Acuview2上和HMI上检查user1和测量系统总负载特性为R, A&amp;B&amp;C相和input1~3通道负载特性分别为L、L、R</t>
  </si>
  <si>
    <t>Function_AcuRev4100_005_02_case2</t>
  </si>
  <si>
    <t>3E3p4w输入Input1~3(A&amp;B&amp;C相)电流为(5A)，电压各为100V, 电压电流相角差值分别为(30°,210°，30°)，上位机配置对应user1，user1和测量系统总负载特性L, A&amp;B&amp;C相和input1~3通道负载特性为L、L、L</t>
  </si>
  <si>
    <t>1、连接AcuRev4100电表到Acuview2上，链接状态为connected
2、Input1~3电流为(5A)， 电压均为100V
3、电压相角θ和电流相角ϕ差值为(30°,210°，30°)
4、上位机配置依次对应user1
5、Acuview2上和HMI上检查user1和测量系统总负载特性是否为L, A&amp;B&amp;C相和input1~3通道负载特性是否分别为L、L、L</t>
    <phoneticPr fontId="10" type="noConversion"/>
  </si>
  <si>
    <t>5、Acuview2上和HMI上检查user1和测量系统总负载特性为L, A&amp;B&amp;C相和input1~3通道负载特性分别为L、L、L</t>
    <phoneticPr fontId="10" type="noConversion"/>
  </si>
  <si>
    <t>Function_AcuRev4100_005_02_case3</t>
  </si>
  <si>
    <t>3E3p4w输入Input1~3(A&amp;B&amp;C相)电流为(5A)，电压各为100V, 电压电流相角差值分别为(30°,210°，120°)，上位机配置对应user1，user1和测量系统总负载特性C, A&amp;B&amp;C相和input1~3通道负载特性为L、L、C</t>
  </si>
  <si>
    <t>1、连接AcuRev4100电表到Acuview2上，链接状态为connected
2、Input1~3电流为(5A)， 电压均为100V
3、电压相角θ和电流相角ϕ差值为(30°,210°，120°)
4、上位机配置依次对应user1
5、Acuview2上和HMI上检查user1和测量系统总负载特性是否为C, A&amp;B&amp;C相和input1~3通道负载特性是否分别为L、L、C</t>
  </si>
  <si>
    <t>5、Acuview2上和HMI上检查user1和测量系统总负载特性为C, A&amp;B&amp;C相和input1~3通道负载特性分别为L、L、C</t>
    <phoneticPr fontId="10" type="noConversion"/>
  </si>
  <si>
    <t>Function_AcuRev4100_005_02_case4</t>
  </si>
  <si>
    <t>1E1p2w输入Input1~3(A相)电流为(5A)，电压各为100V, 电压电流相角差值分别为(30°,210°，120°)，PhaseA和测量系统总负载特性C, input1~3通道负载特性为L、L、C</t>
  </si>
  <si>
    <t>1、连接AcuRev4100电表到Acuview2上，链接状态为connected
2、Input1~3电流为(5A)， 电压均为100V
3、电压相角θ和电流相角ϕ差值为(30°,210°，120°)
4、上位机配置依次对应user1~3
5、Acuview2上和HMI上检查A相为C，input1~3通道负载特性是否分别为L L C， 系统负载特性为C</t>
  </si>
  <si>
    <t>5、Acuview2上和HMI上A相为C，input1~3通道负载特性分别为L L C， 系统负载特性为C</t>
  </si>
  <si>
    <t>Function_AcuRev4100_006_01_case1</t>
  </si>
  <si>
    <t>ABC三相电压角度为(0°  120° 240°)，上位机和HMI上检查phaseA、phaseB、PhaseC的相角满足精度±0.1°</t>
  </si>
  <si>
    <t xml:space="preserve">1、Acuview2上位机
2、网线/RTU串口线
3、AcuRev4100电表
</t>
  </si>
  <si>
    <t>1、连接AcuRev4100电表到Acuview2上，链接状态为connected
2、电源输入ABC三相电压角度为(0°  120° 240°)，电压为100V
3、检查相电压A B C三相的精度是否符合±0.1°</t>
  </si>
  <si>
    <t>Function_AcuRev4100_006_01_case1_1</t>
    <phoneticPr fontId="10" type="noConversion"/>
  </si>
  <si>
    <t>二相三线delta接线，台体输入Uab,Uca（30°，90°）,上位机和HMI上检查Uab,Uca的线电压角满足精度±0.1°</t>
  </si>
  <si>
    <t>1、连接AcuRev4100电表到Acuview2上，链接状态为connected
2、台体输入Uab,Uca（30°，90°），电压为100V
3、上位机和HMI上检查Uab,Uca的线电压角是否满足精度±0.1°</t>
  </si>
  <si>
    <t>3,检查Uab,Uca的线电压角度为（0，240，120）满足精度±0.1°</t>
  </si>
  <si>
    <t>Fault_AcuRev4100_006_01_case2</t>
  </si>
  <si>
    <t>ABC三相电压角度为(0°  1°  5°)，上位机和HMI上检查phaseA、phaseB、PhaseC的相角满足精度±0.1°</t>
  </si>
  <si>
    <t>1、连接AcuRev4100电表到Acuview2上，链接状态为connected
2、电源输入ABC三相电压角度为(0°  1°  5°)，电压为100V
3、检查相电压A B C三相的精度是否符合±0.1°</t>
  </si>
  <si>
    <t>Function_AcuRev4100_006_01_case3</t>
  </si>
  <si>
    <t>ABC三相电压角度为(0°  30° 60°)，上位机和HMI上检查phaseA、phaseB、PhaseC的相角满足精度±0.1°</t>
  </si>
  <si>
    <t>1、连接AcuRev4100电表到Acuview2上，链接状态为connected
2、电源输入ABC三相电压角度为(0°  30° 60°)，电压为100V
3、检查相电压A B C三相的精度是否符合±0.1°</t>
  </si>
  <si>
    <t>Function_AcuRev4100_006_01_case4</t>
  </si>
  <si>
    <t>ABC三相电压角度为(0° 150° 270°)，上位机和HMI上检查phaseA、phaseB、PhaseC的相角满足精度±0.1°</t>
  </si>
  <si>
    <t>1、连接AcuRev4100电表到Acuview2上，链接状态为connected
2、电源输入ABC三相电压角度为(0° 150° 270°)，电压为100V
3、检查相电压A B C三相的精度是否符合±0.1°</t>
  </si>
  <si>
    <t>Function_AcuRev4100_006_01_case5</t>
  </si>
  <si>
    <t>ABC三相电压角度为(0° 90° 180°)，上位机和HMI上检查phaseA、phaseB、PhaseC的相角满足精度±0.1°</t>
  </si>
  <si>
    <t>1、连接AcuRev4100电表到Acuview2上，链接状态为connected
2、电源输入ABC三相电压角度为(0° 90° 180°)，电压为100V
3、检查相电压A B C三相的精度是否符合±0.1°</t>
  </si>
  <si>
    <t>3、检查相电压A B C三相的精度符合0.1%
备注: 使用excel公式计算具体值</t>
  </si>
  <si>
    <t>Function_AcuRev4100_006_01_case6</t>
  </si>
  <si>
    <t>ABC三相电压角度为(0° 210° 360°)，上位机和HMI上检查phaseA、phaseB、PhaseC的相角满足精度±0.1°</t>
  </si>
  <si>
    <t>1、连接AcuRev4100电表到Acuview2上，链接状态为connected
2、电源输入ABC三相电压角度为(0° 210° 360°)，电压为100V
3、检查相电压A B C三相的精度是否符合±0.1°</t>
  </si>
  <si>
    <t>Function_AcuRev4100_006_01_case7</t>
  </si>
  <si>
    <t>ABC三相电压角度为(0° 240° 120°)，上位机和HMI上检查phaseA、phaseB、PhaseC的相角满足精度±0.1°</t>
  </si>
  <si>
    <t>1、连接AcuRev4100电表到Acuview2上，链接状态为connected
2、电源输入ABC三相电压角度为(0° 240° 120°)，电压为100V
3、检查相电压A B C三相的精度是否符合±0.1°</t>
  </si>
  <si>
    <t>Function_AcuRev4100_006_01_case8</t>
  </si>
  <si>
    <t>ABC三相电压角度为(0° 245° 125°)，上位机和HMI上检查phaseA、phaseB、PhaseC的相角满足精度±0.1°</t>
  </si>
  <si>
    <t>1、连接AcuRev4100电表到Acuview2上，链接状态为connected
2、电源输入ABC三相电压角度为(0° 245° 125°)，电压为100V
3、检查相电压A B C三相的精度是否符合±0.1°</t>
  </si>
  <si>
    <t>Fault_AcuRev4100_006_01_case9</t>
  </si>
  <si>
    <t>ABC三相电压角度为(0° 90° 270°)，上位机和HMI上检查phaseA、phaseB、PhaseC的相角满足精度±0.1°</t>
  </si>
  <si>
    <t>1、连接AcuRev4100电表到Acuview2上，链接状态为connected
2、电源输入ABC三相电压角度为(0° 90° 270°)，电压为100V
3、检查相电压A B C三相的精度是否符合±0.1°</t>
  </si>
  <si>
    <t>Function_AcuRev4100_006_01_case10</t>
  </si>
  <si>
    <t>ABC三相电压角度为(0° 60°  120°)，上位机和HMI上检查phaseA、phaseB、PhaseC的相角满足精度±0.1°</t>
  </si>
  <si>
    <t>1、连接AcuRev4100电表到Acuview2上，链接状态为connected
2、电源输入ABC三相电压角度为(0° 60°  120°)，电压为100V
3、检查相电压A B C三相的精度是否符合±0.1°</t>
  </si>
  <si>
    <t>Function_AcuRev4100_006_01_case1_1</t>
  </si>
  <si>
    <t xml:space="preserve">三相三线delta接线，台体输入Uab,Uca（60°，60°）,上位机和HMI上检查Uab,Uca的线电压角满足精度±0.1°
</t>
  </si>
  <si>
    <t xml:space="preserve">1、连接AcuRev4100电表到Acuview2上，链接状态为connected
2、台体输入Uab,Uca（60°，60°），电压为100V
3、上位机和HMI上检查Uab,Uca的线电压角是否满足精度±0.1°
</t>
  </si>
  <si>
    <t>3,检查Uab,Uca的线电压角满足精度±0.1°</t>
  </si>
  <si>
    <t>24路电流输入对应相角验证</t>
  </si>
  <si>
    <t>Fault_AcuRev4100_006_02_case1</t>
  </si>
  <si>
    <t>input1电流相角分设置为0°、1°、5°，上位机和HMI上检查input1的相角满足精度±0.1°</t>
  </si>
  <si>
    <t xml:space="preserve">1、连接AcuRev4100电表到Acuview2上，链接状态为connected
2、电源输入input1的电流相角为(0°、1°、5°)，电压为100V
3、检查input1的电流相角的精度是否符合±0.1°
</t>
  </si>
  <si>
    <t>3、检查input1的电流相角的精度符合±0.1°
备注: 使用excel公式计算具体值</t>
  </si>
  <si>
    <t>Function_AcuRev4100_006_02_case2</t>
  </si>
  <si>
    <t>input1电流相角分设置为10°、30°、45°，上位机和HMI上检查input1的相角满足精度±0.1°</t>
  </si>
  <si>
    <t xml:space="preserve">1、连接AcuRev4100电表到Acuview2上，链接状态为connected
2、电源输入input1的电流相角为10°、30°、45°，电压为100V
3、检查input1的电流相角的精度是否符合0.1°
</t>
  </si>
  <si>
    <t>Function_AcuRev4100_006_02_case3</t>
  </si>
  <si>
    <t>input1电流相角分设置为60°、90°、120°，上位机和HMI上检查input1的相角满足精度±0.1°</t>
  </si>
  <si>
    <t xml:space="preserve">1、连接AcuRev4100电表到Acuview2上，链接状态为connected
2、电源输入input1的电流相角为60°、90°、120°，电压为100V
3、检查input1的电流相角的精度是否符合±0.1°
</t>
  </si>
  <si>
    <t>Fault_AcuRev4100_006_02_case4</t>
  </si>
  <si>
    <t>input1电流相角分设置为180°、270°、360°，上位机和HMI上检查input1的相角满足精度±0.1°</t>
  </si>
  <si>
    <t>1、连接AcuRev4100电表到Acuview2上，链接状态为connected
2、电源输入input1的电流相角为180°、270°、360°，电压为100V
3、检查input1的电流相角的精度是否符合±0.1°</t>
  </si>
  <si>
    <t>Fault_AcuRev4100_006_02_case5</t>
    <phoneticPr fontId="10" type="noConversion"/>
  </si>
  <si>
    <t>input1电流相角分别设置为0°、1°、5°，上位机和HMI上检查input1的相角满足精度±0.1°</t>
  </si>
  <si>
    <t>1、连接AcuRev4100电表到Acuview2上，链接状态为connected
2、电源输入input1的电流相角为(0°、1°、5°)，电流为1A
3、检查input1的电流相角的精度是否符合±0.1°</t>
    <phoneticPr fontId="10" type="noConversion"/>
  </si>
  <si>
    <t>Fault_AcuRev4100_006_02_case6</t>
  </si>
  <si>
    <t>input1-input24电流相角分别设置为60°、90°、120°，上位机和HMI上检查input1的相角满足精度±0.1°</t>
  </si>
  <si>
    <t>1、连接AcuRev4100电表到Acuview2上，链接状态为connected
2、电源输入input1的电流相角为60°、90°、120°，电流为1A
3、检查input1的电流相角的精度是否符合±0.1°</t>
    <phoneticPr fontId="10" type="noConversion"/>
  </si>
  <si>
    <t>Fault_AcuRev4100_006_02_case6_1</t>
    <phoneticPr fontId="10" type="noConversion"/>
  </si>
  <si>
    <t>input1-input24电流相角分别设置为0°、240°、120°，上位机和HMI上检查input1的相角满足精度±0.1°</t>
  </si>
  <si>
    <t>1、连接AcuRev4100电表到Acuview2上，链接状态为connected
2、电源输入input1的电流相角为0°、240°、120°，电流为1A
3、检查input1的电流相角的精度是否符合±0.1°</t>
    <phoneticPr fontId="10" type="noConversion"/>
  </si>
  <si>
    <t>3、检查input1的电流相角的精度符合±0.1°
备注: 使用excel公式计算具体值</t>
    <phoneticPr fontId="10" type="noConversion"/>
  </si>
  <si>
    <t>Function_AcuRev4100_006_02_case7</t>
  </si>
  <si>
    <t>input1电流相角分设置为0°  120° 240°，上位机和HMI上检查input1的相角满足精度±0.1°</t>
  </si>
  <si>
    <t>1、连接AcuRev4100电表到Acuview2上，链接状态为connected
2、电源输入input1的电流相角为0°  120° 240°，电流为1A
3、检查input1的电流相角的精度是否符合±0.1°</t>
  </si>
  <si>
    <t>24路电流输入对应相角验证</t>
    <phoneticPr fontId="10" type="noConversion"/>
  </si>
  <si>
    <t>Function_AcuRev4100_006_02_case7_1</t>
    <phoneticPr fontId="10" type="noConversion"/>
  </si>
  <si>
    <t>input1电流相角分设置为0°  240° 120°，上位机和HMI上检查input1的相角满足精度±0.1°</t>
  </si>
  <si>
    <t>1、连接AcuRev4100电表到Acuview2上，链接状态为connected
2、电源输入input1的电流相角为0°  240° 120°，电流为1A
3、检查input1的电流相角的精度是否符合±0.1°</t>
    <phoneticPr fontId="10" type="noConversion"/>
  </si>
  <si>
    <t>Function_AcuRev4100_006_02_case8</t>
    <phoneticPr fontId="10" type="noConversion"/>
  </si>
  <si>
    <t xml:space="preserve">1、Acuview2上位机
2、网线/RTU串口线
3、AcuRev4100电表
</t>
    <phoneticPr fontId="10" type="noConversion"/>
  </si>
  <si>
    <t>1、连接AcuRev4100电表到Acuview2上，链接状态为connected
2、上位机上配置input1~3分配对应A相，B相，C相，电流为1A
3、电源输入input1~3的电流相角为0°  120° 240°；电压为100V， 电压相角位0°  120° 240°。
4、检查input1~3的电流相角的精度是否符合±0.1°</t>
    <phoneticPr fontId="10" type="noConversion"/>
  </si>
  <si>
    <t>4、检查input1~3的电流相角的精度符合±0.1°
备注: 使用excel公式计算具体值</t>
    <phoneticPr fontId="10" type="noConversion"/>
  </si>
  <si>
    <t>相电压2-31偶次谐波验证</t>
    <phoneticPr fontId="10" type="noConversion"/>
  </si>
  <si>
    <t>Function_AcuRev4100_007_01_case1</t>
    <phoneticPr fontId="10" type="noConversion"/>
  </si>
  <si>
    <t xml:space="preserve">设置ABC相电压均设置为120V，谐波含量百分比0.1%，谐波次数2，谐波相位-90°，测量电表谐波参数(百分比，谐波幅值，谐波角度)满足精度1% </t>
    <phoneticPr fontId="10" type="noConversion"/>
  </si>
  <si>
    <t xml:space="preserve">1、连接AcuRev4100电表到Acuview2上，链接状态为connected
2、设置ABC相电压均设置为120V
3、谐波含量百分比0.5%，谐波次数2，谐波相位-90°
4、检查上位机和电表上测量电表谐波参数(百分比，谐波幅值，谐波角度)满足精度1% </t>
  </si>
  <si>
    <t>4、上位机和电表上测量电表谐波参数(百分比)满足精度1% 
备注: 使用excel公式计算具体值0.35~0.65
备注：4100项目不支持查看谐波角度</t>
  </si>
  <si>
    <t>相电压2-31偶次谐波验证</t>
  </si>
  <si>
    <t>Function_AcuRev4100_007_01_case2</t>
  </si>
  <si>
    <t xml:space="preserve">设置ABC相电压均设置为120V，谐波含量百分比5%，  谐波次数2，谐波相位-60°，测量电表谐波参数(百分比，谐波幅值，谐波角度)满足精度1% </t>
  </si>
  <si>
    <t xml:space="preserve">1、连接AcuRev4100电表到Acuview2上，链接状态为connected
2、设置ABC相电压均设置为120V
3、谐波含量百分比5%，  谐波次数2，谐波相位-60°
4、检查上位机和电表上测量电表谐波参数(百分比，谐波幅值，谐波角度)满足精度1% </t>
  </si>
  <si>
    <t>4、上位机和电表上测量电表谐波参数(百分比)满足精度1% 
备注: 使用excel公式计算具体值4.75~5.25
备注：4100项目不支持查看谐波角度</t>
  </si>
  <si>
    <t>Function_AcuRev4100_007_01_case3</t>
  </si>
  <si>
    <t xml:space="preserve">设置ABC相电压均设置为120V，谐波含量百分比10%， 谐波次数2，谐波相位0°，  测量电表谐波参数(百分比，谐波幅值，谐波角度)满足精度1% </t>
  </si>
  <si>
    <t xml:space="preserve">1、连接AcuRev4100电表到Acuview2上，链接状态为connected
2、设置ABC相电压均设置为120V
3、谐波含量百分比10%， 谐波次数2，谐波相位0° 
4、检查上位机和电表上测量电表谐波参数(百分比，谐波幅值，谐波角度)满足精度1% </t>
  </si>
  <si>
    <t>4、上位机和电表上测量电表谐波参数(百分比)满足精度1% 
百分比:  9.5% ~ 10.5%
备注：4100项目不支持查看谐波角度</t>
  </si>
  <si>
    <t>Function_AcuRev4100_007_01_case4</t>
  </si>
  <si>
    <t xml:space="preserve">设置ABC相电压均设置为120V，谐波含量百分比30%， 谐波次数2，谐波相位60°， 测量电表谐波参数(百分比，谐波幅值，谐波角度)满足精度1% </t>
  </si>
  <si>
    <t xml:space="preserve">1、连接AcuRev4100电表到Acuview2上，链接状态为connected
2、设置ABC相电压均设置为120V
3、谐波含量百分比30%， 谐波次数2，谐波相位60°
4、检查上位机和电表上测量电表谐波参数(百分比，谐波幅值，谐波角度)满足精度1% </t>
  </si>
  <si>
    <t>4、上位机和电表上测量电表谐波参数(百分比)满足精度1% 
备注: 使用excel公式计算具体值28.5~31.5
备注：4100项目不支持查看谐波角度</t>
  </si>
  <si>
    <t>Function_AcuRev4100_007_01_case5</t>
  </si>
  <si>
    <t>设置ABC相电压均设置为120V，谐波含量百分比50%， 谐波次数2，谐波相位90°， 测量电表谐波参数(百分比，谐波幅值，谐波角度)满足精度1%</t>
  </si>
  <si>
    <t xml:space="preserve">1、连接AcuRev4100电表到Acuview2上，链接状态为connected
2、设置ABC相电压均设置为120V
3、谐波含量百分比50%， 谐波次数2，谐波相位90°
4、检查上位机和电表上测量电表谐波参数(百分比，谐波幅值，谐波角度)满足精度1% </t>
  </si>
  <si>
    <t>4、上位机和电表上测量电表谐波参数(百分比)满足精度1% 
备注: 使用excel公式计算具体值47.5~52.5
备注：4100项目不支持查看谐波角度</t>
  </si>
  <si>
    <t>Function_AcuRev4100_007_01_case6</t>
  </si>
  <si>
    <t xml:space="preserve">设置ABC相电压均设置为120V，谐波含量百分比0.1%，谐波次数20，谐波相位-90°，测量电表谐波参数(百分比，谐波幅值，谐波角度)满足精度1% </t>
  </si>
  <si>
    <t xml:space="preserve">1、连接AcuRev4100电表到Acuview2上，链接状态为connected
2、设置ABC相电压均设置为120V
3、谐波含量百分比0.5%，谐波次数20，谐波相位-90°
4、检查上位机和电表上测量电表谐波参数(百分比，谐波幅值，谐波角度)满足精度1% </t>
  </si>
  <si>
    <t>Function_AcuRev4100_007_01_case7</t>
  </si>
  <si>
    <t xml:space="preserve">设置ABC相电压均设置为120V，谐波含量百分比5%，  谐波次数20，谐波相位-60°，测量电表谐波参数(百分比，谐波幅值，谐波角度)满足精度1% </t>
  </si>
  <si>
    <t xml:space="preserve">1、连接AcuRev4100电表到Acuview2上，链接状态为connected
2、设置ABC相电压均设置为120V
3、谐波含量百分比5%，  谐波次数20，谐波相位-60°
4、检查上位机和电表上测量电表谐波参数(百分比，谐波幅值，谐波角度)满足精度1% </t>
  </si>
  <si>
    <t>Function_AcuRev4100_007_01_case8</t>
  </si>
  <si>
    <t xml:space="preserve">设置ABC相电压均设置为120V，谐波含量百分比10%， 谐波次数20，谐波相位0°，  测量电表谐波参数(百分比，谐波幅值，谐波角度)满足精度1% </t>
  </si>
  <si>
    <t xml:space="preserve">1、连接AcuRev4100电表到Acuview2上，链接状态为connected
2、设置ABC相电压均设置为120V
3、谐波含量百分比10%， 谐波次数20，谐波相位0°
4、检查上位机和电表上测量电表谐波参数(百分比，谐波幅值，谐波角度)满足精度1% </t>
  </si>
  <si>
    <t>Function_AcuRev4100_007_01_case9</t>
  </si>
  <si>
    <t xml:space="preserve">设置ABC相电压均设置为120V，谐波含量百分比30%， 谐波次数20，谐波相位60°， 测量电表谐波参数(百分比，谐波幅值，谐波角度)满足精度1% </t>
  </si>
  <si>
    <t xml:space="preserve">1、连接AcuRev4100电表到Acuview2上，链接状态为connected
2、设置ABC相电压均设置为120V
3、谐波含量百分比30%， 谐波次数20，谐波相位60° 
4、检查上位机和电表上测量电表谐波参数(百分比，谐波幅值，谐波角度)满足精度1% </t>
  </si>
  <si>
    <t>Fault_AcuRev4100_007_01_case10</t>
  </si>
  <si>
    <t>设置ABC相电压均设置为120V，谐波含量百分比50%， 谐波次数20，谐波相位90°， 测量电表谐波参数(百分比，谐波幅值，谐波角度)满足精度1%</t>
  </si>
  <si>
    <t xml:space="preserve">1、连接AcuRev4100电表到Acuview2上，链接状态为connected
2、设置ABC相电压均设置为120V
3、谐波含量百分比50%， 谐波次数20，谐波相位90°
4、检查上位机和电表上测量电表谐波参数(百分比，谐波幅值，谐波角度)满足精度1% </t>
  </si>
  <si>
    <t>相电压2-31奇次谐波验证</t>
  </si>
  <si>
    <t>Function_AcuRev4100_007_02_case1</t>
  </si>
  <si>
    <t xml:space="preserve">设置ABC相电压均设置为120V，谐波含量百分比0.1%，谐波次数3，谐波相位-90°，测量电表谐波参数(百分比，谐波幅值，谐波角度)满足精度1% </t>
  </si>
  <si>
    <t xml:space="preserve">1、连接AcuRev4100电表到Acuview2上，链接状态为connected
2、设置ABC相电压均设置为120V
3、谐波含量百分比0.5%，谐波次数3，谐波相位-90°
4、检查上位机和电表上测量电表谐波参数(百分比，谐波幅值，谐波角度)满足精度1% </t>
  </si>
  <si>
    <t>Function_AcuRev4100_007_02_case2</t>
  </si>
  <si>
    <t xml:space="preserve">设置ABC相电压均设置为120V，谐波含量百分比5%，  谐波次数3，谐波相位-60°，测量电表谐波参数(百分比，谐波幅值，谐波角度)满足精度1% </t>
  </si>
  <si>
    <t xml:space="preserve">1、连接AcuRev4100电表到Acuview2上，链接状态为connected
2、设置ABC相电压均设置为120V
3、谐波含量百分比5%，  谐波次数3，谐波相位-60°
4、检查上位机和电表上测量电表谐波参数(百分比，谐波幅值，谐波角度)满足精度1% </t>
  </si>
  <si>
    <t>Function_AcuRev4100_007_02_case3</t>
  </si>
  <si>
    <t xml:space="preserve">设置ABC相电压均设置为120V，谐波含量百分比10%， 谐波次数3，谐波相位0°，  测量电表谐波参数(百分比，谐波幅值，谐波角度)满足精度1% </t>
  </si>
  <si>
    <t xml:space="preserve">1、连接AcuRev4100电表到Acuview2上，链接状态为connected
2、设置ABC相电压均设置为120V
3、谐波含量百分比10%， 谐波次数3，谐波相位0°  
4、检查上位机和电表上测量电表谐波参数(百分比，谐波幅值，谐波角度)满足精度1% </t>
  </si>
  <si>
    <t>Function_AcuRev4100_007_02_case4</t>
  </si>
  <si>
    <t xml:space="preserve">设置ABC相电压均设置为120V，谐波含量百分比30%， 谐波次数3，谐波相位60°， 测量电表谐波参数(百分比，谐波幅值，谐波角度)满足精度1% </t>
  </si>
  <si>
    <t xml:space="preserve">1、连接AcuRev4100电表到Acuview2上，链接状态为connected
2、设置ABC相电压均设置为120V
3、谐波含量百分比30%， 谐波次数3，谐波相位60°
4、检查上位机和电表上测量电表谐波参数(百分比，谐波幅值，谐波角度)满足精度1% </t>
  </si>
  <si>
    <t>Function_AcuRev4100_007_02_case5</t>
  </si>
  <si>
    <t>设置ABC相电压均设置为120V，谐波含量百分比50%， 谐波次数3，谐波相位90°， 测量电表谐波参数(百分比，谐波幅值，谐波角度)满足精度1%</t>
  </si>
  <si>
    <t xml:space="preserve">1、连接AcuRev4100电表到Acuview2上，链接状态为connected
2、设置ABC相电压均设置为120V
3、谐波含量百分比50%， 谐波次数3，谐波相位90° 
4、检查上位机和电表上测量电表谐波参数(百分比，谐波幅值，谐波角度)满足精度1% </t>
  </si>
  <si>
    <t>Function_AcuRev4100_007_02_case6</t>
  </si>
  <si>
    <t xml:space="preserve">设置ABC相电压均设置为120V，谐波含量百分比0.1%，谐波次数31，谐波相位-90°，测量电表谐波参数(百分比，谐波幅值，谐波角度)满足精度1% </t>
  </si>
  <si>
    <t xml:space="preserve">1、连接AcuRev4100电表到Acuview2上，链接状态为connected
2、设置ABC相电压均设置为120V
3、谐波含量百分比0.5%，谐波次数31，谐波相位-90°
4、检查上位机和电表上测量电表谐波参数(百分比，谐波幅值，谐波角度)满足精度1% </t>
  </si>
  <si>
    <t>Function_AcuRev4100_007_02_case7</t>
  </si>
  <si>
    <t xml:space="preserve">设置ABC相电压均设置为120V，谐波含量百分比5%，  谐波次数31，谐波相位-60°，测量电表谐波参数(百分比，谐波幅值，谐波角度)满足精度1% </t>
  </si>
  <si>
    <t xml:space="preserve">1、连接AcuRev4100电表到Acuview2上，链接状态为connected
2、设置ABC相电压均设置为120V
3、谐波含量百分比5%，  谐波次数31，谐波相位-60°
4、检查上位机和电表上测量电表谐波参数(百分比，谐波幅值，谐波角度)满足精度1% </t>
  </si>
  <si>
    <t>Function_AcuRev4100_007_02_case8</t>
  </si>
  <si>
    <t xml:space="preserve">设置ABC相电压均设置为120V，谐波含量百分比10%， 谐波次数31，谐波相位0°，  测量电表谐波参数(百分比，谐波幅值，谐波角度)满足精度1% </t>
  </si>
  <si>
    <t xml:space="preserve">1、连接AcuRev4100电表到Acuview2上，链接状态为connected
2、设置ABC相电压均设置为120V
3、谐波含量百分比10%， 谐波次数31，谐波相位0° 
4、检查上位机和电表上测量电表谐波参数(百分比，谐波幅值，谐波角度)满足精度1% </t>
  </si>
  <si>
    <t>Function_AcuRev4100_007_02_case9</t>
  </si>
  <si>
    <t xml:space="preserve">设置ABC相电压均设置为120V，谐波含量百分比30%， 谐波次数31，谐波相位60°， 测量电表谐波参数(百分比，谐波幅值，谐波角度)满足精度1% </t>
  </si>
  <si>
    <t xml:space="preserve">1、连接AcuRev4100电表到Acuview2上，链接状态为connected
2、设置ABC相电压均设置为120V
3、谐波含量百分比30%， 谐波次数31，谐波相位60°
4、检查上位机和电表上测量电表谐波参数(百分比，谐波幅值，谐波角度)满足精度1% </t>
  </si>
  <si>
    <t>Function_AcuRev4100_007_02_case10</t>
  </si>
  <si>
    <t xml:space="preserve">设置ABC相电压均设置为120V，谐波含量百分比50%， 谐波次数31，谐波相位90°， 测量电表谐波参数(百分比，谐波幅值，谐波角度)满足精度1% </t>
  </si>
  <si>
    <t xml:space="preserve">1、连接AcuRev4100电表到Acuview2上，链接状态为connected
2、设置ABC相电压均设置为120V
3、谐波含量百分比50%， 谐波次数31，谐波相位60°
4、检查上位机和电表上测量电表谐波参数(百分比，谐波幅值，谐波角度)满足精度1% </t>
  </si>
  <si>
    <t>24路电流2-31奇次谐波验证</t>
  </si>
  <si>
    <t>Function_AcuRev4100_007_03_case1</t>
  </si>
  <si>
    <t xml:space="preserve">输入3路电流10A对应1个用户，谐波含量百分比0.1%，谐波次数9，谐波相位-90°，测量电表谐波参数(百分比，谐波幅值，谐波角度)满足精度1% </t>
  </si>
  <si>
    <t xml:space="preserve">1、连接AcuRev4100电表到Acuview2上，连接状态为connected
2、输入3路电流10A对应1个用户
3、谐波含量百分比0.5%，谐波次数9，谐波相位-90° 
4、检查上位机和电表上测量电表谐波参数(百分比，谐波幅值，谐波角度)满足精度1% </t>
  </si>
  <si>
    <t>4、上位机和电表上测量电表谐波参数(百分比)满足精度1% 
备注: 使用excel公式计算具体值0-1
备注：4100项目不支持查看谐波角度</t>
  </si>
  <si>
    <t>Function_AcuRev4100_007_03_case2</t>
  </si>
  <si>
    <t xml:space="preserve">输入3路电流10A对应1个用户，谐波含量百分比5%，  谐波次数9，谐波相位-60°，测量电表谐波参数(百分比，谐波幅值，谐波角度)满足精度1% </t>
  </si>
  <si>
    <t xml:space="preserve">1、连接AcuRev4100电表到Acuview2上，连接状态为connected
2、输入3路电流10A对应1个用户
3、谐波含量百分比5%，  谐波次数9，谐波相位-60°
4、检查上位机和电表上测量电表谐波参数(百分比，谐波幅值，谐波角度)满足精度1% </t>
  </si>
  <si>
    <t>4、上位机和电表上测量电表谐波参数(百分比)满足精度1% 
备注: 使用excel公式计算具体值4.5-5.5
备注：4100项目不支持查看谐波角度</t>
  </si>
  <si>
    <t>Function_AcuRev4100_007_03_case3</t>
  </si>
  <si>
    <t xml:space="preserve">输入3路电流10A对应1个用户，谐波含量百分比10%， 谐波次数9，谐波相位0°，  测量电表谐波参数(百分比，谐波幅值，谐波角度)满足精度1% </t>
  </si>
  <si>
    <t xml:space="preserve">1、连接AcuRev4100电表到Acuview2上，连接状态为connected
2、输入3路电流10A对应1个用户
3、谐波含量百分比10%， 谐波次数9，谐波相位0° 
4、检查上位机和电表上测量电表谐波参数(百分比，谐波幅值，谐波角度)满足精度1% </t>
  </si>
  <si>
    <t>4、上位机和电表上测量电表电流谐波参数(百分比)满足精度1% 
百分比:  9.5% ~ 10.5%
备注：4100项目不支持查看谐波角度</t>
  </si>
  <si>
    <t>Function_AcuRev4100_007_03_case4</t>
  </si>
  <si>
    <t xml:space="preserve">输入3路电流10A对应1个用户，谐波含量百分比30%， 谐波次数9，谐波相位60°， 测量电表谐波参数(百分比，谐波幅值，谐波角度)满足精度1% </t>
  </si>
  <si>
    <t xml:space="preserve">1、连接AcuRev4100电表到Acuview2上，连接状态为connected
2、输入3路电流10A对应1个用户
3、谐波含量百分比30%， 谐波次数9，谐波相位60° 
4、检查上位机和电表上测量电表谐波参数(百分比，谐波幅值，谐波角度)满足精度1% </t>
  </si>
  <si>
    <t>Fault_AcuRev4100_007_03_case5</t>
  </si>
  <si>
    <t xml:space="preserve">输入3路电流10A对应1个用户，谐波含量百分比50%， 谐波次数9，谐波相位90°， 测量电表谐波参数(百分比，谐波幅值，谐波角度)满足精度1% </t>
  </si>
  <si>
    <t xml:space="preserve">1、连接AcuRev4100电表到Acuview2上，连接状态为connected
2、输入3路电流10A对应1个用户
3、谐波含量百分比50%， 谐波次数9，谐波相位90°
4、检查上位机和电表上测量电表谐波参数(百分比，谐波幅值，谐波角度)满足精度1% </t>
  </si>
  <si>
    <t xml:space="preserve">4、上位机和电表上测量电表谐波参数(百分比)满足精度1% 
备注: 使用excel公式计算具体值47.5~52.5
备注：4100项目不支持查看谐波角度
</t>
  </si>
  <si>
    <t>Function_AcuRev4100_007_03_case6</t>
    <phoneticPr fontId="10" type="noConversion"/>
  </si>
  <si>
    <t xml:space="preserve">输入24路电流10A对应12个用户，谐波含量百分比0.1%，谐波次数31，谐波相位-90°，测量电表谐波参数(百分比，谐波幅值，谐波角度)满足精度1% </t>
  </si>
  <si>
    <t xml:space="preserve">1、连接AcuRev4100电表到Acuview2上，连接状态为connected
2、输入24路电流10A对应12个用户
3、谐波含量百分比0.5%，谐波次数31，谐波相位-90° 
4、检查上位机和电表上测量电表谐波参数(百分比，谐波幅值，谐波角度)满足精度1%  </t>
  </si>
  <si>
    <t>Function_AcuRev4100_007_03_case7</t>
  </si>
  <si>
    <t xml:space="preserve">输入24路电流10A对应12个用户，谐波含量百分比5%，  谐波次数31，谐波相位-60°，测量电表谐波参数(百分比，谐波幅值，谐波角度)满足精度1% </t>
  </si>
  <si>
    <t xml:space="preserve">1、连接AcuRev4100电表到Acuview2上，连接状态为connected
2、输入24路电流10A对应12个用户
3、谐波含量百分比5%，  谐波次数31，谐波相位-60° 
4、检查上位机和电表上测量电表谐波参数(百分比，谐波幅值，谐波角度)满足精度1% </t>
  </si>
  <si>
    <t>Function_AcuRev4100_007_03_case8</t>
  </si>
  <si>
    <t xml:space="preserve">输入24路电流10A对应12个用户，谐波含量百分比10%， 谐波次数31，谐波相位0°，  测量电表谐波参数(百分比，谐波幅值，谐波角度)满足精度1% </t>
  </si>
  <si>
    <t xml:space="preserve">1、连接AcuRev4100电表到Acuview2上，连接状态为connected
2、输入24路电流10A对应12个用户
3、谐波含量百分比10%， 谐波次数31，谐波相位0° 
4、检查上位机和电表上测量电表谐波参数(百分比，谐波幅值，谐波角度)满足精度1% </t>
  </si>
  <si>
    <t>Function_AcuRev4100_007_03_case9</t>
  </si>
  <si>
    <t xml:space="preserve">输入24路电流10A对应12个用户，谐波含量百分比30%， 谐波次数31，谐波相位60°， 测量电表谐波参数(百分比，谐波幅值，谐波角度)满足精度1% </t>
  </si>
  <si>
    <t xml:space="preserve">1、连接AcuRev4100电表到Acuview2上，连接状态为connected
2、输入24路电流10A对应12个用户
3、谐波含量百分比30%， 谐波次数31，谐波相位60°
4、检查上位机和电表上测量电表谐波参数(百分比，谐波幅值，谐波角度)满足精度1% </t>
  </si>
  <si>
    <t>Fault_AcuRev4100_007_03_case10</t>
  </si>
  <si>
    <t xml:space="preserve">输入24路电流10A对应12个用户，谐波含量百分比50%， 谐波次数31，谐波相位90°， 测量电表谐波参数(百分比，谐波幅值，谐波角度)满足精度1% </t>
  </si>
  <si>
    <t xml:space="preserve">1、连接AcuRev4100电表到Acuview2上，连接状态为connected
2、输入24路电流10A对应12个用户
3、谐波含量百分比50%， 谐波次数31，谐波相位90°
4、检查上位机和电表上测量电表谐波参数(百分比，谐波幅值，谐波角度)满足精度1% </t>
  </si>
  <si>
    <t>24路电流2-31偶次谐波验证</t>
  </si>
  <si>
    <t>Function_AcuRev4100_007_04_case1</t>
  </si>
  <si>
    <t xml:space="preserve">输入1路电流10A对应1个用户，谐波含量百分比0.1%，谐波次数4，谐波相位-90°， 测量电表谐波参数(百分比，谐波幅值，谐波角度)满足精度1% </t>
  </si>
  <si>
    <t xml:space="preserve">1、连接AcuRev4100电表到Acuview2上，连接状态为connected
2、输入1路电流10A对应1个用户
3、谐波百分比0.5%，谐波次数4，谐波相位-90°
4、检查上位机和电表上测量电表电流谐波参数(百分比，谐波幅值，谐波角度)满足精度1% </t>
  </si>
  <si>
    <t>Function_AcuRev4100_007_04_case2</t>
  </si>
  <si>
    <t xml:space="preserve">输入1路电流10A对应1个用户，谐波含量百分比5%，  谐波次数4，谐波相位-60°， 测量电表谐波参数(百分比，谐波幅值，谐波角度)满足精度1% </t>
  </si>
  <si>
    <t xml:space="preserve">1、连接AcuRev4100电表到Acuview2上，连接状态为connected
2、输入1路电流10A对应1个用户
3、谐波百分比5%，  谐波次数4，谐波相位-60°
4、检查上位机和电表上测量电表电流谐波参数(百分比，谐波幅值，谐波角度)满足精度1% </t>
  </si>
  <si>
    <t>Function_AcuRev4100_007_04_case3</t>
  </si>
  <si>
    <t xml:space="preserve">输入1路电流10A对应1个用户，谐波含量百分比10%， 谐波次数4，谐波相位0°，   测量电表谐波参数(百分比，谐波幅值，谐波角度)满足精度1% </t>
  </si>
  <si>
    <t xml:space="preserve">1、连接AcuRev4100电表到Acuview2上，连接状态为connected
2、输入1路电流10A对应1个用户
3、谐波百分比10%， 谐波次数4，谐波相位0°
4、检查上位机和电表上测量电表电流谐波参数(百分比，谐波幅值，谐波角度)满足精度1% </t>
  </si>
  <si>
    <t>Function_AcuRev4100_007_04_case4</t>
  </si>
  <si>
    <t xml:space="preserve">输入1路电流10A对应1个用户，谐波含量百分比30%， 谐波次数4，谐波相位60°，  测量电表谐波参数(百分比，谐波幅值，谐波角度)满足精度1% </t>
  </si>
  <si>
    <t xml:space="preserve">1、连接AcuRev4100电表到Acuview2上，连接状态为connected
2、输入1路电流10A对应1个用户
3、谐波百分比30%， 谐波次数4，谐波相位60°
4、检查上位机和电表上测量电表电流谐波参数(百分比，谐波幅值，谐波角度)满足精度1% </t>
  </si>
  <si>
    <t>Function_AcuRev4100_007_04_case5</t>
  </si>
  <si>
    <t xml:space="preserve">输入1路电流10A对应1个用户，谐波含量百分比50%， 谐波次数4，谐波相位90°，  测量电表谐波参数(百分比，谐波幅值，谐波角度)满足精度1% </t>
  </si>
  <si>
    <t xml:space="preserve">1、连接AcuRev4100电表到Acuview2上，连接状态为connected
2、输入1路电流10A对应1个用户
3、谐波百分比50%， 谐波次数4，谐波相位90°
4、检查上位机和电表上测量电表电流谐波参数(百分比，谐波幅值，谐波角度)满足精度1% </t>
  </si>
  <si>
    <t>Function_AcuRev4100_007_04_case6</t>
  </si>
  <si>
    <t xml:space="preserve">输入3路电流10A对应1个用户，谐波含量百分比0.1%，谐波次数30，谐波相位-90°， 测量电表谐波参数(百分比，谐波幅值，谐波角度)满足精度1% </t>
  </si>
  <si>
    <t xml:space="preserve">1、连接AcuRev4100电表到Acuview2上，连接状态为connected
2、输入3路电流10A对应1个用户
3、谐波百分比0.5%，谐波次数30，谐波相位-90°
4、检查上位机和电表上测量电表电流谐波参数(百分比，谐波幅值，谐波角度)满足精度1% </t>
  </si>
  <si>
    <t>Function_AcuRev4100_007_04_case7</t>
  </si>
  <si>
    <t xml:space="preserve">输入3路电流10A对应1个用户，谐波含量百分比5%，  谐波次数30，谐波相位-60°， 测量电表谐波参数(百分比，谐波幅值，谐波角度)满足精度1% </t>
  </si>
  <si>
    <t xml:space="preserve">1、连接AcuRev4100电表到Acuview2上，连接状态为connected
2、输入3路电流10A对应1个用户
3、谐波百分比5%，  谐波次数30，谐波相位-60°
4、检查上位机和电表上测量电表电流谐波参数(百分比，谐波幅值，谐波角度)满足精度1% </t>
  </si>
  <si>
    <t>Function_AcuRev4100_007_04_case8</t>
  </si>
  <si>
    <t xml:space="preserve">输入3路电流10A对应1个用户，谐波含量百分比10%， 谐波次数30，谐波相位0°，   测量电表谐波参数(百分比，谐波幅值，谐波角度)满足精度1% </t>
  </si>
  <si>
    <t xml:space="preserve">1、连接AcuRev4100电表到Acuview2上，连接状态为connected
2、输入3路电流10A对应1个用户
3、谐波百分比10%， 谐波次数30，谐波相位0°
4、检查上位机和电表上测量电表电流谐波参数(百分比，谐波幅值，谐波角度)满足精度1% </t>
  </si>
  <si>
    <t>4、上位机和电表上测量电表谐波参数(百分比)满足精度1% 
备注: 使用excel公式计算具体值9.5-10.5
备注：4100项目不支持查看谐波角度</t>
  </si>
  <si>
    <t>Function_AcuRev4100_007_04_case9</t>
  </si>
  <si>
    <t xml:space="preserve">输入3路电流10A对应1个用户，谐波含量百分比30%， 谐波次数30，谐波相位60°，  测量电表谐波参数(百分比，谐波幅值，谐波角度)满足精度1% </t>
  </si>
  <si>
    <t xml:space="preserve">1、连接AcuRev4100电表到Acuview2上，连接状态为connected
2、输入3路电流10A对应1个用户
3、谐波百分比30%， 谐波次数30，谐波相位60°
4、检查上位机和电表上测量电表电流谐波参数(百分比，谐波幅值，谐波角度)满足精度1% </t>
  </si>
  <si>
    <t>4、上位机和电表上测量电表谐波参数(百分比)满足精度1% 
备注: 使用excel公式计算具体值28.5-31.5
备注：4100项目不支持查看谐波角度</t>
  </si>
  <si>
    <t>Fault_AcuRev4100_007_04_case10</t>
  </si>
  <si>
    <t xml:space="preserve">输入3路电流10A对应1个用户，谐波含量百分比50%， 谐波次数30，谐波相位90°，  测量电表谐波参数(百分比，谐波幅值，谐波角度)满足精度1% </t>
  </si>
  <si>
    <t xml:space="preserve">1、连接AcuRev4100电表到Acuview2上，连接状态为connected
2、输入3路电流10A对应1个用户
3、谐波百分比50%， 谐波次数30，谐波相位90°
4、检查上位机和电表上测量电表电流谐波参数(百分比，谐波幅值，谐波角度)满足精度1% </t>
  </si>
  <si>
    <t>4、上位机和电表上测量电表谐波参数(百分比)满足精度1% 
备注: 使用excel公式计算具体值47.5-52.5
备注：4100项目不支持查看谐波角度</t>
  </si>
  <si>
    <t>Fault_AcuRev4100_007_05_case1</t>
  </si>
  <si>
    <t>设置ABC相电压均设置为120V，谐波含量百分比分别为3％、5％、9%， 谐波次数为5，谐波相位60°， 输入3路电流5A，谐波含量百分比10%、4％、20％， 谐波次数为20，谐波相位30°， 检查上位机Harmonic Specturm界面绘制的图形符合实际谐波含量</t>
  </si>
  <si>
    <t>1、连接AcuRev4100电表到Acuview2上，连接状态为connected
2、输入ABC三相电压均为120V，谐波含量分别为3%、5％、9％；3路电流5A对应1个用户，谐波含量为10%、4％、20％
3、检查上位机Harmonic Specturm界面绘制的图像</t>
  </si>
  <si>
    <t>Fault_AcuRev4100_007_05_case2</t>
  </si>
  <si>
    <t>设置ABC相电压均设置为120V，谐波含量百分比分别为3％、5％、9%， 谐波次数为5，谐波相位60°， 输入3路电流5A，谐波含量百分比10%、4％、20％， 谐波次数为20，谐波相位30°， 检查上位机Harmonic Specturm界面绘制的图形符合实际谐波含量，再关闭源的电压电流输入，检查Harmonic Specturm界面的柱状图显示是否正常</t>
  </si>
  <si>
    <t>1、连接AcuRev4100电表到Acuview2上，连接状态为connected
2、输入ABC三相电压均为120V，谐波含量分别为3%、5％、9％；3路电流5A对应1个用户，谐波含量为10%、4％、20％
3、检查上位机Harmonic Specturm界面绘制的图像
4、 关闭源的电压电流以及谐波输入
5、检查上位机Harmonic Specturm界面绘制的图像</t>
  </si>
  <si>
    <t>Function_AcuRev4100_008_01_case1</t>
  </si>
  <si>
    <t xml:space="preserve">设置ABC相电压均为120，谐波含量百分比0.5%，谐波次数2， 谐波相位60°，测量电表相电压ABC的谐波参数THD，OTHD，ETHD，THFF，Crest Factor测量准确 </t>
  </si>
  <si>
    <t>1、连接AcuRev4100电表到Acuview2上，连接状态为connected
2、设置ABC相电压均为120V，谐波含量百分比0.5%，谐波次数2， 谐波相位60°
3、检查上位机和电表上ABC三相电压谐波因素计算是否正确</t>
  </si>
  <si>
    <t>3、检查上位机和电表上ABC三相电压谐波因素计算正确(HMI和上位机百分比显示保留1位小数)
Phase A Voltage THD					0.500%
Phase A Voltage THD Odd				0.000%
Phase A Voltage THD Even			0.500%
Phase A Voltage Crest Factor		1.414 
Phase A Voltage THFF Factor			0.500%
Phase B Voltage THD					0.500%
Phase B Voltage THD Odd				0.000%
Phase B Voltage THD Even			0.500%
Phase B Voltage Crest Factor		1.414 
Phase B Voltage THFF Factor			0.500%
Phase C Voltage THD					0.500%
Phase C Voltage THD Odd				0.000%
Phase C Voltage THD Even			0.500%
Phase C Voltage Crest Factor		1.414 
Phase C Voltage THFF Factor			0.500%
Average Voltage THD					0.500%
Average Voltage THD Odd				0.000%
Average Voltage THD Even			0.500%</t>
  </si>
  <si>
    <t>Function_AcuRev4100_008_01_case2</t>
  </si>
  <si>
    <t xml:space="preserve">设置ABC相电压均为230，谐波含量百分比3%，  谐波次数5， 谐波相位60°，测量电表相电压ABC的谐波参数THD，OTHD，ETHD，THFF，Crest Factor测量准确   </t>
  </si>
  <si>
    <t>1、连接AcuRev4100电表到Acuview2上，连接状态为connected
2、设置ABC相电压均为230V，谐波含量百分比3%，  谐波次数5， 谐波相位60°
3、检查上位机和电表上ABC三相电压谐波因素计算是否正确</t>
  </si>
  <si>
    <t>3、检查上位机和电表上ABC三相电压谐波因素计算正确(HMI和上位机百分比显示保留1位小数)
Phase A Voltage THD					3.000%
Phase A Voltage THD Odd				3.000%
Phase A Voltage THD Even			0.000%
Phase A Voltage Crest Factor		1.414 
Phase A Voltage THFF Factor			2.999%
Phase B Voltage THD					3.000%
Phase B Voltage THD Odd				3.000%
Phase B Voltage THD Even			0.000%
Phase B Voltage Crest Factor		1.414 
Phase B Voltage THFF Factor			2.999%
Phase C Voltage THD					3.000%
Phase C Voltage THD Odd				3.000%
Phase C Voltage THD Even			0.000%
Phase C Voltage Crest Factor		1.414 
Phase C Voltage THFF Factor			2.999%
Average Voltage THD					3.000%
Average Voltage THD Odd				3.000%
Average Voltage THD Even			0.000%</t>
  </si>
  <si>
    <t>Function_AcuRev4100_008_01_case3</t>
  </si>
  <si>
    <t xml:space="preserve">设置ABC相电压均为220，谐波含量百分比30%， 谐波次数31，谐波相位60°，测量电表相电压ABC的谐波参数THD，OTHD，ETHD，THFF，Crest Factor测量准确  </t>
  </si>
  <si>
    <t>1、连接AcuRev4100电表到Acuview2上，连接状态为connected
2、设置ABC相电压均为220V，谐波含量百分比30%， 谐波次数31，谐波相位60°
3、检查上位机和电表上ABC三相电压谐波因素计算是否正确</t>
  </si>
  <si>
    <t>3、检查上位机和电表上ABC三相电压谐波因素计算正确(HMI和上位机百分比显示保留1位小数)
Phase A Voltage THD					30.000%
Phase A Voltage THD Odd				30.000%
Phase A Voltage THD Even			0.000%
Phase A Voltage Crest Factor		1.414 
Phase A Voltage THFF Factor			28.735%
Phase B Voltage THD					30.000%
Phase B Voltage THD Odd				30.000%
Phase B Voltage THD Even			0.000%
Phase B Voltage Crest Factor		1.414 
Phase B Voltage THFF Factor			28.735%
Phase C Voltage THD					30.000%
Phase C Voltage THD Odd				30.000%
Phase C Voltage THD Even			0.000%
Phase C Voltage Crest Factor		1.414 
Phase C Voltage THFF Factor			28.735%
Average Voltage THD					30.000%
Average Voltage THD Odd				30.000%
Average Voltage THD Even			0.000%</t>
  </si>
  <si>
    <t>Function_AcuRev4100_008_01_case3_01</t>
  </si>
  <si>
    <t>设置ABC相电压均为220V，5min后降源修改ABC电压到69V，查看ABC三相对应Crest Factor测量是否准确  （无谐波情况）</t>
  </si>
  <si>
    <t xml:space="preserve">1、连接AcuRev4100电表到Acuview2上，连接状态为connected
2、设置ABC相电压均为220V，5min后查看ABC三相对应Crest Factor测量是否准确
3.降源修改ABC电压到69V；
4.一段时间后查看ABC三相对应Crest Factor测量是否准确  </t>
  </si>
  <si>
    <t>2.ABC三相对应Crest Factor测量值为1.414
4.ABC三相对应Crest Factor测量值为1.414
备注：该值的计算为：一个周期内，电压最大值与电压有效值的比值；</t>
  </si>
  <si>
    <t>Fault_AcuRev4100_008_01_case4</t>
  </si>
  <si>
    <t xml:space="preserve">设置ABC相电压均为120,3谐波和4次谐波百分比分别为40%和40%,3次谐波相位60°,4次谐波相位240°,测量电相电压ABC的谐波参数THD，OTHD，ETHD，THFF，Crest Factor测量准确  </t>
  </si>
  <si>
    <t>1、连接AcuRev4100电表到Acuview2上，连接状态为connected
2、设置ABC相电压均为100V,3谐波和4次谐波百分比分别为40%和40%,3次谐波相位60°,4次谐波相位240°
3、检查上位机和电表上ABC三相电压谐波因素计算是否正确</t>
  </si>
  <si>
    <t>3、检查上位机和电表上ABC三相电压谐波因素计算正确(HMI和上位机百分比显示保留1位小数)
Phase A Voltage THD					56.569%
Phase A Voltage THD Odd				40.000%
Phase A Voltage THD Even			40.000%
Phase A Voltage Crest Factor		1.535
Phase A Voltage THFF Factor			49.237%
Phase B Voltage THD					56.569%
Phase B Voltage THD Odd				40.000%
Phase B Voltage THD Even			40.000%
Phase B Voltage Crest Factor		1.535
Phase B Voltage THFF Factor			49.237%
Phase C Voltage THD					56.569%
Phase C Voltage THD Odd				40.000%
Phase C Voltage THD Even			40.000%
Phase C Voltage Crest Factor		1.535 
Phase C Voltage THFF Factor			49.237%	
Average Voltage THD					56.569%
Average Voltage THD Odd				40.000%
Average Voltage THD Even			40.000%
备注: 从计算公式开，多次谐波相角不会影响谐波因素， 可借助execel公式批量计算</t>
  </si>
  <si>
    <t>Fault_AcuRev4100_008_01_case5</t>
  </si>
  <si>
    <t xml:space="preserve">设置ABC相电压均为120,3谐波和4次谐波百分比分别为30%和40%,3次谐波相位60°,4次谐波相位240°,测量电相电压ABC的谐波参数THD，OTHD，ETHD，THFF，Crest Factor测量准确  </t>
  </si>
  <si>
    <t>1、连接AcuRev4100电表到Acuview2上，连接状态为connected
2、设置ABC相电压均为120V,3谐波和4次谐波百分比分别为30%和40%,3次谐波相位60°,4次谐波相位240°
3、检查上位机和电表上ABC三相电压谐波因素计算是否正确</t>
  </si>
  <si>
    <t>3、检查上位机和电表上ABC三相电压谐波因素计算正确(HMI和上位机百分比显示保留1位小数)
Phase A Voltage THD					50.000%
Phase A Voltage THD Odd				30.000%
Phase A Voltage THD Even			40.000%
Phase A Voltage Crest Factor		1.414 
Phase A Voltage THFF Factor			44.721%
Phase B Voltage THD					50.000%
Phase B Voltage THD Odd				30.000%
Phase B Voltage THD Even			40.000%
Phase B Voltage Crest Factor		1.414 
Phase B Voltage THFF Factor			44.721%
Phase C Voltage THD					50.000%
Phase C Voltage THD Odd				30.000%
Phase C Voltage THD Even			40.000%
Phase C Voltage Crest Factor		1.414 
Phase C Voltage THFF Factor			44.721%
Average Voltage THD					50.000%
Average Voltage THD Odd				30.000%
Average Voltage THD Even			40.000%
备注: 从计算公式开，多次谐波相角不会影响谐波因素， 可借助execel公式批量计算</t>
  </si>
  <si>
    <t>24路电流谐波因素验证</t>
  </si>
  <si>
    <t>Function_AcuRev4100_008_02_case1</t>
  </si>
  <si>
    <t xml:space="preserve">输入1路电流5A对应1个用户，谐波百分比0.5%，谐波次数2， 谐波相位30°，测量电表谐波参数Input1_THD, Input1_OTHD,Input1_THD,Input1_KFactor测量准确 </t>
  </si>
  <si>
    <t>1、连接AcuRev4100电表到Acuview2上，连接状态为connected
2、输入1路电流3A对应1个用户，谐波百分比0.5%，谐波次数2， 谐波相位30°
3、检查上位机和电表上电流谐波因素参数计算是否正确。</t>
  </si>
  <si>
    <t xml:space="preserve">3、检查上位机和电表上电流谐波因素参数计算正确(HMI和上位机百分比显示保留1位小数)
Input1 Current THD				0.500%
Input1 Current THD Odd			0.000%
Input1 Current THD Even			0.500%
Input1 Current K Factor			1.000 </t>
  </si>
  <si>
    <t>Function_AcuRev4100_008_02_case2</t>
  </si>
  <si>
    <t>输入1路电流5A对应1个用户，谐波百分比10%，谐波次数5， 谐波相位60°，测量电表谐波参数Input1_THD, Input1_OTHD,Input1_THD,Input1_KFactor测量准确</t>
  </si>
  <si>
    <t>1、连接AcuRev4100电表到Acuview2上，连接状态为connected
2、输入1路电流5A对应1个用户，谐波百分比10%，谐波次数5， 谐波相位60°
3、检查上位机和电表上电流谐波因素参数计算是否正确。</t>
  </si>
  <si>
    <t>3、检查上位机和电表上电流谐波因素参数计算正确。(HMI和上位机百分比显示保留1位小数)
Input1 Current THD					10.000%
Input1 Current THD Odd				10.000%
Input1 Current THD Even				0.000%
Input1 Current K Factor				1.250</t>
  </si>
  <si>
    <t>Function_AcuRev4100_008_02_case3</t>
  </si>
  <si>
    <t xml:space="preserve">输入1路电流5A对应1个用户，谐波百分比30%，谐波次数31， 谐波相位60°，测量电表谐波参数Input1_THD, Input1_OTHD,Input1_THD,Input1_KFactor测量准确 </t>
  </si>
  <si>
    <t>1、连接AcuRev4100电表到Acuview2上，连接状态为connected
2、输入1路电流3A对应1个用户，谐波百分比30%，谐波次数31， 谐波相位60°
3、检查上位机和电表上电流谐波因素参数计算是否正确。</t>
  </si>
  <si>
    <t xml:space="preserve">3、检查上位机和电表上电流谐波因素参数计算正确。(HMI和上位机百分比显示保留1位小数)
Input1 Current THD					30.000%
Input1 Current THD Odd				30.000%
Input1 Current THD Even				0.000%
Input1 Current K Factor				87.490 </t>
    <phoneticPr fontId="10" type="noConversion"/>
  </si>
  <si>
    <t>Function_AcuRev4100_008_02_case4</t>
  </si>
  <si>
    <t xml:space="preserve">输入2路电流5A对应1个用户，谐波百分比5%，谐波次数3， 谐波相位45°，测量电表谐波参数Input1~2_THD_THD, Input1~2_OTHD,Input1~2_THD,Input1~2_KFactor测量准确 </t>
  </si>
  <si>
    <t>1、连接AcuRev4100电表到Acuview2上，连接状态为connected
2、输入2路电流5A对应1个用户，谐波百分比5%，谐波次数3，   谐波相位45°
3、检查上位机和电表上电流谐波因素参数计算是否正确。</t>
  </si>
  <si>
    <t xml:space="preserve">3、检查上位机和电表上电流谐波因素参数计算正确。(HMI和上位机百分比显示保留1位小数)
Input1 Current THD					5.000%
Input1 Current THD Odd				5.000%
Input1 Current THD Even				0.000%
Input 1 Current K Factor			1.023 
Input2 Current THD					5.000%
Input2 Current THD Odd				5.000%
Input2 Current THD Even				0.000%
Input2 Current K Factor				1.023 </t>
  </si>
  <si>
    <t>Function_AcuRev4100_008_02_case5</t>
  </si>
  <si>
    <t>输入2路电流5A对应1个用户，4次和5次谐波百分比分别为10%和10%，4次和5次谐波相位30°和210°，测量电表谐波参数Input1~2_THD_THD, Input1~2_OTHD,Input1~2_THD,Input1~2_KFactor测量准确</t>
  </si>
  <si>
    <t>1、连接AcuRev4100电表到Acuview2上，连接状态为connected
2、输入2路电流5A对应1个用户，4次和5次谐波百分比分别为10%和10%，4次和5次谐波相位30°和210°
3、检查上位机和电表上电流谐波因素参数计算是否正确。</t>
  </si>
  <si>
    <t>3、检查上位机和电表上电流谐波因素参数计算正确。(HMI和上位机百分比显示保留1位小数)
Input1 Current THD					14.142%
Input1 Current THD Odd				10.000%
Input1 Current THD Even				10.000%
Input 1 Current K Factor			1.410 
Input2 Current THD					14.142%
Input2 Current THD Odd				10.000%
Input2 Current THD Even				10.000%
Input2 Current K Factor				1.410 
备注: 从计算公式开，多次谐波相角不会影响谐波因素， 可借助execel公式批量计算</t>
  </si>
  <si>
    <t>Function_AcuRev4100_008_02_case6</t>
  </si>
  <si>
    <t>输入2路电流5A对应1个用户，4次和5次谐波百分比分别为10%和20%，4次和5次谐波相位30°和210°，测量电表谐波参数Input1~2_THD_THD, Input1~2_OTHD,Input1~2_THD,Input1~2_KFactor测量准确</t>
  </si>
  <si>
    <t>1、连接AcuRev4100电表到Acuview2上，连接状态为connected
2、输入2路电流5A对应1个用户，4次和5次谐波百分比分别为10%和20%，4次和5次谐波相位30°和210°
3、检查上位机和电表上电流谐波因素参数计算是否正确。</t>
  </si>
  <si>
    <t>3、检查上位机和电表上电流谐波因素参数计算正确。(HMI和上位机百分比显示保留1位小数)
Input1 Current THD					22.361%
Input1 Current THD Odd				20.000%
Input1 Current THD Even				10.000%
Input 1 Current K Factor			2.160 
Input2 Current THD					22.361%
Input2 Current THD Odd				20.000%
Input2 Current THD Even				10.000%
Input2 Current K Factor				2.160 
备注: 从计算公式开，多次谐波相角不会影响谐波因素， 可借助execel公式批量计算
实际K factor为2.05</t>
    <phoneticPr fontId="10" type="noConversion"/>
  </si>
  <si>
    <t>Function_AcuRev4100_008_02_case7</t>
  </si>
  <si>
    <t>输入24路电流5A对应8个用户，24路谐波百分比均为10%，谐波次数7，24路电流谐波相位均为30°，测量电表谐波参数Input1~24_THD_THD, Input1~24_OTHD,Input1~24_THD,Input1~24_KFactor测量准确</t>
  </si>
  <si>
    <t>1、连接AcuRev4100电表到Acuview2上，连接状态为connected
2、输入24路电流5A对应8个用户，24路谐波百分比均为10%，24路电流谐波相位均为30°
3、检查上位机和电表上电流谐波因素参数计算是否正确。</t>
  </si>
  <si>
    <t xml:space="preserve">3、检查上位机和电表上电流谐波因素参数计算正确。(HMI和上位机百分比显示保留1位小数)
备注: 从计算公式开，多次谐波相角不会影响谐波因素， 可借助execel公式批量计算
</t>
  </si>
  <si>
    <t>电能质量</t>
  </si>
  <si>
    <t>Function_AcuRev4100_009_01_case1_01</t>
  </si>
  <si>
    <t>1、连接AcuRev4100电表到Acuview2上，连接状态为connected
2、三相电压相角分别为0°、240°、120°，相电压分别为68V、69V、69V
3、检查上位机和电表上电压的不平衡因素VUF是否满足精度±1%</t>
  </si>
  <si>
    <t>3、检查上位机和电表上电压的不平衡因素VUF满足精度1%， 
VUF：	0.485%	0%	~	1.485%</t>
  </si>
  <si>
    <t>Function_AcuRev4100_009_01_case1_02</t>
  </si>
  <si>
    <t>3E3p4w Y， 三相电压相角分别为0°、240°、120°，相电压分别为66.9V、69V、69V，检查电表的三相电压不平衡因素VUF测量精度满足±1%</t>
  </si>
  <si>
    <t>1、连接AcuRev4100电表到Acuview2上，连接状态为connected
2、三相电压相角分别为0°、240°、120°，相电压分别为66.9V、69V、69V
3、检查上位机和电表上电压的不平衡因素VUF是否满足精度±1%</t>
  </si>
  <si>
    <t>3、检查上位机和电表上电压的不平衡因素VUF满足精度1%， 
VUF：	1.025%	0.025%	~	2.025%</t>
  </si>
  <si>
    <t>Function_AcuRev4100_009_01_case1_03</t>
  </si>
  <si>
    <t>3E3p4w Y， 三相电压相角分别为0°、240°、120°，相电压分别为59V、69V、69V，检查电表的三相电压不平衡因素VUF测量精度满足±1%</t>
  </si>
  <si>
    <t>1、连接AcuRev4100电表到Acuview2上，连接状态为connected
2、三相电压相角分别为0°、240°、120°，相电压分别为59V、69V、69V
3、检查上位机和电表上电压的不平衡因素VUF是否满足精度±1%</t>
  </si>
  <si>
    <t>3、检查上位机和电表上电压的不平衡因素VUF满足精度1%， 
VUF：	5.076%	 4.076%	~	6.076%</t>
  </si>
  <si>
    <t>Function_AcuRev4100_009_01_case1_04</t>
  </si>
  <si>
    <t>3E3p4w Y， 三相电压相角分别为0°、240°、120°，相电压分别为51V、69V、69V，检查电表的三相电压不平衡因素VUF测量精度满足±1%</t>
  </si>
  <si>
    <t>1、连接AcuRev4100电表到Acuview2上，连接状态为connected
2、三相电压相角分别为0°、240°、120°，相电压分别为51V、69V、69V
3、检查上位机和电表上电压的不平衡因素VUF是否满足精度±1%</t>
  </si>
  <si>
    <t>3、检查上位机和电表上电压的不平衡因素VUF满足精度1%， 
VUF：	9.524%	 8.524%	~	10.524%</t>
  </si>
  <si>
    <t>Function_AcuRev4100_009_01_case2_01</t>
  </si>
  <si>
    <t>3E3p4w Y， 三相电压相角分别为0°、240°、120°，相电压分别为120V、118V、120V,检查电表的三相电压不平衡因素VUF测量精度满足±1%</t>
  </si>
  <si>
    <t>1、连接AcuRev4100电表到Acuview2上，连接状态为connected
2、三相电压相角分别为0°、240°、120°，相电压分别为120V、118V、120V
3、检查上位机和电表上电压的不平衡因素VUF是否满足精度±1%</t>
  </si>
  <si>
    <t>3、检查上位机和电表上电压的不平衡因素VUF满足精度1%， 
VUF：0.559%	 0%	~	1.559%</t>
  </si>
  <si>
    <t>Function_AcuRev4100_009_01_case2_02</t>
  </si>
  <si>
    <t>3E3p4w Y， 三相电压相角分别为0°、240°、120°，相电压分别为120V、116.4V、120V,检查电表的三相电压不平衡因素VUF测量精度满足±1%</t>
  </si>
  <si>
    <t>1、连接AcuRev4100电表到Acuview2上，连接状态为connected
2、三相电压相角分别为0°、240°、120°，相电压分别为120V、116.4V、120V
3、检查上位机和电表上电压的不平衡因素VUF是否满足精度±1%</t>
  </si>
  <si>
    <t>3、检查上位机和电表上电压的不平衡因素VUF满足精度1%， 
VUF：1.010%	 0.010%	~	2.010%</t>
  </si>
  <si>
    <t>Function_AcuRev4100_009_01_case2_03</t>
  </si>
  <si>
    <t>3E3p4w Y， 三相电压相角分别为0°、240°、120°，相电压分别为120V、102V、120V,检查电表的三相电压不平衡因素VUF测量精度满足±1%</t>
  </si>
  <si>
    <t>1、连接AcuRev4100电表到Acuview2上，连接状态为connected
2、三相电压相角分别为0°、240°、120°，相电压分别为120V、102V、120V
3、检查上位机和电表上电压的不平衡因素VUF是否满足精度±1%</t>
  </si>
  <si>
    <t>3、检查上位机和电表上电压的不平衡因素VUF满足精度1%， 
VUF：5.263%	 4.263%	~	6.263%</t>
  </si>
  <si>
    <t>Function_AcuRev4100_009_01_case2_04</t>
  </si>
  <si>
    <t>1、连接AcuRev4100电表到Acuview2上，连接状态为connected
2、三相电压相角分别为0°、240°、120°，相电压分别为120V、88V、120V
3、检查上位机和电表上电压的不平衡因素VUF是否满足精度±1%</t>
  </si>
  <si>
    <t>3、检查上位机和电表上电压的不平衡因素VUF满足精度1%， 
VUF：9.756%	 8.756%	~10.756%</t>
  </si>
  <si>
    <t>Function_AcuRev4100_009_01_case3_01</t>
  </si>
  <si>
    <t>3e3p4w接线方式，三相电压相角分别为0°、240°、120°，相电压分别为230V、230V、226V,检查电表的三相电压不平衡因素VUF测量精度满足±1%</t>
  </si>
  <si>
    <t>1、连接AcuRev4100电表到Acuview2上，连接状态为connected
2、三相电压相角分别为0°、240°、120°，相电压分别为230V、230V、226V
3、检查上位机和电表上电压的不平衡因素VUF是否满足精度±1%</t>
  </si>
  <si>
    <t>3、检查上位机和电表上电压的不平衡因素VUF满足精度1%， 
VUF：0.583%	 0%	~	1.583%</t>
  </si>
  <si>
    <t>Function_AcuRev4100_009_01_case3_02</t>
  </si>
  <si>
    <t>3e3p4w接线方式，三相电压相角分别为0°、240°、120°，相电压分别为230V、230V、223V,检查电表的三相电压不平衡因素VUF测量精度满足±1%</t>
  </si>
  <si>
    <t>1、连接AcuRev4100电表到Acuview2上，连接状态为connected
2、三相电压相角分别为0°、240°、120°，相电压分别为230V、230V、223V
3、检查上位机和电表上电压的不平衡因素VUF是否满足精度±1%</t>
  </si>
  <si>
    <t>3、检查上位机和电表上电压的不平衡因素VUF满足精度1%， 
VUF：1.025%	 0.025%	~	2.025%</t>
  </si>
  <si>
    <t>Function_AcuRev4100_009_01_case3_03</t>
  </si>
  <si>
    <t>3e3p4w接线方式，三相电压相角分别为0°、240°、120°，相电压分别为230V、230V、196V,检查电表的三相电压不平衡因素VUF测量精度满足±1%</t>
    <phoneticPr fontId="10" type="noConversion"/>
  </si>
  <si>
    <t>1、连接AcuRev4100电表到Acuview2上，连接状态为connected
2、三相电压相角分别为0°、240°、120°，相电压分别为230V、230V、196V
3、检查上位机和电表上电压的不平衡因素VUF是否满足精度±1%</t>
  </si>
  <si>
    <t>3、检查上位机和电表上电压的不平衡因素VUF满足精度1%， 
VUF：5.131%	4.131%	~	6.131%</t>
  </si>
  <si>
    <t>Function_AcuRev4100_009_01_case3_04</t>
  </si>
  <si>
    <t>3e3p4w接线方式，三相电压相角分别为0°、240°、120°，相电压分别为230V、230V、168V,检查电表的三相电压不平衡因素VUF测量精度满足±1%</t>
  </si>
  <si>
    <t>1、连接AcuRev4100电表到Acuview2上，连接状态为connected
2、三相电压相角分别为0°、240°、120°，相电压分别为230V、230V、168V
3、检查上位机和电表上电压的不平衡因素VUF是否满足精度±1%</t>
  </si>
  <si>
    <t>3、检查上位机和电表上电压的不平衡因素VUF满足精度1%， 
VUF：9.873%	 8.873%	~	10.873%</t>
  </si>
  <si>
    <t>Function_AcuRev4100_009_01_case3_05</t>
  </si>
  <si>
    <t>3e3p4w接线方式，三相电压相角分别为0°、240°、120°，相电压分别为353V、347V、345V,检查电表的三相电压不平衡因素VUF测量精度满足±1%</t>
  </si>
  <si>
    <t>1、连接AcuRev4100电表到Acuview2上，连接状态为connected
2、三相电压相角分别为0°、240°、120°，相电压分别为353V、347V、347V
3、检查上位机和电表上电压的不平衡因素VUF是否满足精度±1%</t>
  </si>
  <si>
    <t xml:space="preserve">3、检查上位机和电表上电压的不平衡因素VUF满足精度1%，
VUF：0.573%	 0%	~	1.573%
</t>
  </si>
  <si>
    <t>Function_AcuRev4100_009_01_case3_06</t>
  </si>
  <si>
    <t>3e3p4w接线方式，三相电压相角分别为0°、240°、120°，相电压分别为357V、347V、345V,检查电表的三相电压不平衡因素VUF测量精度满足±1%</t>
  </si>
  <si>
    <t>1、连接AcuRev4100电表到Acuview2上，连接状态为connected
2、三相电压相角分别为0°、240°、120°，相电压分别为357V、347V、347V
3、检查上位机和电表上电压的不平衡因素VUF是否满足精度±1%</t>
  </si>
  <si>
    <t xml:space="preserve">3、检查上位机和电表上电压的不平衡因素VUF满足精度1%，
VUF：1.062%	 0.062%	~	2.062%
</t>
  </si>
  <si>
    <t>Function_AcuRev4100_009_01_case3_07</t>
  </si>
  <si>
    <t>3e3p4w接线方式，三相电压相角分别为0°、240°、120°，相电压分别为347V、295V、347V,检查电表的三相电压不平衡因素VUF测量精度满足±1%</t>
  </si>
  <si>
    <t>1、连接AcuRev4100电表到Acuview2上，连接状态为connected
2、三相电压相角分别为0°、240°、120°，相电压分别为347V、295V、347V
3、检查上位机和电表上电压的不平衡因素VUF是否满足精度±1%</t>
  </si>
  <si>
    <t xml:space="preserve">3、检查上位机和电表上电压的不平衡因素VUF满足精度1%，
VUF：5.258%	 4.258%	~	6.258%
</t>
  </si>
  <si>
    <t>Function_AcuRev4100_009_01_case3_08</t>
  </si>
  <si>
    <t>1、连接AcuRev4100电表到Acuview2上，连接状态为connected
2、三相电压相角分别为0°、120°、240°，相电压分别为347V、347V、255V
3、检查上位机和电表上电压的不平衡因素VUF是否满足精度±1%</t>
  </si>
  <si>
    <t xml:space="preserve">3、检查上位机和电表上电压的不平衡因素VUF满足精度1%，
VUF：9.694%	 8.694%	~	10.694%
</t>
  </si>
  <si>
    <t>Function_AcuRev4100_009_01_case3_09</t>
  </si>
  <si>
    <t>3E3p4w Y接线方式，三相电压相角分别为0°、241.8°、120°，三相电压相同，遍历69V、120V、230V、347V,检查电表的三相电压不平衡因素VUF测量精度满足±1%</t>
  </si>
  <si>
    <t>1、连接AcuRev4100电表到Acuview2上，连接状态为connected
2、三相电压相角分别为0°、241.8°、120°，三相电压全部为69V
3、检查上位机和电表上电压的不平衡因素VUF是否满足精度±1%
4、三相电压相角分别为0°、241.8°、120°，三相电压全部为120V
5、检查上位机和电表上电压的不平衡因素VUF是否满足精度±1%
6、三相电压相角分别为0°、241.8°、120°，三相电压全部为230V
7、检查上位机和电表上电压的不平衡因素VUF是否满足精度±1%
8、三相电压相角分别为0°、241.8°、120°，三相电压全部为347V
9、检查上位机和电表上电压的不平衡因素VUF是否满足精度±1%</t>
  </si>
  <si>
    <t>3、检查上位机和电表上电压的不平衡因素VUF显示
VUF：1.047%	0.047%	~	2.047%</t>
  </si>
  <si>
    <t>Function_AcuRev4100_009_01_case3_10</t>
  </si>
  <si>
    <t>3E3p4w Y接线方式，三相电压相角分别为0°、231°、120°，三相电压相同，遍历69V、120V、230V、347V,检查电表的三相电压不平衡因素VUF测量精度满足±1%</t>
  </si>
  <si>
    <t>1、连接AcuRev4100电表到Acuview2上，连接状态为connected
2、三相电压相角分别为0°、231°、120°，三相电压全部为69V
3、检查上位机和电表上电压的不平衡因素VUF是否满足精度±1%
4、三相电压相角分别为0°、231°、120°，三相电压全部为120V
5、检查上位机和电表上电压的不平衡因素VUF是否满足精度±1%
6、三相电压相角分别为0°、231°、120°，三相电压全部为230V
7、检查上位机和电表上电压的不平衡因素VUF是否满足精度±1%
8、三相电压相角分别为0°、231°、120°，三相电压全部为347V
9、检查上位机和电表上电压的不平衡因素VUF是否满足精度±1%</t>
  </si>
  <si>
    <t>3、检查上位机和电表上电压的不平衡因素VUF显示
VUF：5.245%	4.245%	~	6.245%</t>
  </si>
  <si>
    <t>Function_AcuRev4100_009_01_case3_11</t>
  </si>
  <si>
    <t>1、连接AcuRev4100电表到Acuview2上，连接状态为connected
2、三相电压相角分别为0°、240°、103°，三相电压全部为69V
3、检查上位机和电表上电压的不平衡因素VUF是否满足精度±1%
4、三相电压相角分别为0°、240°、103°，三相电压全部为120V
5、检查上位机和电表上电压的不平衡因素VUF是否满足精度±1%
6、三相电压相角分别为0°、240°、103°，三相电压全部为230V
7、检查上位机和电表上电压的不平衡因素VUF是否满足精度±1%
8、三相电压相角分别为0°、240°、103°，三相电压全部为347V
9、检查上位机和电表上电压的不平衡因素VUF是否满足精度±1%</t>
  </si>
  <si>
    <t>3、检查上位机和电表上电压的不平衡因素VUF显示
VUF：9.951%	8.951%	~	10.951%</t>
  </si>
  <si>
    <t>Function_AcuRev4100_009_01_case3_12</t>
  </si>
  <si>
    <t>1、连接AcuRev4100电表到Acuview2上，连接状态为connected
2、三相电压相角分别为0°、240°、120°，相电压分别为145V、210V、220V
3、检查上位机和电表上电压的不平衡因素VUF测量值为12.267%，没有精度要求</t>
  </si>
  <si>
    <t>Function_AcuRev4100_009_01_case3_13</t>
  </si>
  <si>
    <t>3e3p4w接线方式，三相电压相角分别为0°、240°、120°，相电压分别为0V、0V、230V,检查电表的三相电压不平衡因素VUF测量值为100%，没有精度要求</t>
  </si>
  <si>
    <t>1、连接AcuRev4100电表到Acuview2上，连接状态为connected
2、三相电压相角分别为0°、240°、120°，相电压分别为0V、0V、230V
3、检查上位机和电表上电压的不平衡因素VUF测量值为100.00%，没有精度要求</t>
  </si>
  <si>
    <t>Function_AcuRev4100_009_01_case3_14</t>
  </si>
  <si>
    <t>3E3p4w Y接线方式，三相电压相角分别为0°、218°、120°，三相电压相同，遍历69V、120V检查电表的三相电压不平衡因素VUF测量值为12.932%，没有精度要求</t>
  </si>
  <si>
    <t>1、连接AcuRev4100电表到Acuview2上，连接状态为connected
2、三相电压相角分别为0°、218°、120°，三相电压全部为69V
3、检查上位机和电表上电压的不平衡因素VUF测量值为12.932%，没有精度要求
4、三相电压相角分别为0°、218°、120°，三相电压全部为120V
5、检查上位机和电表上电压的不平衡因素VUF测量值为12.932%，没有精度要求</t>
  </si>
  <si>
    <t>3、检查上位机和电表上电压的不平衡因素VUF测量值为12.932%
备注： 电压不平衡因数超出10%，没有精度要求，但是不能偏离太多</t>
  </si>
  <si>
    <t>Function_AcuRev4100_009_01_case3_15</t>
  </si>
  <si>
    <t>1、连接AcuRev4100电表到Acuview2上，连接状态为connected
2、三相电压相角分别为0°、120°、120°，三相电压全部为69V
3、检查上位机和电表上电压的不平衡因素VUF测量值为100.00%，没有精度要求
4、三相电压相角分别为0°、120°、120°，三相电压全部为120V
5、检查上位机和电表上电压的不平衡因素VUF测量值为100.00%，没有精度要求</t>
  </si>
  <si>
    <t>Function_AcuRev4100_009_01_case3_16</t>
  </si>
  <si>
    <t>1、连接AcuRev4100电表到Acuview2上，连接状态为connected
2、三相电压相角分别为0°、120°、230°，三相电压全部为69V
3、检查上位机和电表上电压的不平衡因素VUF测量值为150.00%，没有精度要求
4、三相电压相角分别为0°、120°、230°，三相电压全部为120V
5、检查上位机和电表上电压的不平衡因素VUF测量值为150.00%，没有精度要求</t>
  </si>
  <si>
    <t>3、检查上位机和电表上电压的不平衡因素VUF测量值为150.00%
备注： 
1. 电压不平衡因数超出10%，没有精度要求，但是不能偏离太多
2. 大于1.5，DSP与浩良对齐，系统显示150%, 小于1.5按照实际的显示。</t>
  </si>
  <si>
    <t>Function_AcuRev4100_009_01_case3_17</t>
  </si>
  <si>
    <t>1、连接AcuRev4100电表到Acuview2上，连接状态为connected
2、三相电压相角分别为0°、240°、120°，三相电压全部为69V
3、检查上位机和电表上电压的不平衡因素VUF是否满足精度±1%
4、三相电压相角分别为0°、240°、120°，三相电压全部为120V
5、检查上位机和电表上电压的不平衡因素VUF是否满足精度±1%
6、三相电压相角分别为0°、240°、120°，三相电压全部为230V
7、检查上位机和电表上电压的不平衡因素VUF是否满足精度±1%
8、三相电压相角分别为0°、240°、120°，三相电压全部为347V
9、检查上位机和电表上电压的不平衡因素VUF是否满足精度±1%</t>
  </si>
  <si>
    <t>3、检查上位机和电表上电压的不平衡因素VUF显示
VUF：0.000%	0%	~	1.000%</t>
  </si>
  <si>
    <t>Function_AcuRev4100_009_01_case3_18</t>
  </si>
  <si>
    <t>1、连接AcuRev4100电表到Acuview2上，连接状态为connected
2、没有电源输入，三相电压相角分别为0°，三相电压全部为0V</t>
  </si>
  <si>
    <t>3、检查上位机和电表上电压的不平衡因素VUF显示
VUF：0.000%</t>
  </si>
  <si>
    <t>Function_AcuRev4100_009_01_case3_19</t>
  </si>
  <si>
    <t>1、连接AcuRev4100电表到Acuview2上，连接状态为connected
2、电表设置接线方式1 ELEMENT_2_WIRE,三相电压相角分别为0°、0°、0°，相电压分别为100V、0V、0V
3、检查上位机和电表上电压的不平衡因素VUF是否显示"-"</t>
  </si>
  <si>
    <t>3、上位机和电表上电压的不平衡因素VUF显示"-"
VUF："-"</t>
  </si>
  <si>
    <t>Function_AcuRev4100_009_01_case3_20</t>
  </si>
  <si>
    <t xml:space="preserve">1、连接AcuRev4100电表到Acuview2上，连接状态为connected
2、UA、Ub、UC相电压分别为69V、80V、69V
3、VUF按照是否为5.046% 4.046%-6.046%
4、HMI和上位机上系统需分量角度幅值显示是否正确
备注: 3Element 4 Wire Y、2 Element 3 Wire Network正常显示 VUF </t>
  </si>
  <si>
    <t xml:space="preserve">3、VUF为5.046% 4.046%-6.046%
4、HMI和上位机上系统需分量角度幅值显示正确，
正序、负序、零序（模值）: 72.667, 3.667，3.667
正序、负序、零序（角度）: 0°， 120°，240° </t>
  </si>
  <si>
    <t>Function_AcuRev4100_009_01_case3_21</t>
  </si>
  <si>
    <t>2 Element 3 Wire Network接线方式, 三相电压相角分别为0°、240°、120°，相电压分别为69V、120V、69V,检查电表的三相电压不平衡因素VUF测量值为19.767%，没有精度要求</t>
  </si>
  <si>
    <t xml:space="preserve">1、连接AcuRev4100电表到Acuview2上，连接状态为connected
2、UA、Ub、UC相电压分别为69V、120V、69V
3、VUF按照是否为19.767%，没有精度要求
4、HMI和上位机上系统需分量角度幅值显示是否正确
备注: 3Element 4 Wire Y、2 Element 3 Wire Network正常显示 VUF </t>
  </si>
  <si>
    <t xml:space="preserve">3、VUF为19.767%  没有精度要求，不差太多即可
4、HMI和上位机上系统需分量角度幅值显示正确，
正序、负序、零序（模值）:86.000, 17.000，17.000
正序、负序、零序（角度）: 0°， 120°，240° </t>
  </si>
  <si>
    <t>Function_AcuRev4100_009_01_case3_22</t>
  </si>
  <si>
    <t xml:space="preserve">1、Acuview2上位机
2、网线/RTU串口线
3、AcuRev4100电表
4、2 Element 3 Wire 1 Phase接线方式
</t>
    <phoneticPr fontId="10" type="noConversion"/>
  </si>
  <si>
    <t>1、连接AcuRev4100电表到Acuview2上，连接状态为connected
2、Ua和Uc相电压分别为230V、250V
3、VUF按照按照UA，UC平均值计算，是否为4.167% 3.167%~5.167%
4、HMI和上位机上系统需分量是否为“-” 
备注: 2 Element 3 Wire 1 Phase按照UA，UC平均值计算VUF， 2 Element 3 Wire 1 Phase、显示需分量参数为“-”</t>
  </si>
  <si>
    <t>3、VUF按照I按照UA，UC平均值计算，为4.167% 3.167%~5.167%
4、HMI和上位机上系统需分量为“-”
备注: 2 Element 3 Wire 1 Phase按照UA，UC平均值计算VUF， 2 Element 3 Wire 1 Phase、显示需分量参数为“-”</t>
  </si>
  <si>
    <t>Function_AcuRev4100_009_01_case3_23</t>
  </si>
  <si>
    <t>2 Element 3 Wire 1 Phase接线方式, Ua和Uc相电压分别为230V、400V,检查电表的三相电压不平衡因素VUF测量值正确</t>
  </si>
  <si>
    <t>1、连接AcuRev4100电表到Acuview2上，连接状态为connected
2、Ua和Uc相电压分别为230V、400V
3、VUF按照按照UA，UC平均值计算，是否为26.98%， 没有精度要求
4、HMI和上位机上系统需分量是否为“-”
备注: 2 Element 3 Wire 1 Phase按照UA，UC平均值计算VUF， 2 Element 3 Wire 1 Phase、显示需分量参数为“-”</t>
  </si>
  <si>
    <t>3、VUF按照I按照UA，UC平均值计算，为26.98% ， 没有精度要求
4、HMI和上位机上系统需分量为“-”
备注: 2 Element 3 Wire 1 Phase按照UA，UC平均值计算VUF， 2 Element 3 Wire 1 Phase、显示需分量参数为“-”</t>
  </si>
  <si>
    <t>Function_AcuRev4100_009_01_case3_24</t>
  </si>
  <si>
    <t>1、Acuview2上位机
2、网线/RTU串口线
3、AcuRev4100电表
4、2 Element 3 Wire Delta接线方式</t>
    <phoneticPr fontId="10" type="noConversion"/>
  </si>
  <si>
    <t>1、连接AcuRev4100电表到Acuview2上，连接状态为connected
2、UA、UC相电压分别为69V、69V
3、VUF按照 UAB、UBC、UCA平均值计算，是否为0% 0%~1%
4、HMI和上位机上系统需分零是否为“-”
备注: 1 Element 2 Wire、2 Element 3 Wire 1 Phase、2 Element 3 Wire Delta、3 Element 3 Wire Delta显示-；UAB、UBC、UCA平均值计算VUF
接线方式备注: 科陆源先择PT3，接两路电流</t>
  </si>
  <si>
    <t>3、VUF按照IUAB、UBC、UCA平均值计算，为0% 0%~1%
4、HMI和上位机上系统需分零为“-”
备注: 2 Element 3 Wire Delta、3 Element 3 Wire Delta 需分量参数 显示-
VUF :   2 Element 3 Wire Delta、3 Element 3 Wire Delta按照UAB、UBC、UCA平均值计算</t>
  </si>
  <si>
    <t>Function_AcuRev4100_009_01_case3_25</t>
  </si>
  <si>
    <t>2 Element 3 Wire Delta接线方式, UA、UC相电压分别为100V、200V检查电表的三相电压不平衡因素VUF测量值正确</t>
  </si>
  <si>
    <t>1、连接AcuRev4100电表到Acuview2上，连接状态为connected
2、UA、UC相电压分别为100V、200V
3、VUF按照 UAB、UBC、UCA平均值计算，是否为36.6%， 没有精度要求
4、HMI和上位机上系统需分量是否为“-”
备注: 1 Element 2 Wire、2 Element 3 Wire 1 Phase、2 Element 3 Wire Delta、3 Element 3 Wire Delta显示-；UAB、UBC、UCA平均值计算VUF
接线方式备注: 科陆源先择PT3，接两路电流</t>
  </si>
  <si>
    <r>
      <t>3、VUF按照IUAB、UBC、UCA平均值计算，为</t>
    </r>
    <r>
      <rPr>
        <b/>
        <sz val="10"/>
        <color theme="1"/>
        <rFont val="微软雅黑"/>
        <family val="2"/>
        <charset val="134"/>
      </rPr>
      <t xml:space="preserve">36.6%，  没有精度要求
</t>
    </r>
    <r>
      <rPr>
        <sz val="10"/>
        <color theme="1"/>
        <rFont val="微软雅黑"/>
        <family val="2"/>
        <charset val="134"/>
      </rPr>
      <t>4、HMI和上位机上系统需分量为“-”
备注: 2 Element 3 Wire Delta、3 Element 3 Wire Delta 需分量参数 显示-
VUF :   2 Element 3 Wire Delta、3 Element 3 Wire Delta按照UAB、UBC、UCA平均值计算</t>
    </r>
  </si>
  <si>
    <t>Function_AcuRev4100_009_01_case4</t>
  </si>
  <si>
    <t>3E3p4w Y，三相电压相角分别为0°、120°、240°，相电压均为220V,检查电表的三相电压不平衡因素VUF值符合预期，没有精度要求</t>
  </si>
  <si>
    <t>1、连接AcuRev4100电表到Acuview2上，连接状态为connected
2、三相电压相角分别为0°、120°、240°，相电压分别为220V、220V、220V
3、检查上位机和电表上电压的不平衡因素VUF是否显示150.000%</t>
  </si>
  <si>
    <t>3、检查上位机和电表上电压的不平衡因素VUF满足精度1%， 
VUF：150.000%	没有精度要求
备注:大于1.5，DSP与浩良对齐，系统显示150%, 小于1.5按照实际的显示。</t>
  </si>
  <si>
    <t>Function_AcuRev4100_009_01_case5</t>
  </si>
  <si>
    <t>3E3p4w Y，三相电压相角分别为0°、120°、120°，相电压分别为100V、200V、300V,检查电表的三相电压不平衡因素VUF值符合预期，没有精度要求</t>
  </si>
  <si>
    <t>1、连接AcuRev4100电表到Acuview2上，连接状态为connected
2、三相电压相角分别为0°、120°、120°，相电压分别为100V、200V、300V
3、检查上位机和电表上电压的不平衡因素VUF</t>
  </si>
  <si>
    <t>3、检查上位机和电表上电压的不平衡因素VUF满足精度1%， 
 VUF：86.603%	没有精度要求
备注:大于1.5，DSP与浩良对齐，系统显示150%, 小于1.5按照实际的显示。</t>
  </si>
  <si>
    <t>Function_AcuRev4100_009_01_case6_01</t>
  </si>
  <si>
    <t>3E3p4w Y，1个用户对应3路电流，电流相角分别为0°、240°、120°，input1_A、input2_B、input3_C分别为0.49A、0.5A、0.5A，测量电表用户user1的电流不平衡因素CUF满足精度±1%</t>
  </si>
  <si>
    <t>1、连接AcuRev4100电表到Acuview2上，连接状态为connected
2、1个用户对应3路电流，电流相角分别为0°、240°、120°，input1_A、input2_B、input3_C分别为0.49A、0.5A、0.5A
3、检查上位机和电表上电流的不平衡因素CUF是否满足精度±1%</t>
  </si>
  <si>
    <t>3、检查上位机和电表上电流的不平衡因素CUF满足精度1%， 
CUF: 0.671%	0 %	~	1.671%
备注:对称分量法可精确计算不平衡度VUF和CUF</t>
  </si>
  <si>
    <t>Function_AcuRev4100_009_01_case6_02</t>
  </si>
  <si>
    <t>3E3p4w Y，1个用户对应3路电流，电流相角分别为0°、240°、120°，input1_A、input2_B、input3_C分别为0.485A、0.5A、0.5A，测量电表用户user1的电流不平衡因素CUF满足精度±1%</t>
  </si>
  <si>
    <t>1、连接AcuRev4100电表到Acuview2上，连接状态为connected
2、1个用户对应3路电流，电流相角分别为0°、240°、120°，input1_A、input2_B、input3_C分别为0.485A、0.5A、0.5A
3、检查上位机和电表上电流的不平衡因素CUF是否满足精度±1%</t>
  </si>
  <si>
    <t>3、检查上位机和电表上电流的不平衡因素CUF满足精度1%， 
CUF: 1.010%	0.010 %	~	2.010%
备注:对称分量法可精确计算不平衡度VUF和CUF</t>
  </si>
  <si>
    <t>Function_AcuRev4100_009_01_case6_03</t>
  </si>
  <si>
    <t>3E3p4w Y，1个用户对应3路电流，电流相角分别为0°、240°、120°，input1_A、input2_B、input3_C分别为0.5A、1A、0.5A，测量电表用户user1的电流不平衡因素CUF满足精度±1%</t>
  </si>
  <si>
    <t>1、连接AcuRev4100电表到Acuview2上，连接状态为connected
2、1个用户对应3路电流，电流相角分别为0°、240°、120°，input1_A、input2_B、input3_C分别为0.5A、1A、0.5A
3、检查上位机和电表上电流的不平衡因素CUF是否满足精度±1%</t>
  </si>
  <si>
    <t>3、检查上位机和电表上电流的不平衡因素CUF满足精度1%， 
CUF: 25.000%	24.000 %	~	26.000%
备注:对称分量法可精确计算不平衡度VUF和CUF</t>
  </si>
  <si>
    <t>Function_AcuRev4100_009_01_case6_04</t>
  </si>
  <si>
    <t>3E3p4w Y，1个用户对应3路电流，电流相角分别为0°、240°、120°，input1_A、input2_B、input3_C分别为0.5A、1.9A、0.5A，测量电表用户user1的电流不平衡因素CUF满足精度±1%</t>
  </si>
  <si>
    <t>1、连接AcuRev4100电表到Acuview2上，连接状态为connected
2、1个用户对应3路电流，电流相角分别为0°、240°、120°，input1_A、input2_B、input3_C分别为0.5A、1.9A、0.5A
3、检查上位机和电表上电流的不平衡因素CUF是否满足精度±1%</t>
  </si>
  <si>
    <t>3、检查上位机和电表上电流的不平衡因素CUF满足精度1%， 
CUF: 48.276%	47.276 %	~	49.276%
备注:对称分量法可精确计算不平衡度VUF和CUF</t>
  </si>
  <si>
    <t>Function_AcuRev4100_009_01_case7_01</t>
  </si>
  <si>
    <t>3E3p4w Y，1个用户对应3路电流，电流相角分别为0°、240°、120°，input1_A、input2_B、input3_C分别为2A、1.97A、2A，测量电表用户user1的电流不平衡因素CUF满足精度1%</t>
  </si>
  <si>
    <t>1、连接AcuRev4100电表到Acuview2上，连接状态为connected
2、1个用户对应3路电流，电流相角分别为0°、240°、120°，input1_A、input2_B、input3_C分别为2A、1.97A、2A
3、检查上位机和电表上电流的不平衡因素CUF是否满足精度±1%</t>
  </si>
  <si>
    <t>3、检查上位机和电表上电流的不平衡因素CUF满足精度1%， 
 CUF：0.503%	0%	~	1.503%</t>
  </si>
  <si>
    <t>Function_AcuRev4100_009_01_case7_02</t>
  </si>
  <si>
    <t>1、连接AcuRev4100电表到Acuview2上，连接状态为connected
2、1个用户对应3路电流，电流相角分别为0°、240°、120°，input1_A、input2_B、input3_C分别为2A、1.94A、2A
3、检查上位机和电表上电流的不平衡因素CUF是否满足精度±1%</t>
  </si>
  <si>
    <t>3、检查上位机和电表上电流的不平衡因素CUF满足精度1%， 
 CUF：1.010%	0.010%	~	2.010%</t>
  </si>
  <si>
    <t>Function_AcuRev4100_009_01_case7_03</t>
  </si>
  <si>
    <t>3E3p4w Y，1个用户对应3路电流，电流相角分别为0°、240°、120°，input1_A、input2_B、input3_C分别为2A、4A、2A，测量电表用户user1的电流不平衡因素CUF满足精度1%</t>
  </si>
  <si>
    <t>1、连接AcuRev4100电表到Acuview2上，连接状态为connected
2、1个用户对应3路电流，电流相角分别为0°、240°、120°，input1_A、input2_B、input3_C分别为2A、4A、2A
3、检查上位机和电表上电流的不平衡因素CUF是否满足精度±1%</t>
  </si>
  <si>
    <t>3、检查上位机和电表上电流的不平衡因素CUF满足精度1%， 
 CUF：25%	24%	~	26%</t>
  </si>
  <si>
    <t>Function_AcuRev4100_009_01_case7_04</t>
  </si>
  <si>
    <t>3E3p4w Y，1个用户对应3路电流，电流相角分别为0°、240°、120°，input1_A、input2_B、input3_C分别为2A、7.8A、2A，测量电表用户user1的电流不平衡因素CUF满足精度1%</t>
  </si>
  <si>
    <t>1、连接AcuRev4100电表到Acuview2上，连接状态为connected
2、1个用户对应3路电流，电流相角分别为0°、240°、120°，input1_A、input2_B、input3_C分别为2A、7.8A、2A
3、检查上位机和电表上电流的不平衡因素CUF是否满足精度±1%</t>
  </si>
  <si>
    <t>3、检查上位机和电表上电流的不平衡因素CUF满足精度1%， 
 CUF：49.153%	48.153%	~	50.153%</t>
  </si>
  <si>
    <t>Function_AcuRev4100_009_01_case7_05</t>
  </si>
  <si>
    <t>3E3p4w Y，1个用户对应3路电流，电流相角分别为0°、240°、120°，input1_A、input2_B、input3_C分别为5A、5A、4.9A，测量电表用户user1的电流不平衡因素CUF满足精度1%</t>
  </si>
  <si>
    <t>1、连接AcuRev4100电表到Acuview2上，连接状态为connected
2、1个用户对应3路电流，电流相角分别为0°、240°、120°，input1_A、input2_B、input3_C分别为5A、5A、4.9A
3、检查上位机和电表上电流的不平衡因素CUF是否满足精度±1%</t>
  </si>
  <si>
    <t>3、检查上位机和电表上电流的不平衡因素CUF满足精度1%， 
 CUF：0.671%	0%	~	1.671%</t>
  </si>
  <si>
    <t>Function_AcuRev4100_009_01_case7_06</t>
  </si>
  <si>
    <t>3E3p4w Y，1个用户对应3路电流，电流相角分别为0°、240°、120°，input1_A、input2_B、input3_C分别为5A、5A、4.85A，测量电表用户user1的电流不平衡因素CUF满足精度1%</t>
  </si>
  <si>
    <t>1、连接AcuRev4100电表到Acuview2上，连接状态为connected
2、1个用户对应3路电流，电流相角分别为0°、240°、120°，input1_A、input2_B、input3_C分别为5A、5A、4.85A
3、检查上位机和电表上电流的不平衡因素CUF是否满足精度±1%</t>
  </si>
  <si>
    <t>Function_AcuRev4100_009_01_case7_07</t>
  </si>
  <si>
    <t>3E3p4w Y，1个用户对应3路电流，电流相角分别为0°、240°、120°，input1_A、input2_B、input3_C分别为5A、5A、10A，测量电表用户user1的电流不平衡因素CUF满足精度1%</t>
  </si>
  <si>
    <t>1、连接AcuRev4100电表到Acuview2上，连接状态为connected
2、1个用户对应3路电流，电流相角分别为0°、240°、120°，input1_A、input2_B、input3_C分别为5A、5A、10A
3、检查上位机和电表上电流的不平衡因素CUF是否满足精度±1%</t>
  </si>
  <si>
    <t>Function_AcuRev4100_009_01_case7_08</t>
  </si>
  <si>
    <t>3E3p4w Y，1个用户对应3路电流，电流相角分别为0°、240°、120°，input1_A、input2_B、input3_C分别为5A、5A、19.5A，测量电表用户user1的电流不平衡因素CUF满足精度1%</t>
  </si>
  <si>
    <t>1、连接AcuRev4100电表到Acuview2上，连接状态为connected
2、1个用户对应3路电流，电流相角分别为0°、240°、120°，input1_A、input2_B、input3_C分别为5A、5A、19.5A
3、检查上位机和电表上电流的不平衡因素CUF是否满足精度±1%</t>
  </si>
  <si>
    <t>Function_AcuRev4100_009_01_case7_09</t>
  </si>
  <si>
    <t>3E3p4w Y，1个用户对应3路电流，电流相角分别为0°、240°、120°，input1_A、input2_B、input3_C分别为9.8A、10A、10A，测量电表用户user1的电流不平衡因素CUF满足精度1%</t>
  </si>
  <si>
    <t>1、连接AcuRev4100电表到Acuview2上，连接状态为connected
2、1个用户对应3路电流，电流相角分别为0°、240°、120°，input1_A、input2_B、input3_C分别为9.8A、10A、10A
3、检查上位机和电表上电流的不平衡因素CUF是否满足精度±1%</t>
  </si>
  <si>
    <t>Function_AcuRev4100_009_01_case7_10</t>
  </si>
  <si>
    <t>3E3p4w Y，1个用户对应3路电流，电流相角分别为0°、240°、120°，input1_A、input2_B、input3_C分别为9.7A、10A、10A，测量电表用户user1的电流不平衡因素CUF满足精度1%</t>
  </si>
  <si>
    <t>1、连接AcuRev4100电表到Acuview2上，连接状态为connected
2、1个用户对应3路电流，电流相角分别为0°、240°、120°，input1_A、input2_B、input3_C分别为9.7A、10A、10A
3、检查上位机和电表上电流的不平衡因素CUF是否满足精度±1%</t>
  </si>
  <si>
    <t>Function_AcuRev4100_009_01_case7_11</t>
  </si>
  <si>
    <t>3E3p4w Y，1个用户对应3路电流，电流相角分别为0°、240°、120°，input1_A、input2_B、input3_C分别为20A、10A、10A，测量电表用户user1的电流不平衡因素CUF满足精度1%</t>
  </si>
  <si>
    <t>1、连接AcuRev4100电表到Acuview2上，连接状态为connected
2、1个用户对应3路电流，电流相角分别为0°、240°、120°，input1_A、input2_B、input3_C分别为20A、10A、10A
3、检查上位机和电表上电流的不平衡因素CUF是否满足精度±1%</t>
  </si>
  <si>
    <t>Function_AcuRev4100_009_01_case7_12</t>
  </si>
  <si>
    <t>3E3p4w Y，1个用户对应3路电流，电流相角分别为0°、240°、120°，input1_A、input2_B、input3_C分别为20A、20A、19.7A，测量电表用户user1的电流不平衡因素CUF满足精度1%</t>
  </si>
  <si>
    <t>1、连接AcuRev4100电表到Acuview2上，连接状态为connected
2、1个用户对应3路电流，电流相角分别为0°、240°、120°，input1_A、input2_B、input3_C分别为20A、20A、19.7A
3、检查上位机和电表上电流的不平衡因素CUF是否满足精度±1%</t>
  </si>
  <si>
    <r>
      <rPr>
        <sz val="10"/>
        <color theme="1"/>
        <rFont val="微软雅黑"/>
        <family val="2"/>
        <charset val="134"/>
      </rPr>
      <t>3、检查上位机和电表上电流的不平衡因素CUF满足精度1%， 
 CUF：0.503%	0%	~	1.503%</t>
    </r>
  </si>
  <si>
    <t>Function_AcuRev4100_009_01_case7_13</t>
  </si>
  <si>
    <t>3E3p4w Y，1个用户对应3路电流，电流相角分别为0°、240°、120°，三路电流相同，遍历0.5A、2A、5A、10A、20A
,测量电表用户user1的电流不平衡因素CUF满足精度1%</t>
  </si>
  <si>
    <t>1、连接AcuRev4100电表到Acuview2上，连接状态为connected
2、三路电流相角分别为1°、240°、120°，三路电流全部为0.5A
3、检查上位机和电表上电压的不平衡因素VUF是否满足精度±1%
4、三路电流相角分别为1°、240°、120°，三路电流全部为2A
5、检查上位机和电表上电压的不平衡因素VUF是否满足精度±1%
6、三路电流相角分别为1°、240°、120°，三路电流全部为5A
7、检查上位机和电表上电压的不平衡因素VUF是否满足精度±1%
8、三路电流相角分别为1°、240°、120°，三路电流全部为10A
9、检查上位机和电表上电压的不平衡因素VUF是否满足精度±1%
10、三路电流相角分别为1°、240°、120°，三路电流全部为20A
11、检查上位机和电表上电压的不平衡因素VUF是否满足精度±1%</t>
  </si>
  <si>
    <t>3、检查上位机和电表上电压的不平衡因素VUF显示
VUF：0.582%	0%	~	1.582%</t>
  </si>
  <si>
    <t>Function_AcuRev4100_009_01_case7_14</t>
  </si>
  <si>
    <t>3E3p4w Y，1个用户对应3路电流，电流相角分别为0°、200°、120°，三路电流相同，遍历0.5A、2A、5A、10A、20A
,测量电表用户user1的电流不平衡因素CUF满足精度1%</t>
  </si>
  <si>
    <t>1、连接AcuRev4100电表到Acuview2上，连接状态为connected
2、三路电流相角分别为0°、200°、120°，三路电流全部为0.5A
3、检查上位机和电表上电压的不平衡因素VUF是否满足精度±1%
4、三路电流相角分别为0°、200°、120°，三路电流全部为2A
5、检查上位机和电表上电压的不平衡因素VUF是否满足精度±1%
6、三路电流相角分别为0°、200°、120°°，三路电流全部为5A
7、检查上位机和电表上电压的不平衡因素VUF是否满足精度±1%
8、三路电流相角分别为0°、200°、120°，三路电流全部为10A
9、检查上位机和电表上电压的不平衡因素VUF是否满足精度±1%
10、三路电流相角分别为0°、200°、120°，三路电流全部为20A
11、检查上位机和电表上电压的不平衡因素VUF是否满足精度±1%</t>
  </si>
  <si>
    <t>3、检查上位机和电表上电压的不平衡因素VUF显示
VUF：24.088%	23.088%	~	25.088%</t>
  </si>
  <si>
    <t>Function_AcuRev4100_009_01_case7_15</t>
  </si>
  <si>
    <t>1、连接AcuRev4100电表到Acuview2上，连接状态为connected
2、三路电流相角分别为0°、170°、120°，三路电流全部为0.5A
3、检查上位机和电表上电压的不平衡因素VUF是否满足精度±1%
4、三路电流相角分别为0°、170°、120°，三路电流全部为2A
5、检查上位机和电表上电压的不平衡因素VUF是否满足精度±1%
6、三路电流相角分别为0°、170°、120°，三路电流全部为5A
7、检查上位机和电表上电压的不平衡因素VUF是否满足精度±1%
8、三路电流相角分别为0°、170°、120°，三路电流全部为10A
9、检查上位机和电表上电压的不平衡因素VUF是否满足精度±1%
10、三路电流相角分别为0°、170°、120°，三路电流全部为20A
11、检查上位机和电表上电压的不平衡因素VUF是否满足精度±1%</t>
  </si>
  <si>
    <t>3、检查上位机和电表上电压的不平衡因素VUF显示
VUF：45.459%	44.459%	~	46.459%</t>
  </si>
  <si>
    <t>Function_AcuRev4100_009_01_case7_16</t>
  </si>
  <si>
    <t>2e2p3w-phase, 1个用户对应2路电流，电流相角分别为0°、240°，input1_A、input2_B分别为3A、5A，测量电表用户user1的电流不平衡因素CUF满足精度1%</t>
  </si>
  <si>
    <t>1、连接AcuRev4100电表到Acuview2上，连接状态为connected
2、电表设置2e2p3w-phase, 1个用户对应2路电流，电流相角分别为0°、240°，input1_A、input2_B分别为3A、5A，
3、检查上位机和电表上电流的不平衡因素CUF满足精度±1%，  CUF：25% 	 24.000%	~	26.000%</t>
  </si>
  <si>
    <t>3、检查上位机和电表上电流的不平衡因素CUF满足精度1%， 
 CUF：25% 	 24.000%	~	26.000%
备注: 按照DSP开发给的小于3路负载的计算方法计算不平衡度VUF和CUF，
需分量显示为-</t>
  </si>
  <si>
    <t>Function_AcuRev4100_009_01_case7_17</t>
  </si>
  <si>
    <t>2e2p3w-phase, 1个用户对应2路电流，电流相角分别为0°、240°，input1_A、input2_B分别为20A、5A，测量电表用户user1的电流不平衡因素CUF值符合预期，没有精度要求</t>
  </si>
  <si>
    <t xml:space="preserve">1、连接AcuRev4100电表到Acuview2上，连接状态为connected
2、电表设置2e2p3w-phase, 1个用户对应2路电流，电流相角分别为0°、240°，input1_A、input2_B分别为20A、5A，
3、检查上位机和电表上电流的不平衡因素CUF满足精度±1%，  CUF：60% </t>
  </si>
  <si>
    <t>3、检查上位机和电表上电流的不平衡因素CUF满足精度1%， 
 CUF：60% 	 没有精度要求
备注: 按照DSP开发给的小于3路负载的计算方法计算不平衡度VUF和CUF，
需分量显示为-</t>
  </si>
  <si>
    <t>Function_AcuRev4100_009_01_case7_18</t>
  </si>
  <si>
    <t>1Element 2 wire, 1个用户对应1路电流，电流相角分别为0°，input1_A为5A，测量电表用户user1的电流不平衡因素CUF满足精度1%</t>
    <phoneticPr fontId="10" type="noConversion"/>
  </si>
  <si>
    <t>1、连接AcuRev4100电表到Acuview2上，连接状态为connected
2、1个用户对应1路电流，电流相角分别为0°，input1_A为5A，
3、检查上位机和电表上电流的不平衡因素CUF是否显示0%</t>
  </si>
  <si>
    <t>3、上位机和电表上电流的不平衡因素CUF 显示“-”</t>
  </si>
  <si>
    <t>Function_AcuRev4100_009_01_case9_1</t>
    <phoneticPr fontId="10" type="noConversion"/>
  </si>
  <si>
    <t>电表设置3E3p4w Y， 不接负载时候， 测量电表用户user1的电流不平衡因素CUF 不显示</t>
  </si>
  <si>
    <t>1、连接AcuRev4100电表到Acuview2上，连接状态为connected
2、电表不接任何负载
3、检查上位机和电表上电流的不平衡因素CUF是是否显示0</t>
  </si>
  <si>
    <t>3、上位机和电表上电流的不平衡因素CUF显示0.</t>
  </si>
  <si>
    <t>Function_AcuRev4100_009_01_case10</t>
    <phoneticPr fontId="10" type="noConversion"/>
  </si>
  <si>
    <t>1个用户对应3路电流，电流相角分别为0°、240°、120°，input1_A、input2_B、input3_C分别为(1A、4A、5A)，测量电表用户user1的电流不平衡因素CUF满足精度1%</t>
  </si>
  <si>
    <t>1、连接AcuRev4100电表到Acuview2上，连接状态为connected
2、2个用户对应6路电流，电流相角分别为0°、240°、120°，input1_A、input2_B、input3_C分别为(1A、4A、5A)
3、检查上位机和电表上电流的不平衡因素CUF是否满足精度±1%
4、检查上位机和电表上电流的不平衡因素VUF是否满足精度±1%， 且精确3为小数的百分比形式显示</t>
  </si>
  <si>
    <t>3、检查上位机和电表上电流的不平衡因素CUF满足精度1%， 
CUF1:36.056%	 35.056%	~	37.056%
4、上位机和电表上电流的不平衡因素VUF满足精度1%， 且精确3为小数的百分比形式显示</t>
  </si>
  <si>
    <t>Function_AcuRev4100_009_01_case11</t>
  </si>
  <si>
    <t>12个用户对应24路电流,相角分别为0°、240°、120°,input_A、input_B分别为(2A,4A)，接线方式为2 ELEMENT_3_WIRE_PHASE_1， 测量电表用户user1的电流不平衡因素CUF满足精度1%</t>
  </si>
  <si>
    <t>1、连接AcuRev4100电表到Acuview2上，连接状态为connected
2、12个用户对应24路电流,相角分别为0°、240°、120°,input1_A&amp;input1_B分别为(2A,4A)，接线方式为2ELEMENT_3_WIRE_PHASE_1
3、检查上位机和电表上电流的不平衡因素CUF是否满足精度±1%</t>
  </si>
  <si>
    <t>3、检查上位机和电表上电流的不平衡因素CUF满足精度1%， 
CUF = 33.333%
备注:对称分量法可精确计算不平衡度VUF和CUF。遍历验证12个用户。</t>
  </si>
  <si>
    <t>Function_AcuRev4100_009_01_case11_1</t>
    <phoneticPr fontId="10" type="noConversion"/>
  </si>
  <si>
    <t>2ELEMENT_3_WIRE_NETWORK， 1个用户对应2路电流,相角分别为0°、240°、120°,input_1、input_2分别为(2A,4A)，接线方式为2ELEMENT_3_WIRE_NETWORK， 测量电表用户user1的电流不平衡因素CUF满足精度1%</t>
  </si>
  <si>
    <t>1、连接AcuRev4100电表到Acuview2上，连接状态为connected
2、1个用户对应2路电流,相角分别为0°、240°、120°,input1_A&amp;input1_B分别为(2A,4A)，接线方式为2ELEMENT_3_WIRE_NETWORK
3、检查上位机和电表上电流的不平衡因素CUF是否满足精度±1%</t>
  </si>
  <si>
    <t>3、检查上位机和电表上电流的不平衡因素CUF满足精度1%， 
CUF = 33.333% 32.333%~34.333%
备注:对称分量法可精确计算不平衡度VUF和CUF。</t>
  </si>
  <si>
    <t>Function_AcuRev4100_009_01_case11_2</t>
  </si>
  <si>
    <t>2ELEMENT_3_WIRE_NETWORK， 1个用户对应2路电流,相角分别为0°、240°、120°,input_1、input_2分别为(2A,4A)，接线方式为2ELEMENT_3_WIRE_NETWORK， 测量电表用户user1的电流不平衡因素CUF值符合预期，没有精度要求</t>
  </si>
  <si>
    <t>1、连接AcuRev4100电表到Acuview2上，连接状态为connected
2、1个用户对应2路电流,相角分别为0°、240°、120°,input1_A&amp;input1_B分别为(5A,20A)，接线方式为2ELEMENT_3_WIRE_NETWORK
3、检查上位机和电表上电流的不平衡因素CUF值符合预期，没有精度要求</t>
  </si>
  <si>
    <t>3、检查上位机和电表上电流的不平衡因素CUF满足精度1%， 
CUF = 60.000% 没有精度要求
备注:对称分量法可精确计算不平衡度VUF和CUF。</t>
  </si>
  <si>
    <t>Function_AcuRev4100_009_01_case11_3</t>
  </si>
  <si>
    <t>2E3p3w Delta，1个用户对应2路电流,相角分别为0°、240°、120°,input_1、input_2分别为(2A,4A)， 测量电表用户user1的电流不平衡因素CUF满足精度1%</t>
  </si>
  <si>
    <t>1、连接AcuRev4100电表到Acuview2上，连接状态为connected
2、1个用户对应2路电流,相角分别为0°、240°、120°,input1_A&amp;input1_B分别为(2A,4A)，接线方式为2E3p4w Delta
3、检查上位机和电表上电流的不平衡因素CUF是否满足精度1%
4、检查上位机和电表上其他user电流的不平衡因素CUF是否为0</t>
  </si>
  <si>
    <t>3、检查上位机和电表上电流的不平衡因素CUF满足精度1%， 
CUF = 33.333%
4、检查上位机和电表上其他user电流的不平衡因素CUF为“-”
备注:对称分量法可精确计算不平衡度VUF和CUF。</t>
  </si>
  <si>
    <t>Function_AcuRev4100_009_01_case11_4</t>
  </si>
  <si>
    <t>2E3p3w NETWORK， 1个用户对应2路电流,相角分别为0°、240°、120°,input_1、input_2分别为(20A,5A)，接线方式为2ELEMENT_3_WIRE_NETWORK， 测量电表用户user1的电流不平衡因素CUF值符合预期，没有精度要求</t>
  </si>
  <si>
    <t>Function_AcuRev4100_009_01_case12</t>
    <phoneticPr fontId="10" type="noConversion"/>
  </si>
  <si>
    <t>8个用户对应24路电流,相角分别为0°、240°、120°,input_A、input_B、input_C分别为(3A、4A、5A)，测量电表用户user1的电流不平衡因素CUF满足精度1%</t>
    <phoneticPr fontId="10" type="noConversion"/>
  </si>
  <si>
    <t>1、连接AcuRev4100电表到Acuview2上，连接状态为connected
2、8个用户对应24路电流,相角分别为0°、240°、120°,input_A、input_B、input_C分别为(3A、4A、5A)
3、检查上位机和电表上电流的不平衡因素CUF是否满足精度1%</t>
  </si>
  <si>
    <t>3、检查上位机和电表上电流的不平衡因素VUF满足精度1%， 
CUF1~8： 14.434%    13.434% ~ 15.434%</t>
  </si>
  <si>
    <t>Function_AcuRev4100_009_01_case13</t>
  </si>
  <si>
    <t>1个用户对应3路电流，电流相角分别为60°、240°、120°，input1_A、input2_B、input3_C分别为10A，测量电表用户user1的电流不平衡因素CUF满足精度1%</t>
  </si>
  <si>
    <t>1、连接AcuRev4100电表到Acuview2上，连接状态为connected
2、1个用户对应3路电流，电流相角分别为60°、240°、120°，input1_A、input2_B、input3_C分别为10A
3、检查上位机和电表上电流的不平衡因素CUF是否满足精度1%</t>
  </si>
  <si>
    <t>3、检查上位机和电表上电流的不平衡因素VUF满足精度1%， 
CUF: 37.796%	36.796%	~	38.796%
备注:对称分量法可精确计算不平衡度VUF和CUF</t>
  </si>
  <si>
    <t>Function_AcuRev4100_009_01_case13_1</t>
    <phoneticPr fontId="10" type="noConversion"/>
  </si>
  <si>
    <t>电表设置顺向序系统(A-&gt;B-&gt;C), 相电压分别为220V、220V、220V，三相电压相角分别为三组数据(0°、240°、120°), (0°、240.1°、120°),(0°、241°、120°)，检查电表的三相电压不平衡因素VUF测量值0%</t>
    <phoneticPr fontId="10" type="noConversion"/>
  </si>
  <si>
    <t xml:space="preserve">1、连接AcuRev4100电表到Acuview2上，连接状态为connected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三相电压相角分别为0°、240.1°、120°，相电压分别为220V、220V、220V
5、上位机和电表上电流的不平衡因素VUF是否等于
VUF: 0.058%	0.058%	~	0.059%
6、电表设置顺向序系统(A-&gt;B-&gt;C), 三相电压相角分别为0°、241°、120°，相电压分别为220V、220V、220V
7、上位机和电表上电流的不平衡因素VUF是否等于
VUF: 0.582%	0.576%	~	0.588%
</t>
  </si>
  <si>
    <t>3、上位机和电表上电流的不平衡因素VUF等于0%
VUF: 0.000%	0.000%	~	1.000%
5、上位机和电表上电流的不平衡因素VUF等于
VUF: 0.058%	0.000%	~	1.058%
7、上位机和电表上电流的不平衡因素CUF等于
VUF: 0.582%	0.000%	~	1.582%</t>
  </si>
  <si>
    <t>Function_AcuRev4100_009_01_case13_3</t>
    <phoneticPr fontId="10" type="noConversion"/>
  </si>
  <si>
    <t>3E3p4w Y接线方式，电表设置顺向序系统(A-&gt;B-&gt;C), 三相电压相角分别为0°、240°、120°，相电压分别为四组数据(220V、220V、220V）(220.22V、220V、220V)，（220.22V、220V、219.88V）(221V、220V、220V)检查电表的三相电压不平衡因素VUF测量值0%</t>
  </si>
  <si>
    <t>1、连接AcuRev4100电表到Acuview2上，连接状态为connected
2、电表设置顺向序系统(A-&gt;B-&gt;C), 三相电压相角分别为0°、240°、120°，相电压分别为220V、220V、220V
3、检查上位机和电表上电流的不平衡因素VUF是否等于0%
4、电表设置顺向序系统(A-&gt;B-&gt;C), 三相电压相角分别为0°、240°、120°，相电压分别为220.22V、220V、220V
5、上位机和电表上电流的不平衡因素VUF是否等于
VUF: 0.033%	0.033%	~	0.034%
6、电表设置顺向序系统(A-&gt;B-&gt;C), 三相电压相角分别为0°、240°、120°，相电压分别为220.22V、220V、219.88V
7、上位机和电表上电流的不平衡因素VUF是否等于
VUF: 0.045%	0.045%	~	0.046%
8、电表设置顺向序系统(A-&gt;B-&gt;C), 三相电压相角分别为0°、240°、120°，相电压分别为221V、220V、220V
9、上位机和电表上电流的不平衡因素VUF是否等于
VUF: 0.151%	0.150%	~	0.153%
备注:  根据DSP与邓浩良澄清结果，门限精度接受0.3%</t>
  </si>
  <si>
    <t xml:space="preserve">3、上位机和电表上电流的不平衡因素VUF等于0%
VUF: 0.000%	0.000%	~	1.000%
5、上位机和电表上电流的不平衡因素VUF等于
VUF: 0.033%	0.000%	~	1.033%
7、上位机和电表上电流的不平衡因素CUF等于
VUF: 0.045%	0.000%	~	1.045%
9、上位机和电表上电流的不平衡因素CUF等于
VUF: 0.151%	0.000%	~	1.151%
</t>
  </si>
  <si>
    <t>Function_AcuRev4100_009_01_case13_2</t>
  </si>
  <si>
    <t>1、连接AcuRev4100电表到Acuview2上，连接状态为connected
2、电表设置逆向序(A-&gt;C-&gt;B), 三相电压相角分别为0°、120°、240°，相电压分别为220V、220V、220V
3、检查上位机和电表上电流的不平衡因素CUF是否显示0.000%</t>
  </si>
  <si>
    <t>3、检查上位机和电表上电流的不平衡因素CUF显示VUF:  0.000%	 1.000%	~	0.000%</t>
  </si>
  <si>
    <t>Function_AcuRev4100_009_02_case1</t>
  </si>
  <si>
    <t>电表设置正向序(A-&gt;B-&gt;C), ABC相电压相位角0°、240°、120°，相电压220v、220v、220v，相电压V0(零序)，V1(正序)，V2(负序)测量模值和序分量角度正确</t>
    <phoneticPr fontId="10" type="noConversion"/>
  </si>
  <si>
    <t>1、连接AcuRev4100电表到Acuview2上，连接状态为connected
2、电表设置正向序(A-&gt;B-&gt;C), ABC相电压相位角0°、240°、120°，相电压220v、220v、220v
3、相电压相电压V0(零序)，V1(正序)，V2(负序)测量模值和序分量角度是否正确</t>
  </si>
  <si>
    <t>3、相电压相电压V0(零序)，V1(正序)，V2(负序)测量模值为：0.00， 220.00, 0.00，
V0(零序)，V1(正序)，V2(负序)测量角度分别为：0.00°，0.00°，0.00°</t>
  </si>
  <si>
    <t>Function_AcuRev4100_009_02_case1_1</t>
  </si>
  <si>
    <t>1、连接AcuRev4100电表到Acuview2上，连接状态为connected
2、电表设置逆向序(A-&gt;C-&gt;B), 三相电压相角分别为0°、120°、240°，相电压分别为220V、220V、220V
3、相电压相电压V0(零序)，V1(正序)，V2(负序)测量模值和序分量角度是否正确</t>
  </si>
  <si>
    <t>Function_AcuRev4100_009_02_case1_2</t>
    <phoneticPr fontId="10" type="noConversion"/>
  </si>
  <si>
    <t>3E3p4w Y接线方式，电表设置顺向序(A-&gt;B-&gt;C), 三相电压相角分别为0°、120°、240°，相电压分别为220V、220V、220V，相电压V0(零序)，V1(正序)，V2(负序)测量模值和序分量角度正确</t>
    <phoneticPr fontId="10" type="noConversion"/>
  </si>
  <si>
    <t>1、连接AcuRev4100电表到Acuview2上，连接状态为connected
2、电表设置顺向序(A-&gt;B-&gt;C), 三相电压相角分别为0°、120°、240°，相电压分别为220V、220V、220V
3、相电压相电压V0(零序)，V1(正序)，V2(负序)测量模值和序分量角度是否正确</t>
  </si>
  <si>
    <t>3、相电压相电压V0(零序)，V1(正序)，V2(负序)测量模值为：0.00, 0.00，220.00
V0(零序)，V1(正序)，V2(负序)测量角度分别为：0.00°，0.00°，0.00°</t>
  </si>
  <si>
    <t>Function_AcuRev4100_009_02_case2</t>
  </si>
  <si>
    <t>1、连接AcuRev4100电表到Acuview2上，连接状态为connected
2、电表设置顺向序(A-&gt;B-&gt;C), ABC相电压相位角0°、240°、120°，相电压220v、230v、225v
3、相电压相电压V0(零序)，V1(正序)，V2(负序)测量模值和序分量角度是否正确</t>
  </si>
  <si>
    <t>3、相电压相电压V0(零序)，V1(正序)，V2(负序)测量模值为：2.887，225.000, 2.887
V0(零序)，V1(正序)，V2(负序)测量角度分别为：210.00°，0.00°，150.00°</t>
  </si>
  <si>
    <t>Function_AcuRev4100_009_02_case2_1</t>
    <phoneticPr fontId="10" type="noConversion"/>
  </si>
  <si>
    <t>3E3p4w Y接线方式，电表设置顺向序(A-&gt;B-&gt;C), 三相电压相角分别为0°、120°、240°，相电压分别为0V、220V、220V， 相电压V0，V1，V2测量正确。</t>
    <phoneticPr fontId="10" type="noConversion"/>
  </si>
  <si>
    <t>1、连接AcuRev4100电表到Acuview2上，连接状态为connected
2、三相电压相角分别为0°、120°、240°，相电压分别为0V、220V、220V
3、相电压零序分量V0幅值和角度、正序分量V1幅值和角度、负序分量V2幅值和角度测量是否正确。</t>
  </si>
  <si>
    <t>3、相电压相电压V0(零序)，V1(正序)，V2(负序)测量模值为：73.333 73.333 146.667,
V0(零序)，V1(正序)，V2(负序)测量角度分别为：180.00°，180.00°，0.00°</t>
  </si>
  <si>
    <t>Fault_AcuRev4100_009_02_case2_2</t>
    <phoneticPr fontId="10" type="noConversion"/>
  </si>
  <si>
    <t>1 ELEMENT_2_WIRE 接线方式， 电表设置顺向序(A-&gt;B-&gt;C),三相电压相角分别为0°、120°、240°，相电压为220V，上位机相电压V0，V1，V2测量正确。</t>
  </si>
  <si>
    <r>
      <rPr>
        <sz val="10"/>
        <color rgb="FF000000"/>
        <rFont val="微软雅黑"/>
        <family val="2"/>
        <charset val="134"/>
      </rPr>
      <t>1、连接AcuRev4100电表到Acuview2上，连接状态为connected
2、</t>
    </r>
    <r>
      <rPr>
        <b/>
        <sz val="10"/>
        <color rgb="FF000000"/>
        <rFont val="微软雅黑"/>
        <family val="2"/>
        <charset val="134"/>
      </rPr>
      <t>1 ELEMENT_2_WIRE 接线方式，</t>
    </r>
    <r>
      <rPr>
        <sz val="10"/>
        <color rgb="FF000000"/>
        <rFont val="微软雅黑"/>
        <family val="2"/>
        <charset val="134"/>
      </rPr>
      <t>三相电压相角分别为0°、120°、240°，相电压分别为220V
3、上位机上相电压零序分量V0幅值和角度、正序分量V1幅值和角度、负序分量V2幅值和角度测量是否正确。</t>
    </r>
  </si>
  <si>
    <t>3、上位机相电压相电压V0(零序)，V1(正序)，V2(负序)测量模值为：VUF:"-"， 模值和角度全部显示”-“</t>
  </si>
  <si>
    <t>Function_AcuRev4100_009_02_case2_3</t>
  </si>
  <si>
    <t>3E3p4w Y接线方式，电表设置顺向序(A-&gt;B-&gt;C),三相电压相角分别为0°、120°、240°，相电压分别为0V、0V、0V, 相电压V0，V1，V2测量值全为0</t>
    <phoneticPr fontId="10" type="noConversion"/>
  </si>
  <si>
    <t>1、连接AcuRev4100电表到Acuview2上，连接状态为connected
2、三相电压相角分别为0°、120°、240°，相电压分别为0V、0V、0V
3、相电压V0，V1，V2测量值是否全为0</t>
  </si>
  <si>
    <t>3、相电压V0，V1，V2测量值全为0</t>
  </si>
  <si>
    <t>Fault_AcuRev4100_009_02_case2_4</t>
  </si>
  <si>
    <t>3E3p4w Y接线方式，电表设置顺向序(A-&gt;B-&gt;C), 三相电压相角分别为0°、120°、0°，相电压分别为220V、220V、220V，相电压V0(零序)，V1(正序)，V2(负序)测量模值和序分量角度正确</t>
  </si>
  <si>
    <t>1、连接AcuRev4100电表到Acuview2上，连接状态为connected
2、三相电压相角分别为0°、120°、0°，相电压分别为220V、220V、220V
3、相电压相电压V0(零序)，V1(正序)，V2(负序)测量模值和序分量角度是否正确</t>
  </si>
  <si>
    <t>3、相电压相电压V0(零序)，V1(正序)，V2(负序)测量模值为：127.017 127.017 127.017 
V0(零序)，V1(正序)，V2(负序)测量角度分别为：30°，270°，30°</t>
  </si>
  <si>
    <t>Fault_AcuRev4100_009_02_case2_5</t>
  </si>
  <si>
    <t>电表设置顺向序(A-&gt;B-&gt;C), 三相电压相角分别为0°、0°、0°，相电压分别为220V、220V、220V, 相电压V0(零序)，V1(正序)，V2(负序)测量模值和序分量角度正确</t>
    <phoneticPr fontId="10" type="noConversion"/>
  </si>
  <si>
    <t>1、连接AcuRev4100电表到Acuview2上，连接状态为connected
2、三相电压相角分别为0°、0°、0°，相电压分别为220V、220V、220V
3、相电压相电压V0(零序)，V1(正序)，V2(负序)测量模值和序分量角度是否正确</t>
    <phoneticPr fontId="10" type="noConversion"/>
  </si>
  <si>
    <t>3、相电压相电压V0(零序)，V1(正序)，V2(负序)测量模值为：220.00, 0.00，0.00
V0(零序)，V1(正序)，V2(负序)测量角度分别为：0.00°，0.00°，0.00°</t>
    <phoneticPr fontId="10" type="noConversion"/>
  </si>
  <si>
    <t>Function_AcuRev4100_009_02_case3</t>
    <phoneticPr fontId="10" type="noConversion"/>
  </si>
  <si>
    <t>电表设置顺向序(A-&gt;B-&gt;C), ABC相电压相位角0°、130°、240°，相电压120v、120v、120v, 相电压V0(零序)，V1(正序)，V2(负序)测量模值和序分量角度正确</t>
  </si>
  <si>
    <t>1、连接AcuRev4100电表到Acuview2上，连接状态为connected
2、ABC相电压相位角0°、130°、240°，相电压120v、120v、120v
3、相电压相电压V0(零序)，V1(正序)，V2(负序)测量模值和序分量角度是否正确</t>
  </si>
  <si>
    <t>3、相电压相电压V0(零序)，V1(正序)，V2(负序)测量模值为：6.972 6.972 119.594
V0(零序)，V1(正序)，V2(负序)测量角度分别为：215.000°，335.00°，3.33°</t>
  </si>
  <si>
    <t>Function_AcuRev4100_009_02_case4</t>
  </si>
  <si>
    <t>1、连接AcuRev4100电表到Acuview2上，连接状态为connected
2、ABC相电压相位角0°、120°、300°，相电压240v、230v、220v
3、相电压相电压V0(零序)，V1(正序)，V2(负序)测量模值和序分量角度是否正确</t>
  </si>
  <si>
    <t>3、相电压相电压V0(零序)，V1(正序)，V2(负序)测量模值为：78.387 73.560 203.497
V0(零序)，V1(正序)，V2(负序)测量角度分别为：2.111°，244.502°，18.185°</t>
  </si>
  <si>
    <t>Function_AcuRev4100_009_02_case5</t>
  </si>
  <si>
    <t>电表设置顺向序(A-&gt;B-&gt;C), ABC相电压相位角0°、240°、120°，相电压220v、230v、225v，相电压V0(零序)，V1(正序)，V2(负序)测量模值和序分量角度正确，检查HMI显示单位正确</t>
  </si>
  <si>
    <t>1、连接AcuRev4100电表到Acuview2上，连接状态为connected
2、电表设置顺向序(A-&gt;B-&gt;C), ABC相电压相位角0°、240°、120°，相电压220v、230v、225v
3、检查相电压相电压V0(零序)，V1(正序)，V2(负序)测量模值和序分量角度是否正确，同时检查HMI上单位是否正确</t>
  </si>
  <si>
    <t>Function_AcuRev4100_009_03_case1</t>
  </si>
  <si>
    <t>电表设置正向序(A-&gt;B-&gt;C), input1-3相角分别为0°、240°、120°，User1对应3路电流，电流5A、5A、5A，用户user1的I0(零序)，I1(正序)，I2(负序)测量模值和序分量角度正确</t>
  </si>
  <si>
    <t>1、连接AcuRev4100电表到Acuview2上，连接状态为connected
2、电表设置正向序(A-&gt;B-&gt;C), 三相电压相角分别为0°、240°、120°，User1对应3路电流，电流5A、5A、5A
3、用户user1的I0(零序)，I1(正序)，I2(负序)测量模值和序分量角度是否正确</t>
  </si>
  <si>
    <t>Function_AcuRev4100_009_03_case1_1</t>
  </si>
  <si>
    <t>电表设置负向序(A-&gt;C-&gt;B),  input1-3相角分别为0°、120°、240°，User1对应3路电流，电流5A、5A、5A，用户user1的I0(零序)，I1(正序)，I2(负序)测量模值和序分量角度正确</t>
  </si>
  <si>
    <t>1、连接AcuRev4100电表到Acuview2上，连接状态为connected
2、负向序系统(A-&gt;C-&gt;B), 三相电流相角分别为0°、120°、240°，User1对应3路电流，电流5A、5A、5A
3、用户user1的I0(零序)，I1(正序)，I2(负序)测量模值和序分量角度是否正确</t>
  </si>
  <si>
    <t>3、用户user1的I0(零序)，I1(正序)，I2(负序)测量模值为：0.000,5.000，0.000
I0(零序)，I1(正序)，I2(负序)测量角度分别为：0.00°，0.00°，0.00°</t>
  </si>
  <si>
    <t>Function_AcuRev4100_009_03_case1_2</t>
    <phoneticPr fontId="10" type="noConversion"/>
  </si>
  <si>
    <t>3E3p4w Y接线方式，电表设置负向序系统(A-&gt;C-&gt;B),  input1-3相角分别为0°、240°、120°，User1对应3路电流，电流5A、5A、5A，用户user1的I0(零序)，I1(正序)，I2(负序)测量模值和序分量角度正确</t>
  </si>
  <si>
    <t>1、连接AcuRev4100电表到Acuview2上，连接状态为connected
2、负向序系统(A-&gt;C-&gt;B), 三相电流相角分别为0°、240°、120°，User1对应3路电流，电流5A、5A、5A
3、用户user1的I0(零序)，I1(正序)，I2(负序)测量模值和序分量角度是否正确</t>
  </si>
  <si>
    <t>3、用户user1的I0(零序)，I1(正序)，I2(负序)测量模值为：0.000,0.000，5.000
I0(零序)，I1(正序)，I2(负序)测量角度分别为：0.00°，0.00°，0.00°</t>
  </si>
  <si>
    <t>Function_AcuRev4100_009_03_case2</t>
    <phoneticPr fontId="10" type="noConversion"/>
  </si>
  <si>
    <t>电表设置正向序(A-&gt;B-&gt;C), user1对应3路电流，电流相位角0°、240°、120°，电流1A、2A、5A，用户user1的I0(零序)，I1(正序)，I2(负序)测量模值和序分量角度正确</t>
  </si>
  <si>
    <t>1、连接AcuRev4100电表到Acuview2上，连接状态为connected
2、电表设置正向序(A-&gt;B-&gt;C),user1对应3路电流，电流相位角0°、240°、120°，电流1A、2A、5A
3、用户user1的I0(零序)，I1(正序)，I2(负序)测量模值和序分量角度是否正确</t>
  </si>
  <si>
    <t>3、用户user1的I0(零序)，I1(正序)，I2(负序)测量模值为：1.202, 2.667，1.202
I0(零序)，I1(正序)，I2(负序)测量角度分别为：133.898°，0.000°，226.102°</t>
  </si>
  <si>
    <t>Function_AcuRev4100_009_03_case2_1</t>
    <phoneticPr fontId="10" type="noConversion"/>
  </si>
  <si>
    <t>3E3p4w Y接线方式， 电表设置正向序(A-&gt;B-&gt;C), user1对应3路电流,电流相角分别为0°、120°、240°，相电流分别为0A、4A、4A，用户user1的I0(零序)，I1(正序)，I2(负序)测量模值和序分量角度正确</t>
  </si>
  <si>
    <t>1、连接AcuRev4100电表到Acuview2上，连接状态为connected
2、user1对应3路电流,电流相角分别为0°、120°、240°，相电流分别为0A、4A、4A
3、用户user1的I0(零序)，I1(正序)，I2(负序)测量模值和序分量角度是否正确</t>
  </si>
  <si>
    <t>3、用户user1的I0(零序)，I1(正序)，I2(负序)测量模值为：1.334,1.333，2.667
I0(零序)，I1(正序)，I2(负序)测量角度分别为：180.000°，180.000°，0.00°</t>
  </si>
  <si>
    <t>Fault_AcuRev4100_009_03_case2_2</t>
    <phoneticPr fontId="10" type="noConversion"/>
  </si>
  <si>
    <t>1 ELEMENT_2_WIRE， 接线方式， 电表设置正向序(A-&gt;B-&gt;C), user1对应1路电流,电流相角分别为0°、120°、240°，相电流分别为4A、0A、0A，上位机上用户user的I0，I1，I2测量正确。</t>
  </si>
  <si>
    <t>1、连接AcuRev4100电表到Acuview2上，连接状态为connected
2、user1对应1路电流,电流相角分别为0°、120°、240°，相电流分别为4A、0A、0A
3、上位机上用户user1的I0(零序)，I1(正序)，I2(负序)测量模值和序分量角度是否正确</t>
  </si>
  <si>
    <t>3、上位机上用户user1的I0(零序)，I1(正序)，I2(负序)测量模值为："-" "-" "-"
I0(零序):，I1(正序)，I2(负序)测量角度分别为："-"  "-"  "-"</t>
  </si>
  <si>
    <t>Function_AcuRev4100_009_03_case2_3</t>
    <phoneticPr fontId="10" type="noConversion"/>
  </si>
  <si>
    <t>3E3p4w Y接线方式，user1对应3路电流,电流相角分别为0°、120°、240°，相电流分别为0A、0A、0A, 用户user的I0，I1，I2测量值全为0</t>
  </si>
  <si>
    <t>1、连接AcuRev4100电表到Acuview2上，连接状态为connected
2、user1对应3路电流,电流相角分别为0°、120°、240°，相电流分别为0A、0A、0A
3、用户user1的I0，I1，I2测量值是否全为0，CUF 为0</t>
  </si>
  <si>
    <t>Fault_AcuRev4100_009_03_case2_4</t>
  </si>
  <si>
    <t>3E3p4w Y接线方式，电表设置正向序(A-&gt;B-&gt;C), user1对应3路电流,电流相角分别为0°、120°、0°，电流分别为4A、4A、4A, 用户user1的I0(零序)，I1(正序)，I2(负序)测量模值和序分量角度正确</t>
  </si>
  <si>
    <t>1、连接AcuRev4100电表到Acuview2上，连接状态为connected
2、电表设置正向序(A-&gt;B-&gt;C), user1对应3路电流,电流相角分别为0°、120°、0°，电流分别为4A、4A、4A
3、用户user1的I0(零序)，I1(正序)，I2(负序)测量模值和序分量角度是否正确</t>
  </si>
  <si>
    <t>3、用户user1的I0(零序)，I1(正序)，I2(负序)测量模值为：2.309,2.309，2.309
I0(零序)，I1(正序)，I2(负序)测量角度分别为：30.00°，270.00°，30.00°</t>
    <phoneticPr fontId="10" type="noConversion"/>
  </si>
  <si>
    <t>Fault_AcuRev4100_009_03_case2_5</t>
    <phoneticPr fontId="10" type="noConversion"/>
  </si>
  <si>
    <t>1、连接AcuRev4100电表到Acuview2上，连接状态为connected
2、user1对应3路电流,电流相角分别为0°、0°、0°，电流分别为4A、4A、4A
3、用户user1的I0(零序)，I1(正序)，I2(负序)测量模值和序分量角度是否正确</t>
  </si>
  <si>
    <t>Function_AcuRev4100_009_03_case2_6</t>
  </si>
  <si>
    <t>1、Acuview2上位机
2、网线/RTU串口线
3、AcuRev4100电表
4、1ELEMENT_2_WIRE接线方式</t>
    <phoneticPr fontId="10" type="noConversion"/>
  </si>
  <si>
    <t>1、连接AcuRev4100电表到Acuview2上，连接状态为connected
2、user1对应1路电流,电流相角分别为60°，电流分别为4A
3、上位机上用户user1的I0(零序)，I1(正序)，I2(负序)测量模值和序分量角度是否正确</t>
  </si>
  <si>
    <t>用户user1的I0(零序)，I1(正序)，I2(负序)测量模值和序分量角度为"-"</t>
  </si>
  <si>
    <t>Function_AcuRev4100_009_03_case2_7</t>
  </si>
  <si>
    <t>1、连接AcuRev4100电表到Acuview2上，连接状态为connected
2、user1对应2路电流,电流相角分别为30°,120°，电流分别为2A,4A
3、上位机和HMI上用户user1的I0(零序)，I1(正序)，I2(负序)测量模值和序分量角度是否正确
4、用户user1的CUF 是否为33.3%</t>
  </si>
  <si>
    <t>3、上位机和HMI上用户user1的I0(零序)，I1(正序)，I2(负序)测量模值为：”-“   ”-“
I0(零序)，I1(正序)，I2(负序)测量角度分别为：”-“   ”-“  
4、用户user1的CUF 为33.3%</t>
  </si>
  <si>
    <t>Function_AcuRev4100_009_03_case2_8</t>
    <phoneticPr fontId="10" type="noConversion"/>
  </si>
  <si>
    <t>1、连接AcuRev4100电表到Acuview2上，连接状态为connected
2、user1对应2路电流,电流相角分别为210°,330°，电流分别为1A,4A
3、上位机和HMI上用户user1的I0，I1，I2测量正确
4、用户user1的CUF 是否60%</t>
  </si>
  <si>
    <t>3、上位机和HMI上用户user1的I0(零序)，I1(正序)，I2(负序)测量模值为：“   ”-“   ”-“
I0(零序)，I1(正序)，I2(负序)测量角度分别为：“   ”-“   ”-“
4、用户user1的CUF 60%</t>
  </si>
  <si>
    <t>Function_AcuRev4100_009_03_case2_9</t>
    <phoneticPr fontId="10" type="noConversion"/>
  </si>
  <si>
    <t>Function_AcuRev4100_009_03_case3</t>
    <phoneticPr fontId="10" type="noConversion"/>
  </si>
  <si>
    <t>1、连接AcuRev4100电表到Acuview2上，连接状态为connected
2、user1对应3路电流，电流相位角30°、120°、240°，电流5A、5A、5A
3、用户user1的I0(零序)，I1(正序)，I2(负序)测量模值和序分量角度是否正确</t>
  </si>
  <si>
    <t>Function_AcuRev4100_009_03_case5</t>
    <phoneticPr fontId="10" type="noConversion"/>
  </si>
  <si>
    <r>
      <t>3E3p4w Y接线方式，电表设置正向序(A-&gt;B-&gt;C), user1~8对应24路电流，每个用户电流相位角分别为0°、240°、120°，每个用户电流均为（2A、3A、5A</t>
    </r>
    <r>
      <rPr>
        <b/>
        <sz val="10"/>
        <color theme="1"/>
        <rFont val="微软雅黑"/>
        <family val="2"/>
        <charset val="134"/>
      </rPr>
      <t>），用户user1-8的I0(零序)，I1(正序)，I2(负序)测量模值和序分量角度正确</t>
    </r>
  </si>
  <si>
    <t>1、连接AcuRev4100电表到Acuview2上，连接状态为connected
2、user1~8对应24路电流，每个用户电流相位角分别为0°、240°、120°，每个用户电流均为（2A、3A、5A）
3、user1~8电流的I0(零序)，I1(正序)，I2(负序)测量模值和序分量角度是否正确
4、用户user1的CUF 是否26.468%</t>
  </si>
  <si>
    <t>3、用户user1-8的I0(零序)，I1(正序)，I2(负序)测量模值为：0.882,3.333，0.882
I0(零序)，I1(正序)，I2(负序)测量角度分别为：139.107°、0.000°，220.893°
4、用户user1的CUF 是否26.468%</t>
  </si>
  <si>
    <t>Function_AcuRev4100_009_03_case6</t>
    <phoneticPr fontId="10" type="noConversion"/>
  </si>
  <si>
    <t>3E3p4w Y接线方式，电表设置正向序(A-&gt;B-&gt;C), user1~8对应24路电流，每个用户电流相位角分别为60°、120°、240°，每个用户电流均为（2A、3A、5A），用户user1-8的I0(零序)，I1(正序)，I2(负序)测量模值和序分量角度正确</t>
  </si>
  <si>
    <t>1、连接AcuRev4100电表到Acuview2上，连接状态为connected
2、user1~8对应24路电流，每个用户电流相位角分别为60°、120°、240°，每个用户电流均为（2A、3A、5A）
3、user1~8电流的I0(零序)，I1(正序)，I2(负序)测量模值和序分量角度是否正确
4、用户user1的CUF 是否150%</t>
  </si>
  <si>
    <t>3、用户user1-8的I0(零序)，I1(正序)，I2(负序)测量模值为：1.000 1.528  3.055
I0(零序)，I1(正序)，I2(负序)测量角度分别为：
180.000°，130.893°，10.893°
4、用户user1的CUF 150%</t>
  </si>
  <si>
    <t>Function_AcuRev4100_009_03_case7</t>
    <phoneticPr fontId="10" type="noConversion"/>
  </si>
  <si>
    <t>电表设置正向序(A-&gt;B-&gt;C), user1~8对应24路电流，每个用户电流相位角分别为60°、240°、120°，每个用户电流均为（5A、5A、5A），用户user1-8的I0(零序)，I1(正序)，I2(负序)测量模值和序分量角度正确</t>
  </si>
  <si>
    <t>1、连接AcuRev4100电表到Acuview2上，连接状态为connected
2、user1~8对应24路电流，每个用户电流相位角分别为60°、240°、120°，每个用户电流均为（5A、5A、5A）
3、user1~8电流零序分量I0幅值和角度、正序分量I1幅值和角度、负序分量I2幅值和角度测量是否正确。
4、用户user1的CUF 是否37.78%</t>
  </si>
  <si>
    <t>3、用户user1-8的I0(零序)，I1(正序)，I2(负序)测量模值为：1.667,4.410、1.667
I0(零序)，I1(正序)，I2(负序)测量角度分别为：120.000°，19.107°，120.000°</t>
  </si>
  <si>
    <t>Function_AcuRev4100_009_03_case8_1</t>
  </si>
  <si>
    <t>电表设置正向序(A-&gt;B-&gt;C), 接线方式为3e4w y，将默认配置下，user1的input1、input2、inpu3，切换到user9下，此时源给的电流相位角0°、240°、120°，电流幅值1A、2A、5A，用户user9的I0(零序)，I1(正序)，I2(负序)测量模值和序分量角度正确</t>
  </si>
  <si>
    <t>1、连接AcuRev4100电表到Acuview2上，连接状态为connected
2、电表设置正向序(A-&gt;B-&gt;C),user1对应3路电流input1、input2、input3；将这三个input配置对应到user9，源给的电流相位角0°、240°、120°，电流1A、2A、5A
3、用户user1的I0(零序)，I1(正序)，I2(负序)测量模值和序分量角度是否正确</t>
  </si>
  <si>
    <t>3、用户user9的I0(零序)，I1(正序)，I2(负序)测量模值为：1.202, 2.667，1.202
I0(零序)，I1(正序)，I2(负序)测量角度分别为：133.898°，0.000°，226.102°</t>
  </si>
  <si>
    <t>Function_AcuRev4100_009_03_case8_2</t>
  </si>
  <si>
    <t>电表设置正向序(A-&gt;B-&gt;C), 接线方式为3e4w y，将默认配置下，user2的input4、input5、inpu6，切换到user10下，此时源给的电流相位角0°、240°、120°，电流幅值1A、2A、5A，用户user9的I0(零序)，I1(正序)，I2(负序)测量模值和序分量角度正确</t>
  </si>
  <si>
    <t>1、连接AcuRev4100电表到Acuview2上，连接状态为connected
2、电表设置正向序(A-&gt;B-&gt;C),user2对应3路电流input4、input5、input6；将这三个input配置对应到user10，源给的电流相位角0°、240°、120°，电流1A、2A、5A
3、用户user10的I0(零序)，I1(正序)，I2(负序)测量模值和序分量角度是否正确</t>
  </si>
  <si>
    <t>3、用户user10的I0(零序)，I1(正序)，I2(负序)测量模值为：1.202, 2.667，1.202
I0(零序)，I1(正序)，I2(负序)测量角度分别为：133.898°，0.000°，226.102°</t>
  </si>
  <si>
    <t>Function_AcuRev4100_009_03_case8_3</t>
  </si>
  <si>
    <t>电表设置正向序(A-&gt;B-&gt;C), 接线方式为3e4w y，将默认配置下，user3的input7、input8、inpu9，切换到user11下，此时源给的电流相位角0°、240°、120°，电流幅值1A、2A、5A，用户user9的I0(零序)，I1(正序)，I2(负序)测量模值和序分量角度正确</t>
  </si>
  <si>
    <t>1、连接AcuRev4100电表到Acuview2上，连接状态为connected
2、电表设置正向序(A-&gt;B-&gt;C),user3对应3路电流input7、input8、input9；将这三个input配置对应到user11，源给的电流相位角0°、240°、120°，电流1A、2A、5A
3、用户user11的I0(零序)，I1(正序)，I2(负序)测量模值和序分量角度是否正确</t>
  </si>
  <si>
    <t>3、用户user11的I0(零序)，I1(正序)，I2(负序)测量模值为：1.202, 2.667，1.202
I0(零序)，I1(正序)，I2(负序)测量角度分别为：133.898°，0.000°，226.102°</t>
  </si>
  <si>
    <t>Function_AcuRev4100_009_03_case8_4</t>
  </si>
  <si>
    <t>电表设置正向序(A-&gt;B-&gt;C), 接线方式为3e4w y，将默认配置下，user4的input10、input11、inpu12，切换到user12下，此时源给的电流相位角0°、240°、120°，电流幅值1A、2A、5A，用户user9的I0(零序)，I1(正序)，I2(负序)测量模值和序分量角度正确</t>
  </si>
  <si>
    <t>1、连接AcuRev4100电表到Acuview2上，连接状态为connected
2、电表设置正向序(A-&gt;B-&gt;C),user4对应3路电流input10、input11、input12；将这三个input配置对应到user12，源给的电流相位角0°、240°、120°，电流1A、2A、5A
3、用户user12的I0(零序)，I1(正序)，I2(负序)测量模值和序分量角度是否正确</t>
  </si>
  <si>
    <t>3、用户user12的I0(零序)，I1(正序)，I2(负序)测量模值为：1.202, 2.667，1.202
I0(零序)，I1(正序)，I2(负序)测量角度分别为：133.898°，0.000°，226.102°</t>
  </si>
  <si>
    <t>Function_AcuRev4100_010_01_case1</t>
  </si>
  <si>
    <t>CT选型5A/333mV，3E3p4w输入Input1~3(A&amp;B&amp;C相)电流均为0.05A，ABC电压均为347V,电压电流相角ϕ差为0°，接入源负载10分钟，上位机配置对应user1,测量A&amp;B&amp;C的、系统、User1通道、input1~3通道W_p、W_q、W_s对应（Import、Export、Net、Total），电能精度满足0.4%</t>
  </si>
  <si>
    <t>1、Acuview2上位机
2、网线/RTU串口线
3、AcuRev4100电表
4、接线方式3E3p4w</t>
  </si>
  <si>
    <t>1、连接AcuRev4100电表到Acuview2上，连接状态为connected
2、重置用户电能数据
3、Input1~3(A&amp;B&amp;C相)电流为0.05A，ABC电压均347V,电压电流相角差0°，上位机配置对应user1。
4、等待10mins。
5、上位机上和电表上检查A&amp;B&amp;C相、系统、User1通道、input1~3通道W_p、W_q、W_s对应（Import、Export、Net、Total）电能精度是否满足0.4%</t>
  </si>
  <si>
    <t>5、上位机上和电表上检查A&amp;B&amp;C相、系统、User1通道、input1~3通道W_p、W_q、W_s对应（Import、Export、Net、Total）电能精度满足0.4%
备注: modbus表中能量参数有55个，测试时候需要借助Excel公式计算和上位机及电表上数据比对。</t>
  </si>
  <si>
    <t>Function_AcuRev4100_010_01_case2</t>
  </si>
  <si>
    <t>CT选型5A/333mV，3E3p4w输入Input1~3(A&amp;B&amp;C相)电流均为0.15A，ABC电压均为347V,电压电流相角ϕ差为0°，接入源负载10分钟，上位机配置对应user1,测量A&amp;B&amp;C的、系统、User1通道、input1~3通道W_p、W_q、W_s对应（Import、Export、Net、Total），电能精度满足0.4%</t>
  </si>
  <si>
    <t>1、连接AcuRev4100电表到Acuview2上，连接状态为connected
2、重置用户电能数据
3、Input1~3(A&amp;B&amp;C相)电流为0.15A，ABC电压均347V,电压电流相角差0°，上位机配置对应user1。
4、等待10mins。
5、上位机上和电表上检查A&amp;B&amp;C相、系统、User1通道、input1~3通道W_p、W_q、W_s对应（Import、Export、Net、Total）电能精度是否满足0.4%</t>
    <phoneticPr fontId="10" type="noConversion"/>
  </si>
  <si>
    <t>Function_AcuRev4100_010_01_case3</t>
  </si>
  <si>
    <t>CT选型5A/333mV，3E3p4w输入Input1~3(A&amp;B&amp;C相)电流均为(0.25A)，ABC电压均为69V,电压电流相角差为0°，接入源负载10分钟，上位机配置对应user1,测量A&amp;B&amp;C的、系统、User1通道、input1~3通道W_p、W_q、W_s对应（Import、Export、Net、Total），电能精度满足0.2%</t>
  </si>
  <si>
    <t>1、连接AcuRev4100电表到Acuview2上，连接状态为connected
2、重置用户电能数据
3、Input1~3(A&amp;B&amp;C相)电流为(0.25A)，ABC电压均69V,电压电流相角差0°，上位机配置对应user1。
4、等待10mins。
5、上位机上和电表上检查A&amp;B&amp;C相、系统、User1通道、input1~3通道W_p、W_q、W_s对应（Import、Export、Net、Total）电能精度是否满足0.2%</t>
  </si>
  <si>
    <t>5、上位机上和电表上检查A&amp;B&amp;C相、系统、User1通道、input1~3通道W_p、W_q、W_s对应（Import、Export、Net、Total）电能精度满足0.2%
备注: modbus表中能量参数有55个，测试时候需要借助Excel公式计算和上位机及电表上数据比对。</t>
  </si>
  <si>
    <t>Function_AcuRev4100_010_01_case3_1</t>
  </si>
  <si>
    <t>CT选型5A/333mV，3E3p4w输入Input1~3(A&amp;B&amp;C相)电流均为(3.5A)，ABC电压均为69V,电压电流相角差为0°，接入源负载10分钟，上位机配置对应user1,测量A&amp;B&amp;C的、系统、User1通道、input1~3通道W_p、W_q、W_s对应（Import、Export、Net、Total），电能精度满足0.2%</t>
  </si>
  <si>
    <t>1、连接AcuRev4100电表到Acuview2上，连接状态为connected
2、重置用户电能数据
3、Input1~3(A&amp;B&amp;C相)电流为(3.5A)，ABC电压均69V,电压电流相角差0°，上位机配置对应user1。
4、等待10mins。
5、上位机上和电表上检查A&amp;B&amp;C相、系统、User1通道、input1~3通道W_p、W_q、W_s对应（Import、Export、Net、Total）电能精度是否满足0.2%</t>
  </si>
  <si>
    <t>Function_AcuRev4100_010_01_case4</t>
  </si>
  <si>
    <t>CT选型5A/333mV，3E3p4w输入Input1~3(A&amp;B&amp;C相)电流均为(6A)，ABC电压均为69V,电压电流相角差为0°，接入源负载10分钟，上位机配置对应user1,测量A&amp;B&amp;C的、系统、User1通道、input1~3通道W_p、W_q、W_s对应（Import、Export、Net、Total），电能精度满足0.2%</t>
  </si>
  <si>
    <t>1、连接AcuRev4100电表到Acuview2上，连接状态为connected
2、重置用户电能数据
3、Input1~3(A&amp;B&amp;C相)电流为(6A)，ABC电压均69V,电压电流相角差0°，上位机配置对应user1。
4、等待10mins。
5、上位机上和电表上检查A&amp;B&amp;C相、系统、User1通道、input1~3通道W_p、W_q、W_s对应（Import、Export、Net、Total）电能精度是否满足0.2%</t>
  </si>
  <si>
    <t>Fault_AcuRev4100_010_01_case4_1</t>
  </si>
  <si>
    <t>CT选型5A/333mV，3E3p4w输入Input1~3(A&amp;B&amp;C相)电流均为(0.1A)，ABC电压均为120V,电压电流相角差为60°，接入源负载10分钟，上位机配置对应user1,测量A&amp;B&amp;C的、系统、User1通道、input1~3通道W_p、W_q、W_s对应（Import、Export、Net、Total），电能精度满足0.5%</t>
  </si>
  <si>
    <t>1、连接AcuRev4100电表到Acuview2上，连接状态为connected
2、重置用户电能数据
3、Input1~3(A&amp;B&amp;C相)电流均为(0.1A)，ABC电压均为120V,电压电流相角差为60°
4、等待10mins。
5、上位机上和电表上检查A&amp;B&amp;C相、系统、User1通道、input1~3通道W_p、W_q、W_s对应（Import、Export、Net、Total）电能精度是否满足0.5%</t>
  </si>
  <si>
    <t>Fault_AcuRev4100_010_01_case4_2</t>
  </si>
  <si>
    <t>CT选型5A/333mV，3E3p4w输入Input1~3(A&amp;B&amp;C相)电流均为(0.3A)，ABC电压均为120V,电压电流相角差为60°，接入源负载10分钟，上位机配置对应user1,测量A&amp;B&amp;C的、系统、User1通道、input1~3通道W_p、W_q、W_s对应（Import、Export、Net、Total），电能精度满足0.5%</t>
  </si>
  <si>
    <t>1、Acuview2上位机
2、网线/RTU串口线
3、AcuRev4100电表
4、接线方式3E3p4w</t>
    <phoneticPr fontId="10" type="noConversion"/>
  </si>
  <si>
    <t>1、连接AcuRev4100电表到Acuview2上，连接状态为connected
2、重置用户电能数据
3、Input1~3(A&amp;B&amp;C相)电流均为(0.3A)，ABC电压均为120V,电压电流相角差为60°
4、等待10mins。
5、上位机上和电表上检查A&amp;B&amp;C相、系统、User1通道、input1~3通道W_p、W_q、W_s对应（Import、Export、Net、Total）电能精度是否满足0.5%</t>
  </si>
  <si>
    <t>5、上位机上和电表上检查A&amp;B&amp;C相、系统、User1通道、input1~3通道W_p、W_q、W_s对应（Import、Export、Net、Total）电能精度满足0.5%
备注: modbus表中能量参数有55个，测试时候需要借助Excel公式计算和上位机及电表上数据比对。</t>
  </si>
  <si>
    <t>Fault_AcuRev4100_010_01_case4_3</t>
  </si>
  <si>
    <t>CT选型5A/333mV，3E3p4w输入Input1~3(A&amp;B&amp;C相)电流均为(0.1A)，ABC电压均为69V,电压电流相角差为143.13°，接入源负载10分钟，上位机配置对应user1,测量A&amp;B&amp;C的、系统、User1通道、input1~3通道W_p、W_q、W_s对应（Import、Export、Net、Total），电能精度满足0.5%</t>
  </si>
  <si>
    <t>1、连接AcuRev4100电表到Acuview2上，连接状态为connected
2、重置用户电能数据
3、Input1~3(A&amp;B&amp;C相)电流均为(0.1A)，ABC电压均为69V,电压电流相角差为143.13°
4、等待10mins。
5、上位机上和电表上检查A&amp;B&amp;C相、系统、User1通道、input1~3通道W_p、W_q、W_s对应（Import、Export、Net、Total）电能精度是否满足0.5%</t>
  </si>
  <si>
    <t>Fault_AcuRev4100_010_01_case4_4</t>
  </si>
  <si>
    <t>CT选型5A/333mV，3E3p4w输入Input1~3(A&amp;B&amp;C相)电流均为(0.3A)，ABC电压均为69V,电压电流相角差为143.13°，接入源负载10分钟，上位机配置对应user1,测量A&amp;B&amp;C的、系统、User1通道、input1~3通道W_p、W_q、W_s对应（Import、Export、Net、Total），电能精度满足0.5%</t>
  </si>
  <si>
    <t>1、连接AcuRev4100电表到Acuview2上，连接状态为connected
2、重置用户电能数据
3、Input1~3(A&amp;B&amp;C相)电流均为(0.3A)，ABC电压均为69V,电压电流相角差为143.13°
4、等待10mins。
5、上位机上和电表上检查A&amp;B&amp;C相、系统、User1通道、input1~3通道W_p、W_q、W_s对应（Import、Export、Net、Total）电能精度是否满足0.5%</t>
  </si>
  <si>
    <t>Fault_AcuRev4100_010_01_case6</t>
  </si>
  <si>
    <t>CT选型5A/333mV，3E3p4w输入Input1~3(A&amp;B&amp;C相)电流均为(0.5A)，ABC电压均为120V，电压电流相角ϕ差为60°，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</si>
  <si>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3、Input1~3(A&amp;B&amp;C相)电流均为(0.5A)，ABC电压均为120V,电压电流相角差为60°
4、等待10mins。
5、上位机上和电表上检查A&amp;B&amp;C相、系统、User1通道、input1~3通道W_p、W_q、W_s对应（Import、Export、Net、Total）电能精度是否满足0.3%</t>
  </si>
  <si>
    <t>5、上位机上和电表上检查A&amp;B&amp;C相、系统、User1通道、input1~3通道W_p、W_q、W_s对应（Import、Export、Net、Total）电能精度满足0.3%
备注: modbus表中能量参数有55个，测试时候需要借助Excel公式计算和上位机及电表上数据比对。</t>
  </si>
  <si>
    <t>Fault_AcuRev4100_010_01_case6_1</t>
  </si>
  <si>
    <t>CT选型5A/333mV，3E3p4w输入Input1~3(A&amp;B&amp;C相)电流均为(3.5A)，ABC电压均为120V，电压电流相角ϕ差为60°，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</si>
  <si>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3、Input1~3(A&amp;B&amp;C相)电流均为(3.5A)，ABC电压均为120V,电压电流相角差为60°
4、等待10mins。
5、上位机上和电表上检查A&amp;B&amp;C相、系统、User1通道、input1~3通道W_p、W_q、W_s对应（Import、Export、Net、Total）电能精度是否满足0.3%</t>
  </si>
  <si>
    <t>Fault_AcuRev4100_010_01_case6_2</t>
  </si>
  <si>
    <t>CT选型5A/333mV，3E3p4w输入Input1~3(A&amp;B&amp;C相)电流均为(6A)，ABC电压均为120V，电压电流相角ϕ差为60°，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</si>
  <si>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3、Input1~3(A&amp;B&amp;C相)电流均为(6A)，ABC电压均为120V,电压电流相角差为60°
4、等待10mins。
5、上位机上和电表上检查A&amp;B&amp;C相、系统、User1通道、input1~3通道W_p、W_q、W_s对应（Import、Export、Net、Total）电能精度是否满足0.3%</t>
  </si>
  <si>
    <t>Fault_AcuRev4100_010_01_case6_3</t>
  </si>
  <si>
    <t>CT选型5A/333mV，3E3p4w输入Input1~3(A&amp;B&amp;C相)电流均为(0.5A)，ABC电压均为69V，电压电流相角ϕ差为143.13°，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</si>
  <si>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3、Input1~3(A&amp;B&amp;C相)电流均为(0.5A)，ABC电压均为69V,电压电流相角差为143.13°
4、等待10mins。
5、上位机上和电表上检查A&amp;B&amp;C相、系统、User1通道、input1~3通道W_p、W_q、W_s对应（Import、Export、Net、Total）电能精度是否满足0.3%</t>
  </si>
  <si>
    <t>Fault_AcuRev4100_010_01_case6_4</t>
  </si>
  <si>
    <t>CT选型5A/333mV，3E3p4w输入Input1~3(A&amp;B&amp;C相)电流均为(3.5A)，ABC电压均为69V，电压电流相角ϕ差为143.13°，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</si>
  <si>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3、Input1~3(A&amp;B&amp;C相)电流均为(3.5A)，ABC电压均为69V,电压电流相角差为143.13°
4、等待10mins。
5、上位机上和电表上检查A&amp;B&amp;C相、系统、User1通道、input1~3通道W_p、W_q、W_s对应（Import、Export、Net、Total）电能精度是否满足0.3%</t>
  </si>
  <si>
    <t>Fault_AcuRev4100_010_01_case6_5</t>
  </si>
  <si>
    <t>CT选型5A/333mV，3E3p4w输入Input1~3(A&amp;B&amp;C相)电流均为(6A)，ABC电压均为69V，电压电流相角ϕ差为143.13°，接入源负载10分钟，上位机配置对应user1，测量A&amp;B&amp;C的的、系统、User1通道、input1~3通道W_p、W_q、W_s对应（Import、Export、Net、Total），电能精度满足0.3%</t>
  </si>
  <si>
    <t>1、连接AcuRev4100电表到Acuview2上，连接状态为connected
2、重置用户电能数据
3、Input1~3(A&amp;B&amp;C相)电流均为(6A)，ABC电压均为69V,电压电流相角差为143.13°
4、等待10mins。
5、上位机上和电表上检查A&amp;B&amp;C相、系统、User1通道、input1~3通道W_p、W_q、W_s对应（Import、Export、Net、Total）电能精度是否满足0.3%</t>
  </si>
  <si>
    <t>Fault_AcuRev4100_010_01_case6_6</t>
  </si>
  <si>
    <t>CT选型5A/333mV，3E3p4w输入Input1~3(A&amp;B&amp;C相)电流为(0A,0A,0A)，ABC电压均为120V，电压电流相角ϕ差为0°，接入源负载10分钟，上位机配置对应user1，测量A&amp;B&amp;C的的、系统、User1通道、input1~3通道W_p、W_q、W_s对应（Import、Export、Net、Total），电能精测量值为0</t>
  </si>
  <si>
    <t>1、连接AcuRev4100电表到Acuview2上，连接状态为connected
2、重置用户电能数据
3、Input1~3(A&amp;B&amp;C相)电流为(0A,0A,0A)，ABC电压均为120V，电压电流相角ϕ差为0°，上位机配置对应user1
4、等待10mins。
5、上位机上和电表上检查A&amp;B&amp;C相、系统、User1通道、input1~3通道W_p、W_q、W_s对应（Import、Export、Net、Total）电能精测量值是否为0</t>
  </si>
  <si>
    <t>5、上位机上和电表上检查A&amp;B&amp;C相、系统、User1通道、input1~3通道W_p、W_q、W_s对应（Import、Export、Net、Total）电能精测量值为0</t>
  </si>
  <si>
    <t>Fault_AcuRev4100_010_01_case6_7</t>
  </si>
  <si>
    <t>CT选型5A/333mV，2ELEMENT_3_WIRE_PHASE_1输入Input1~2(A&amp;B相)电流为(3A、4A)，Van&amp;Vbn电压均为120V,电压电流相角ϕ差为120°，接入源负载10分钟，上位机配置对应user1,测量A&amp;B&amp;C的、系统、User1通道、input1~3通道W_p、W_q、W_s对应（Import、Export、Net、Total），电能精度满足0.2%</t>
  </si>
  <si>
    <t>1、Acuview2上位机
2、网线/RTU串口线
3、AcuRev4100电表
4、接线方式2ELEMENT_3_WIRE_PHASE_1</t>
    <phoneticPr fontId="10" type="noConversion"/>
  </si>
  <si>
    <t>1、连接AcuRev4100电表到Acuview2上，连接状态为connected
2、重置用户电能数据
3、Input1~2(A&amp;C相)电流为(3A、4A)，Van&amp;Vbn电压均120V,电压电流相角差120°(Van和Vbn角度0°&amp;240°，input1和input2为240°&amp;120°)，上位机配置对应user1。
4、等待10mins。
5、上位机上和电表上检查A&amp;B&amp;C相、系统、User1通道、input1~3通道W_p、W_q、W_s对应（Import、Export、Net、Total）电能精度是否满足0.2%</t>
    <phoneticPr fontId="10" type="noConversion"/>
  </si>
  <si>
    <t>Fault_AcuRev4100_010_01_case6_8</t>
  </si>
  <si>
    <t>CT选型5A/333mV，2ELEMENT_3_WIRE_PHASE_1输入Input1~2(A&amp;B相)电流为(3A、4A)，Van&amp;Vab电压为120V，208V,电压电流相角ϕ差为30°，接入源负载10分钟，上位机配置对应user1,测量A&amp;B&amp;C的、系统、User1通道、input1~3通道W_p、W_q、W_s对应（Import、Export、Net、Total），电能精度满足0.2%</t>
    <phoneticPr fontId="10" type="noConversion"/>
  </si>
  <si>
    <t>1、连接AcuRev4100电表到Acuview2上，连接状态为connected
2、重置用户电能数据
3、Input1~2(A&amp;B&amp;C相)电流为(3A、4A)，Van&amp;Vbn电压为120V和208V,电压电流相角差120°(Van和Vbn角度0°&amp;240°， 即Van角度0°，Vab角度30°，input1和input2为330°&amp;0°)，上位机配置对应user1。
4、等待10mins。
5、上位机上和电表上检查A&amp;B&amp;C相、系统、User1通道、input1~3通道W_p、W_q、W_s对应（Import、Export、Net、Total）电能精度是否满足0.2%</t>
  </si>
  <si>
    <t>Fault_AcuRev4100_010_01_case6_9</t>
  </si>
  <si>
    <t>CT选型5A/333mV，2ELEMENT_3_WIRE_DELTA输入Input1~2(A&amp;B相)电流为(4A、4A)，Vab&amp;Vbc电压为120V，120V,电压电流相角ϕ差为30°，接入源负载10分钟，上位机配置对应user1,测量A&amp;B&amp;C的、系统、User1通道、input1~3通道W_p、W_q、W_s对应（Import、Export、Net、Total），电能精度满足0.3%</t>
  </si>
  <si>
    <t>1、Acuview2上位机
2、网线/RTU串口线
3、AcuRev4100电表
4、接线方式2ELEMENT_3_WIRE_DELTA</t>
    <phoneticPr fontId="10" type="noConversion"/>
  </si>
  <si>
    <t>1、连接AcuRev4100电表到Acuview2上，连接状态为connected
2、重置用户电能数据
3、Input1~2(A&amp;B&amp;C相)电流为(4A、4A)，Van&amp;Vbn电压均120V,电压电流相角差120°(Vab和Vbc角度0°&amp;240°， 即Vab角度0°，Vbc角度240°，input1和input2为330°&amp;210°)，上位机配置对应user1。
4、等待10mins。
5、上位机上和电表上检查A&amp;B&amp;C相、系统、User1通道、input1~3通道W_p、W_q、W_s对应（Import、Export、Net、Total）电能精度是否满足0.3%</t>
  </si>
  <si>
    <t>Fault_AcuRev4100_010_01_case6_10</t>
  </si>
  <si>
    <t>CT选型5A/333mV，2ELEMENT_3_WIRE_NETWORK输入Input1~2(A&amp;B相)电流为(3A、4A)，Va&amp;Vab电压为120V，208V,电压电流相角ϕ差为30°，接入源负载10分钟，上位机配置对应user1,测量A&amp;B&amp;C的、系统、User1通道、input1~3通道W_p、W_q、W_s对应（Import、Export、Net、Total），电能精度满足0.2%</t>
  </si>
  <si>
    <t>1、Acuview2上位机
2、网线/RTU串口线
3、AcuRev4100电表
4、接线方式2 ELEMENT_3_WIRE_NETWORK</t>
    <phoneticPr fontId="10" type="noConversion"/>
  </si>
  <si>
    <t>1、连接AcuRev4100电表到Acuview2上，连接状态为connected
2、重置用户电能数据
3、Input1~2(A&amp;B&amp;C相)电流为(3A、4A)，Van&amp;Vbn电压为120V和208V,电压电流相角差30°(Vab和Vbc角度0°&amp;240°， 即Vab角度0°，Vbc角度240°，input1和input2为330°&amp;210°)，上位机配置对应user1。
4、等待10mins。
5、上位机上和电表上检查A&amp;B&amp;C相、系统、User1通道、input1~3通道W_p、W_q、W_s对应（Import、Export、Net、Total）电能精度是否满足0.2%</t>
    <phoneticPr fontId="10" type="noConversion"/>
  </si>
  <si>
    <t>5、上位机上和电表上检查A&amp;B&amp;C相、系统、User1通道、input1~3通道W_p、W_q、W_s对应（Import、Export、Net、Total）电能精度满足0.2%
备注: modbus表中能量参数有55个，测试时候需要借助Excel公式计算和上位机及电表上数据比对。</t>
    <phoneticPr fontId="10" type="noConversion"/>
  </si>
  <si>
    <t>Function_AcuRev4100_010_01_case7</t>
  </si>
  <si>
    <t>CT选型5A/333mV, 1E1p2w输入Input1~3(A相)电流均为0.05A，ABC电压均为347V, 电压电流相角ϕ差为0°，接入源负载10分钟，上位机配置对应user1~3,测量A的、系统、User1~3通道、input1~3通道W_p、W_q、W_s对应（Import、Export、Net、Total），电能精度满足0.4%</t>
  </si>
  <si>
    <t>1、Acuview2上位机
2、网线/RTU串口线
3、AcuRev4100电表
4、接线方式1E1p2w</t>
  </si>
  <si>
    <t>1、连接AcuRev4100电表到Acuview2上，连接状态为connected
2、重置用户电能数据
3、Input1~3(三路电流全部选择对应VA)电流均为0.05A，ABC电压均347V,电压电流相角差0°(Va的相角为0，Input1~3为0°)
4、等待10mins。
5、上位机上和电表上检查A&amp;B&amp;C相、系统、User1通道、input1~3通道W_p、W_q、W_s对应（Import、Export、Net、Total）电能精度是否满足0.4%</t>
  </si>
  <si>
    <t>5、上位机上和电表上检查A&amp;B&amp;C相、系统、User1~3通道、input1~3通道W_p、W_q、W_s对应（Import、Export、Net、Total）电能精度满足0.4%
备注: modbus表中能量参数有55个，测试时候需要借助Excel公式计算和上位机及电表上数据比对。</t>
  </si>
  <si>
    <t>Function_AcuRev4100_010_01_case7_1</t>
  </si>
  <si>
    <t>CT选型5A/333mV, 1E1p2w输入Input1~3(A相)电流均为0.15A，ABC电压均为347V, 电压电流相角ϕ差为0°，接入源负载10分钟，上位机配置对应user1~3,测量A的、系统、User1~3通道、input1~3通道W_p、W_q、W_s对应（Import、Export、Net、Total），电能精度满足0.4%</t>
  </si>
  <si>
    <t>1、连接AcuRev4100电表到Acuview2上，连接状态为connected
2、重置用户电能数据
3、Input1~3(三路电流全部选择对应VA)电流均为0.15A，ABC电压均347V,电压电流相角差0°(Va的相角为0，Input1~3为0°)
4、等待10mins。
5、上位机上和电表上检查A&amp;B&amp;C相、系统、User1通道、input1~3通道W_p、W_q、W_s对应（Import、Export、Net、Total）电能精度是否满足0.4%</t>
  </si>
  <si>
    <t>Function_AcuRev4100_010_01_case7_2</t>
  </si>
  <si>
    <t>CT选型5A/333mV, 1E1p2w输入Input1~3(A相)电流均为0.25A，ABC电压均为69V, 电压电流相角ϕ差为0°，接入源负载10分钟，上位机配置对应user1~3,测量A的、系统、User1~3通道、input1~3通道W_p、W_q、W_s对应（Import、Export、Net、Total），电能精度满足0.2%</t>
  </si>
  <si>
    <t>1、连接AcuRev4100电表到Acuview2上，连接状态为connected
2、重置用户电能数据
3、Input1~3(三路电流全部选择对应VA)电流均为0.25A，ABC电压均69V,电压电流相角差0°(Va的相角为0，Input1~3为0°)
4、等待10mins。
5、上位机上和电表上检查A&amp;B&amp;C相、系统、User1通道、input1~3通道W_p、W_q、W_s对应（Import、Export、Net、Total）电能精度是否满足0.2%</t>
  </si>
  <si>
    <t>5、上位机上和电表上检查A&amp;B&amp;C相、系统、User1~3通道、input1~3通道W_p、W_q、W_s对应（Import、Export、Net、Total）电能精度满足0.2%
备注: modbus表中能量参数有55个，测试时候需要借助Excel公式计算和上位机及电表上数据比对。</t>
  </si>
  <si>
    <t>Function_AcuRev4100_010_01_case7_3</t>
  </si>
  <si>
    <t>CT选型5A/333mV, 1E1p2w输入Input1~3(A相)电流均为3.5A，ABC电压均为69V, 电压电流相角ϕ差为0°，接入源负载10分钟，上位机配置对应user1~3,测量A的、系统、User1~3通道、input1~3通道W_p、W_q、W_s对应（Import、Export、Net、Total），电能精度满足0.2%</t>
  </si>
  <si>
    <t>1、连接AcuRev4100电表到Acuview2上，连接状态为connected
2、重置用户电能数据
3、Input1~3(三路电流全部选择对应VA)电流均为3.5A，ABC电压均69V,电压电流相角差0°(Va的相角为0，Input1~3为0°)
4、等待10mins。
5、上位机上和电表上检查A&amp;B&amp;C相、系统、User1通道、input1~3通道W_p、W_q、W_s对应（Import、Export、Net、Total）电能精度是否满足0.2%</t>
  </si>
  <si>
    <t>Function_AcuRev4100_010_01_case7_4</t>
  </si>
  <si>
    <t>CT选型5A/333mV, 1E1p2w输入Input1~3(A相)电流均为6A，ABC电压均为69V, 电压电流相角ϕ差为0°，接入源负载10分钟，上位机配置对应user1~3,测量A的、系统、User1~3通道、input1~3通道W_p、W_q、W_s对应（Import、Export、Net、Total），电能精度满足0.2%</t>
  </si>
  <si>
    <t>1、连接AcuRev4100电表到Acuview2上，连接状态为connected
2、重置用户电能数据
3、Input1~3(三路电流全部选择对应VA)电流均为6A，ABC电压均69V,电压电流相角差0°(Va的相角为0，Input1~3为0°)
4、等待10mins。
5、上位机上和电表上检查A&amp;B&amp;C相、系统、User1通道、input1~3通道W_p、W_q、W_s对应（Import、Export、Net、Total）电能精度是否满足0.2%</t>
  </si>
  <si>
    <t>Function_AcuRev4100_010_01_case7_5</t>
  </si>
  <si>
    <t>CT选型5A/333mV, 1E1p2w输入Input1~3(A相)电流均为0.1A，ABC电压均为120V, 电压电流相角ϕ差为60°，接入源负载10分钟，上位机配置对应user1~3,测量A的、系统、User1~3通道、input1~3通道W_p、W_q、W_s对应（Import、Export、Net、Total），电能精度满足0.5%</t>
  </si>
  <si>
    <t>1、连接AcuRev4100电表到Acuview2上，连接状态为connected
2、重置用户电能数据
3、Input1~3(三路电流全部选择对应VA)电流均为0.1A，ABC电压均120V,电压电流相角差60°(Va的相角为0，Input1~3为300°)
4、等待10mins。
5、上位机上和电表上检查A&amp;B&amp;C相、系统、User1通道、input1~3通道W_p、W_q、W_s对应（Import、Export、Net、Total）电能精度是否满足0.5%</t>
  </si>
  <si>
    <t>5、上位机上和电表上检查A&amp;B&amp;C相、系统、User1~3通道、input1~3通道W_p、W_q、W_s对应（Import、Export、Net、Total）电能精度满足0.5%
备注: modbus表中能量参数有55个，测试时候需要借助Excel公式计算和上位机及电表上数据比对。</t>
  </si>
  <si>
    <t>Function_AcuRev4100_010_01_case7_6</t>
  </si>
  <si>
    <t>CT选型5A/333mV, 1E1p2w输入Input1~3(A相)电流均为0.3A，ABC电压均为120V, 电压电流相角ϕ差为60°，接入源负载10分钟，上位机配置对应user1~3,测量A的、系统、User1~3通道、input1~3通道W_p、W_q、W_s对应（Import、Export、Net、Total），电能精度满足0.5%</t>
  </si>
  <si>
    <t>1、连接AcuRev4100电表到Acuview2上，连接状态为connected
2、重置用户电能数据
3、Input1~3(三路电流全部选择对应VA)电流均为0.3A，ABC电压均120V,电压电流相角差60°(Va的相角为0，Input1~3为300°)
4、等待10mins。
5、上位机上和电表上检查A&amp;B&amp;C相、系统、User1通道、input1~3通道W_p、W_q、W_s对应（Import、Export、Net、Total）电能精度是否满足0.5%</t>
  </si>
  <si>
    <t>Function_AcuRev4100_010_01_case7_7</t>
  </si>
  <si>
    <t>CT选型5A/333mV, 1E1p2w输入Input1~3(A相)电流均为0.1A，ABC电压均为69V, 电压电流相角ϕ差为143.13°，接入源负载10分钟，上位机配置对应user1~3,测量A的、系统、User1~3通道、input1~3通道W_p、W_q、W_s对应（Import、Export、Net、Total），电能精度满足0.5%</t>
  </si>
  <si>
    <t>1、连接AcuRev4100电表到Acuview2上，连接状态为connected
2、重置用户电能数据
3、Input1~3(三路电流全部选择对应VA)电流均为0.1A，ABC电压均69V,电压电流相角差143.13°(Va的相角为0，Input1~3为216.87°)
4、等待10mins。
5、上位机上和电表上检查A&amp;B&amp;C相、系统、User1通道、input1~3通道W_p、W_q、W_s对应（Import、Export、Net、Total）电能精度是否满足0.5%</t>
  </si>
  <si>
    <t>Function_AcuRev4100_010_01_case7_8</t>
  </si>
  <si>
    <t>CT选型5A/333mV, 1E1p2w输入Input1~3(A相)电流均为0.3A，ABC电压均为69V, 电压电流相角ϕ差为143.13°，接入源负载10分钟，上位机配置对应user1~3,测量A的、系统、User1~3通道、input1~3通道W_p、W_q、W_s对应（Import、Export、Net、Total），电能精度满足0.5%</t>
  </si>
  <si>
    <t>1、连接AcuRev4100电表到Acuview2上，连接状态为connected
2、重置用户电能数据
3、Input1~3(三路电流全部选择对应VA)电流均为0.3A，ABC电压均69V,电压电流相角差143.13°(Va的相角为0，Input1~3为216.87°)
4、等待10mins。
5、上位机上和电表上检查A&amp;B&amp;C相、系统、User1通道、input1~3通道W_p、W_q、W_s对应（Import、Export、Net、Total）电能精度是否满足0.5%</t>
  </si>
  <si>
    <t>Function_AcuRev4100_010_01_case7_9</t>
  </si>
  <si>
    <t>CT选型5A/333mV, 1E1p2w输入Input1~3(A相)电流均为0.5A，ABC电压均为120V, 电压电流相角ϕ差为60°，接入源负载10分钟，上位机配置对应user1~3,测量A的、系统、User1~3通道、input1~3通道W_p、W_q、W_s对应（Import、Export、Net、Total），电能精度满足0.3%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</si>
  <si>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3、Input1~3(三路电流全部选择对应VA)电流均为0.5A，ABC电压均120V,电压电流相角差60°(Va的相角为0，Input1~3为300°)
4、等待10mins。
5、上位机上和电表上检查A&amp;B&amp;C相、系统、User1通道、input1~3通道W_p、W_q、W_s对应（Import、Export、Net、Total）电能精度是否满足0.3%</t>
  </si>
  <si>
    <t>5、上位机上和电表上检查A&amp;B&amp;C相、系统、User1~3通道、input1~3通道W_p、W_q、W_s对应（Import、Export、Net、Total）电能精度满足0.3%
备注: modbus表中能量参数有55个，测试时候需要借助Excel公式计算和上位机及电表上数据比对。</t>
  </si>
  <si>
    <t>Function_AcuRev4100_010_01_case7_10</t>
  </si>
  <si>
    <t>CT选型5A/333mV, 1E1p2w输入Input1~3(A相)电流均为3.5A，ABC电压均为120V, 电压电流相角ϕ差为60°，接入源负载10分钟，上位机配置对应user1~3,测量A的、系统、User1~3通道、input1~3通道W_p、W_q、W_s对应（Import、Export、Net、Total），电能精度满足0.3%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</si>
  <si>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3、Input1~3(三路电流全部选择对应VA)电流均为3.5A，ABC电压均120V,电压电流相角差60°(Va的相角为0，Input1~3为300°)
4、等待10mins。
5、上位机上和电表上检查A&amp;B&amp;C相、系统、User1通道、input1~3通道W_p、W_q、W_s对应（Import、Export、Net、Total）电能精度是否满足0.3%</t>
  </si>
  <si>
    <t>Function_AcuRev4100_010_01_case7_11</t>
  </si>
  <si>
    <t>CT选型5A/333mV, 1E1p2w输入Input1~3(A相)电流均为6A，ABC电压均为120V, 电压电流相角ϕ差为60°，接入源负载10分钟，上位机配置对应user1~3,测量A的、系统、User1~3通道、input1~3通道W_p、W_q、W_s对应（Import、Export、Net、Total），电能精度满足0.3%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</si>
  <si>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3、Input1~3(三路电流全部选择对应VA)电流均为6A，ABC电压均120V,电压电流相角差60°(Va的相角为0，Input1~3为300°)
4、等待10mins。
5、上位机上和电表上检查A&amp;B&amp;C相、系统、User1通道、input1~3通道W_p、W_q、W_s对应（Import、Export、Net、Total）电能精度是否满足0.3%</t>
  </si>
  <si>
    <t>Function_AcuRev4100_010_01_case7_12</t>
  </si>
  <si>
    <t>CT选型5A/333mV, 1E1p2w输入Input1~3(A相)电流均为0.5A，ABC电压均为69V, 电压电流相角ϕ差为143.13°，接入源负载10分钟，上位机配置对应user1~3,测量A的、系统、User1~3通道、input1~3通道W_p、W_q、W_s对应（Import、Export、Net、Total），电能精度满足0.3%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</si>
  <si>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3、Input1~3(三路电流全部选择对应VA)电流均为0.5A，ABC电压均69V,电压电流相角差143.13°(Va的相角为0，Input1~3为216.87°)
4、等待10mins。
5、上位机上和电表上检查A&amp;B&amp;C相、系统、User1通道、input1~3通道W_p、W_q、W_s对应（Import、Export、Net、Total）电能精度是否满足0.3%</t>
  </si>
  <si>
    <t>Function_AcuRev4100_010_01_case7_13</t>
  </si>
  <si>
    <t>CT选型5A/333mV, 1E1p2w输入Input1~3(A相)电流均为3.5A，ABC电压均为69V, 电压电流相角ϕ差为143.13°，接入源负载10分钟，上位机配置对应user1~3,测量A的、系统、User1~3通道、input1~3通道W_p、W_q、W_s对应（Import、Export、Net、Total），电能精度满足0.3%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</si>
  <si>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3、Input1~3(三路电流全部选择对应VA)电流均为3.5A，ABC电压均69V,电压电流相角差143.13°(Va的相角为0，Input1~3为216.87°)
4、等待10mins。
5、上位机上和电表上检查A&amp;B&amp;C相、系统、User1通道、input1~3通道W_p、W_q、W_s对应（Import、Export、Net、Total）电能精度是否满足0.3%</t>
  </si>
  <si>
    <t>Function_AcuRev4100_010_01_case7_14</t>
  </si>
  <si>
    <t>CT选型5A/333mV, 1E1p2w输入Input1~3(A相)电流均为6A，ABC电压均为69V, 电压电流相角ϕ差为143.13°，接入源负载10分钟，上位机配置对应user1~3,测量A的、系统、User1~3通道、input1~3通道W_p、W_q、W_s对应（Import、Export、Net、Total），电能精度满足0.3%</t>
  </si>
  <si>
    <t>1、连接AcuRev4100电表到Acuview2上，连接状态为connected
2、重置用户电能数据
3、Input1~3(三路电流全部选择对应VA)电流均为6A，ABC电压均69V,电压电流相角差143.13°(Va的相角为0，Input1~3为216.87°)
4、等待10mins。
5、上位机上和电表上检查A&amp;B&amp;C相、系统、User1通道、input1~3通道W_p、W_q、W_s对应（Import、Export、Net、Total）电能精度是否满足0.3%</t>
  </si>
  <si>
    <t>Function_AcuRev4100_010_02_case1</t>
  </si>
  <si>
    <t>CT选型20A/100mA，3E3p4w输入Input1~3(A&amp;B&amp;C相)电流为0.16A，ABC电压均为347V,电压电流相角差为0°，上位机配置对应user1,测量A&amp;B&amp;C的、系统、User1通道、input1~3通道W_p、W_q、W_s对应（Import、Export、Net、Total），电能精度满足0.4%</t>
  </si>
  <si>
    <t>1、连接AcuRev4100电表到Acuview2上，连接状态为connected
2、重置用户电能数据
3、Input1~3(A&amp;B&amp;C相)电流均为0.16A，ABC电压均347V,电压电流相角差0°，上位机配置对应user1。
4、等待10mins。
5、上位机上和电表上检查A&amp;B&amp;C相、系统、User1通道、input1~3通道W_p、W_q、W_s对应（Import、Export、Net、Total）电能精度是否满足0.4%</t>
  </si>
  <si>
    <t>Function_AcuRev4100_010_02_case2</t>
  </si>
  <si>
    <t>CT选型20A/100mA，3E3p4w输入Input1~3(A&amp;B&amp;C相)电流为0.5A，ABC电压均为347V,电压电流相角差为0°，上位机配置对应user1,测量A&amp;B&amp;C的、系统、User1通道、input1~3通道W_p、W_q、W_s对应（Import、Export、Net、Total），电能精度满足0.4%</t>
  </si>
  <si>
    <t>1、连接AcuRev4100电表到Acuview2上，连接状态为connected
2、重置用户电能数据
3、Input1~3(A&amp;B&amp;C相)电流均为0.5A，ABC电压均347V,电压电流相角差0°，上位机配置对应user1。
4、等待10mins。
5、上位机上和电表上检查A&amp;B&amp;C相、系统、User1通道、input1~3通道W_p、W_q、W_s对应（Import、Export、Net、Total）电能精度是否满足0.4%</t>
  </si>
  <si>
    <t>Function_AcuRev4100_010_02_case3</t>
  </si>
  <si>
    <t>CT选型20A/100mA，3E3p4w输入Input1~3(A&amp;B&amp;C相)电流为0.8A，ABC电压均为69V,电压电流相角差为0°，上位机配置对应user1,测量A&amp;B&amp;C的、系统、User1通道、input1~3通道W_p、W_q、W_s对应（Import、Export、Net、Total），电能精度满足0.2%</t>
  </si>
  <si>
    <t>1、连接AcuRev4100电表到Acuview2上，连接状态为connected
2、重置用户电能数据
3、Input1~3(A&amp;B&amp;C相)电流均为0.8A，ABC电压均69V,电压电流相角差0°，上位机配置对应user1。
4、等待10mins。
5、上位机上和电表上检查A&amp;B&amp;C相、系统、User1通道、input1~3通道W_p、W_q、W_s对应（Import、Export、Net、Total）电能精度是否满足0.2%</t>
  </si>
  <si>
    <t>Function_AcuRev4100_010_02_case3_1</t>
  </si>
  <si>
    <t>CT选型20A/100mA，3E3p4w输入Input1~3(A&amp;B&amp;C相)电流为15A，ABC电压均为69V,电压电流相角差为0°，上位机配置对应user1,测量A&amp;B&amp;C的、系统、User1通道、input1~3通道W_p、W_q、W_s对应（Import、Export、Net、Total），电能精度满足0.2%</t>
  </si>
  <si>
    <t>1、连接AcuRev4100电表到Acuview2上，连接状态为connected
2、重置用户电能数据
3、Input1~3(A&amp;B&amp;C相)电流均为15A，ABC电压均69V,电压电流相角差0°，上位机配置对应user1。
4、等待10mins。
5、上位机上和电表上检查A&amp;B&amp;C相、系统、User1通道、input1~3通道W_p、W_q、W_s对应（Import、Export、Net、Total）电能精度是否满足0.2%</t>
  </si>
  <si>
    <t>Function_AcuRev4100_010_02_case3_2</t>
  </si>
  <si>
    <t>CT选型20A/100mA，3E3p4w输入Input1~3(A&amp;B&amp;C相)电流为19.2A，ABC电压均为69V,电压电流相角差为0°，上位机配置对应user1,测量A&amp;B&amp;C的、系统、User1通道、input1~3通道W_p、W_q、W_s对应（Import、Export、Net、Total），电能精度满足0.2%</t>
  </si>
  <si>
    <t>1、连接AcuRev4100电表到Acuview2上，连接状态为connected
2、重置用户电能数据
3、Input1~3(A&amp;B&amp;C相)电流均为19.2A，ABC电压均69V,电压电流相角差0°，上位机配置对应user1。
4、等待10mins。
5、上位机上和电表上检查A&amp;B&amp;C相、系统、User1通道、input1~3通道W_p、W_q、W_s对应（Import、Export、Net、Total）电能精度是否满足0.2%</t>
  </si>
  <si>
    <t>Function_AcuRev4100_010_02_case4</t>
  </si>
  <si>
    <t>CT选型20A/100mA，3E3p4w输入Input1~3(A&amp;B&amp;C相)电流为0.32A，ABC电压均为120V,电压电流相角差为60°，上位机配置对应user1,测量A&amp;B&amp;C的、系统、User1通道、input1~3通道W_p、W_q、W_s对应（Import、Export、Net、Total），电能精度满足0.2%</t>
  </si>
  <si>
    <t>1、连接AcuRev4100电表到Acuview2上，连接状态为connected
2、重置用户电能数据
3、Input1~3(A&amp;B&amp;C相)电流均为0.32A，ABC电压均120V,电压电流相角差60°，上位机配置对应user1。
4、等待10mins。
5、上位机上和电表上检查A&amp;B&amp;C相、系统、User1通道、input1~3通道W_p、W_q、W_s对应（Import、Export、Net、Total）电能精度是否满足0.5%</t>
  </si>
  <si>
    <t>Function_AcuRev4100_010_02_case5</t>
  </si>
  <si>
    <t>CT选型20A/100mA，3E3p4w输入Input1~3(A&amp;B&amp;C相)电流为1.5A，ABC电压均为120V,电压电流相角差为60°，上位机配置对应user1,测量A&amp;B&amp;C的、系统、User1通道、input1~3通道W_p、W_q、W_s对应（Import、Export、Net、Total），电能精度满足0.2%</t>
  </si>
  <si>
    <t>1、连接AcuRev4100电表到Acuview2上，连接状态为connected
2、重置用户电能数据
3、Input1~3(A&amp;B&amp;C相)电流均为1.5A，ABC电压均120V,电压电流相角差60°，上位机配置对应user1。
4、等待10mins。
5、上位机上和电表上检查A&amp;B&amp;C相、系统、User1通道、input1~3通道W_p、W_q、W_s对应（Import、Export、Net、Total）电能精度是否满足0.5%</t>
  </si>
  <si>
    <t>Function_AcuRev4100_010_02_case6</t>
  </si>
  <si>
    <t>CT选型20A/100mA，3E3p4w输入Input1~3(A&amp;B&amp;C相)电流为0.32A，ABC电压均为69V,电压电流相角差为143.13°，上位机配置对应user1,测量A&amp;B&amp;C的、系统、User1通道、input1~3通道W_p、W_q、W_s对应（Import、Export、Net、Total），电能精度满足0.5%</t>
  </si>
  <si>
    <t>1、连接AcuRev4100电表到Acuview2上，连接状态为connected
2、重置用户电能数据
3、Input1~3(A&amp;B&amp;C相)电流均为0.32A，ABC电压均69V,电压电流相角差143.13°，上位机配置对应user1。
4、等待10mins。
5、上位机上和电表上检查A&amp;B&amp;C相、系统、User1通道、input1~3通道W_p、W_q、W_s对应（Import、Export、Net、Total）电能精度是否满足0.5%</t>
  </si>
  <si>
    <t>Fault_AcuRev4100_010_02_case6_1</t>
    <phoneticPr fontId="10" type="noConversion"/>
  </si>
  <si>
    <t>CT选型20A/100mA，3E3p4w输入Input1~3(A&amp;B&amp;C相)电流为1.5A，ABC电压均为69V,电压电流相角差为143.13°，上位机配置对应user1,测量A&amp;B&amp;C的、系统、User1通道、input1~3通道W_p、W_q、W_s对应（Import、Export、Net、Total），电能精度满足0.5%</t>
  </si>
  <si>
    <t>1、连接AcuRev4100电表到Acuview2上，连接状态为connected
2、重置用户电能数据
3、Input1~3(A&amp;B&amp;C相)电流均为1.5A，ABC电压均69V,电压电流相角差143.13°，上位机配置对应user1。
4、等待10mins。
5、上位机上和电表上检查A&amp;B&amp;C相、系统、User1通道、input1~3通道W_p、W_q、W_s对应（Import、Export、Net、Total）电能精度是否满足0.5%</t>
  </si>
  <si>
    <t>Fault_AcuRev4100_010_02_case6_2</t>
  </si>
  <si>
    <t>CT选型20A/100mA，3E3p4w输入Input1~3(A&amp;B&amp;C相)电流为1.6A，ABC电压均为120V,电压电流相角差为60°，上位机配置对应user1,测量A&amp;B&amp;C的、系统、User1通道、input1~3通道W_p、W_q、W_s对应（Import、Export、Net、Total），电能精度满足0.3%</t>
  </si>
  <si>
    <t>1、连接AcuRev4100电表到Acuview2上，连接状态为connected
2、重置用户电能数据
3、Input1~3(A&amp;B&amp;C相)电流均为1.6A，ABC电压均120V,电压电流相角差60°，上位机配置对应user1。
4、等待10mins。
5、上位机上和电表上检查A&amp;B&amp;C相、系统、User1通道、input1~3通道W_p、W_q、W_s对应（Import、Export、Net、Total）电能精度是否满足0.3%</t>
  </si>
  <si>
    <t>Fault_AcuRev4100_010_02_case6_3</t>
  </si>
  <si>
    <t>CT选型20A/100mA，3E3p4w输入Input1~3(A&amp;B&amp;C相)电流为15A，ABC电压均为120V,电压电流相角差为60°，上位机配置对应user1,测量A&amp;B&amp;C的、系统、User1通道、input1~3通道W_p、W_q、W_s对应（Import、Export、Net、Total），电能精度满足0.3%</t>
  </si>
  <si>
    <t>1、连接AcuRev4100电表到Acuview2上，连接状态为connected
2、重置用户电能数据
3、Input1~3(A&amp;B&amp;C相)电流均为15A，ABC电压均120V,电压电流相角差60°，上位机配置对应user1。
4、等待10mins。
5、上位机上和电表上检查A&amp;B&amp;C相、系统、User1通道、input1~3通道W_p、W_q、W_s对应（Import、Export、Net、Total）电能精度是否满足0.3%</t>
  </si>
  <si>
    <t>Fault_AcuRev4100_010_02_case6_4</t>
  </si>
  <si>
    <t>CT选型20A/100mA，3E3p4w输入Input1~3(A&amp;B&amp;C相)电流为19.2A，ABC电压均为120V,电压电流相角差为60°，上位机配置对应user1,测量A&amp;B&amp;C的、系统、User1通道、input1~3通道W_p、W_q、W_s对应（Import、Export、Net、Total），电能精度满足0.3%</t>
  </si>
  <si>
    <t>1、连接AcuRev4100电表到Acuview2上，连接状态为connected
2、重置用户电能数据
3、Input1~3(A&amp;B&amp;C相)电流均为19.2A，ABC电压均120V,电压电流相角差60°，上位机配置对应user1。
4、等待10mins。
5、上位机上和电表上检查A&amp;B&amp;C相、系统、User1通道、input1~3通道W_p、W_q、W_s对应（Import、Export、Net、Total）电能精度是否满足0.3%</t>
  </si>
  <si>
    <t>Fault_AcuRev4100_010_02_case6_5</t>
  </si>
  <si>
    <t>CT选型20A/100mA，3E3p4w输入Input1~3(A&amp;B&amp;C相)电流为1.6A，ABC电压均为69V,电压电流相角差为143.13°，上位机配置对应user1,测量A&amp;B&amp;C的、系统、User1通道、input1~3通道W_p、W_q、W_s对应（Import、Export、Net、Total），电能精度满足0.3%</t>
  </si>
  <si>
    <t>1、连接AcuRev4100电表到Acuview2上，连接状态为connected
2、重置用户电能数据
3、Input1~3(A&amp;B&amp;C相)电流均为1.6A，ABC电压均69V,电压电流相角差143.13°，上位机配置对应user1。
4、等待10mins。
5、上位机上和电表上检查A&amp;B&amp;C相、系统、User1通道、input1~3通道W_p、W_q、W_s对应（Import、Export、Net、Total）电能精度是否满足0.3%</t>
  </si>
  <si>
    <t>Fault_AcuRev4100_010_02_case6_6</t>
  </si>
  <si>
    <t>CT选型20A/100mA，3E3p4w输入Input1~3(A&amp;B&amp;C相)电流为15A，ABC电压均为69V,电压电流相角差为143.13°，上位机配置对应user1,测量A&amp;B&amp;C的、系统、User1通道、input1~3通道W_p、W_q、W_s对应（Import、Export、Net、Total），电能精度满足0.3%</t>
  </si>
  <si>
    <t>1、连接AcuRev4100电表到Acuview2上，连接状态为connected
2、重置用户电能数据
3、Input1~3(A&amp;B&amp;C相)电流均为15A，ABC电压均69V,电压电流相角差143.13°，上位机配置对应user1。
4、等待10mins。
5、上位机上和电表上检查A&amp;B&amp;C相、系统、User1通道、input1~3通道W_p、W_q、W_s对应（Import、Export、Net、Total）电能精度是否满足0.3%</t>
  </si>
  <si>
    <t>Fault_AcuRev4100_010_02_case6_7</t>
  </si>
  <si>
    <t>CT选型20A/100mA，3E3p4w输入Input1~3(A&amp;B&amp;C相)电流为19.2A，ABC电压均为69V,电压电流相角差为143.13°，上位机配置对应user1,测量A&amp;B&amp;C的、系统、User1通道、input1~3通道W_p、W_q、W_s对应（Import、Export、Net、Total），电能精度满足0.3%</t>
  </si>
  <si>
    <t>1、连接AcuRev4100电表到Acuview2上，连接状态为connected
2、重置用户电能数据
3、Input1~3(A&amp;B&amp;C相)电流均为19.2A，ABC电压均69V,电压电流相角差143.13°，上位机配置对应user1。
4、等待10mins。
5、上位机上和电表上检查A&amp;B&amp;C相、系统、User1通道、input1~3通道W_p、W_q、W_s对应（Import、Export、Net、Total）电能精度是否满足0.3%</t>
  </si>
  <si>
    <t>Function_AcuRev4100_010_02_case6_8</t>
  </si>
  <si>
    <t>CT选型20A/100mA，3E3p4w输入Input1~3(A&amp;B&amp;C相)电流为(0A,0A,0A)，ABC电压均为120V，电压电流相角ϕ差为0°，接入源负载10分钟，上位机配置对应user1，测量A&amp;B&amp;C的的、系统、User1通道、input1~3通道W_p、W_q、W_s对应（Import、Export、Net、Total），电能精测量值为0</t>
  </si>
  <si>
    <t>1、连接AcuRev4100电表到Acuview2上，连接状态为connected
2、重置用户电能数据
3、Input1~3(A&amp;B&amp;C相)电流为(0A,0A,0A)，ABC电压均120V,电压电流相角差0°，上位机配置对应user1。
4、等待10mins。
5、上位机上和电表上检查A&amp;B&amp;C相、系统、User1通道、input1~3通道W_p、W_q、W_s对应（Import、Export、Net、Total）电能测量值是否为0。</t>
  </si>
  <si>
    <t>5、上位机上和电表上检查A&amp;B&amp;C相、系统、User1通道、input1~3通道W_p、W_q、W_s对应（Import、Export、Net、Total）电能测量值为0。</t>
  </si>
  <si>
    <t>Function_AcuRev4100_010_02_case7</t>
  </si>
  <si>
    <t>CT选型20A/100mA, 1E1p2w输入Input1~3(A相)电流均为0.16A，ABC电压均为347V, 电压电流相角差为0°，上位机配置对应user1~3,测量A&amp;B&amp;C的、系统、User1通道、input1~3通道W_p、W_q、W_s对应（Import、Export、Net、Total），电能精度满足0.4%</t>
  </si>
  <si>
    <t>1、Acuview2上位机
2、网线/RTU串口线
3、AcuRev4100电表
4、接线方式1E1p2w</t>
    <phoneticPr fontId="10" type="noConversion"/>
  </si>
  <si>
    <t>1、连接AcuRev4100电表到Acuview2上，连接状态为connected
2、重置用户电能数据
3、Input1~3(三路电流全部选择对应VA)电流均为0.16A，ABC电压均347V,电压电流相角差0°(Va的相角为0，Input1~3为0°)
4、等待10mins。
5、上位机上和电表上检查A&amp;B&amp;C相、系统、User1~3通道、input1~3通道W_p、W_q、W_s对应（Import、Export、Net、Total）电能精度是否满足0.4%</t>
  </si>
  <si>
    <t>Function_AcuRev4100_010_02_case8</t>
  </si>
  <si>
    <t>CT选型20A/100mA, 1E1p2w输入Input1~3(A相)电流均为0.5A，ABC电压均为347V, 电压电流相角差为0°，上位机配置对应user1~3,测量A&amp;B&amp;C的、系统、User1通道、input1~3通道W_p、W_q、W_s对应（Import、Export、Net、Total），电能精度满足0.4%</t>
  </si>
  <si>
    <t>1、连接AcuRev4100电表到Acuview2上，连接状态为connected
2、重置用户电能数据
3、Input1~3(三路电流全部选择对应VA)电流均为0.5A，ABC电压均347V,电压电流相角差0°(Va的相角为0，Input1~3为0°)
4、等待10mins。
5、上位机上和电表上检查A&amp;B&amp;C相、系统、User1~3通道、input1~3通道W_p、W_q、W_s对应（Import、Export、Net、Total）电能精度是否满足0.4%</t>
  </si>
  <si>
    <t>Function_AcuRev4100_010_02_case9</t>
  </si>
  <si>
    <t>CT选型20A/100mA, 1E1p2w输入Input1~3(A相)电流均为0.8A，ABC电压均为69V, 电压电流相角差为0°，上位机配置对应user1~3,测量A&amp;B&amp;C的、系统、User1通道、input1~3通道W_p、W_q、W_s对应（Import、Export、Net、Total），电能精度满足0.2%</t>
  </si>
  <si>
    <t>1、连接AcuRev4100电表到Acuview2上，连接状态为connected
2、重置用户电能数据
3、Input1~3(三路电流全部选择对应VA)电流均为0.8A，ABC电压均69V,电压电流相角差0°(Va的相角为0，Input1~3为0°)
4、等待10mins。
5、上位机上和电表上检查A&amp;B&amp;C相、系统、User1~3通道、input1~3通道W_p、W_q、W_s对应（Import、Export、Net、Total）电能精度是否满足0.2%</t>
  </si>
  <si>
    <t>Function_AcuRev4100_010_02_case9_1</t>
  </si>
  <si>
    <t>CT选型20A/100mA, 1E1p2w输入Input1~3(A相)电流均为15A，ABC电压均为69V, 电压电流相角差为0°，上位机配置对应user1~3,测量A&amp;B&amp;C的、系统、User1通道、input1~3通道W_p、W_q、W_s对应（Import、Export、Net、Total），电能精度满足0.2%</t>
  </si>
  <si>
    <t>1、连接AcuRev4100电表到Acuview2上，连接状态为connected
2、重置用户电能数据
3、Input1~3(三路电流全部选择对应VA)电流均为15A，ABC电压均69V,电压电流相角差0°(Va的相角为0，Input1~3为0°)
4、等待10mins。
5、上位机上和电表上检查A&amp;B&amp;C相、系统、User1~3通道、input1~3通道W_p、W_q、W_s对应（Import、Export、Net、Total）电能精度是否满足0.2%</t>
  </si>
  <si>
    <t>Function_AcuRev4100_010_02_case9_2</t>
  </si>
  <si>
    <t>CT选型20A/100mA, 1E1p2w输入Input1~3(A相)电流均为19.2A，ABC电压均为69V, 电压电流相角差为0°，上位机配置对应user1~3,测量A&amp;B&amp;C的、系统、User1通道、input1~3通道W_p、W_q、W_s对应（Import、Export、Net、Total），电能精度满足0.2%</t>
  </si>
  <si>
    <t>1、连接AcuRev4100电表到Acuview2上，连接状态为connected
2、重置用户电能数据
3、Input1~3(三路电流全部选择对应VA)电流均为19.2A，ABC电压均69V,电压电流相角差0°(Va的相角为0，Input1~3为0°)
4、等待10mins。
5、上位机上和电表上检查A&amp;B&amp;C相、系统、User1~3通道、input1~3通道W_p、W_q、W_s对应（Import、Export、Net、Total）电能精度是否满足0.2%</t>
  </si>
  <si>
    <t>Function_AcuRev4100_010_02_case10</t>
  </si>
  <si>
    <t>CT选型20A/100mA, 1E1p2w输入Input1~3(A相)电流均为0.32A，ABC电压均为120V, 电压电流相角差为60°，上位机配置对应user1~3,测量A&amp;B&amp;C的、系统、User1通道、input1~3通道W_p、W_q、W_s对应（Import、Export、Net、Total），电能精度满足0.5%</t>
  </si>
  <si>
    <t>1、连接AcuRev4100电表到Acuview2上，连接状态为connected
2、重置用户电能数据
3、Input1~3(三路电流全部选择对应VA)电流均为0.32A，ABC电压均120V,电压电流相角差60°(Va的相角为0，Input1~3为300°)
4、等待10mins。
5、上位机上和电表上检查A&amp;B&amp;C相、系统、User1~3通道、input1~3通道W_p、W_q、W_s对应（Import、Export、Net、Total）电能精度是否满足0.5%</t>
  </si>
  <si>
    <t>Function_AcuRev4100_010_02_case11</t>
  </si>
  <si>
    <t>CT选型20A/100mA, 1E1p2w输入Input1~3(A相)电流均为1.5A，ABC电压均为120V, 电压电流相角差为60°，上位机配置对应user1~3,测量A&amp;B&amp;C的、系统、User1通道、input1~3通道W_p、W_q、W_s对应（Import、Export、Net、Total），电能精度满足0.5%</t>
  </si>
  <si>
    <t>1、连接AcuRev4100电表到Acuview2上，连接状态为connected
2、重置用户电能数据
3、Input1~3(三路电流全部选择对应VA)电流均为1.5A，ABC电压均120V,电压电流相角差60°(Va的相角为0，Input1~3为300°)
4、等待10mins。
5、上位机上和电表上检查A&amp;B&amp;C相、系统、User1~3通道、input1~3通道W_p、W_q、W_s对应（Import、Export、Net、Total）电能精度是否满足0.5%</t>
  </si>
  <si>
    <t>Function_AcuRev4100_010_02_case12</t>
  </si>
  <si>
    <t>CT选型20A/100mA, 1E1p2w输入Input1~3(A相)电流均为0.32A，ABC电压均为69V, 电压电流相角差为143.13°，上位机配置对应user1~3,测量A&amp;B&amp;C的、系统、User1通道、input1~3通道W_p、W_q、W_s对应（Import、Export、Net、Total），电能精度满足0.5%</t>
  </si>
  <si>
    <t>1、连接AcuRev4100电表到Acuview2上，连接状态为connected
2、重置用户电能数据
3、Input1~3(三路电流全部选择对应VA)电流均为0.32A，ABC电压均69V,电压电流相角差143.32°(Va的相角为0，Input1~3为216.87°)
4、等待10mins。
5、上位机上和电表上检查A&amp;B&amp;C相、系统、User1~3通道、input1~3通道W_p、W_q、W_s对应（Import、Export、Net、Total）电能精度是否满足0.5%</t>
  </si>
  <si>
    <t>Function_AcuRev4100_010_02_case13</t>
  </si>
  <si>
    <t>CT选型20A/100mA, 1E1p2w输入Input1~3(A相)电流均为1.5A，ABC电压均为69V, 电压电流相角差为143.13°，上位机配置对应user1~3,测量A&amp;B&amp;C的、系统、User1通道、input1~3通道W_p、W_q、W_s对应（Import、Export、Net、Total），电能精度满足0.5%</t>
  </si>
  <si>
    <t>1、连接AcuRev4100电表到Acuview2上，连接状态为connected
2、重置用户电能数据
3、Input1~3(三路电流全部选择对应VA)电流均为1.5A，ABC电压均69V,电压电流相角差143.32°(Va的相角为0，Input1~3为216.87°)
4、等待10mins。
5、上位机上和电表上检查A&amp;B&amp;C相、系统、User1~3通道、input1~3通道W_p、W_q、W_s对应（Import、Export、Net、Total）电能精度是否满足0.5%</t>
  </si>
  <si>
    <t>Function_AcuRev4100_010_02_case14</t>
  </si>
  <si>
    <t>CT选型20A/100mA, 1E1p2w输入Input1~3(A相)电流均为1.6A，ABC电压均为120V, 电压电流相角差为60°，上位机配置对应user1~3,测量A&amp;B&amp;C的、系统、User1通道、input1~3通道W_p、W_q、W_s对应（Import、Export、Net、Total），电能精度满足0.3%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</si>
  <si>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3、Input1~3(三路电流全部选择对应VA)电流均为1.6A，ABC电压均120V,电压电流相角差60°(Va的相角为0，Input1~3为300°)
4、等待10mins。
5、上位机上和电表上检查A&amp;B&amp;C相、系统、User1~3通道、input1~3通道W_p、W_q、W_s对应（Import、Export、Net、Total）电能精度是否满足0.3%</t>
  </si>
  <si>
    <t>Function_AcuRev4100_010_02_case15</t>
  </si>
  <si>
    <t>CT选型20A/100mA, 1E1p2w输入Input1~3(A相)电流均为15A，ABC电压均为120V, 电压电流相角差为60°，上位机配置对应user1~3,测量A&amp;B&amp;C的、系统、User1通道、input1~3通道W_p、W_q、W_s对应（Import、Export、Net、Total），电能精度满足0.3%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</si>
  <si>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3、Input1~3(三路电流全部选择对应VA)电流均为15A，ABC电压均120V,电压电流相角差60°(Va的相角为0，Input1~3为300°)
4、等待10mins。
5、上位机上和电表上检查A&amp;B&amp;C相、系统、User1~3通道、input1~3通道W_p、W_q、W_s对应（Import、Export、Net、Total）电能精度是否满足0.3%</t>
  </si>
  <si>
    <t>Function_AcuRev4100_010_02_case16</t>
  </si>
  <si>
    <t>CT选型20A/100mA, 1E1p2w输入Input1~3(A相)电流均为19.2A，ABC电压均为120V, 电压电流相角差为60°，上位机配置对应user1~3,测量A&amp;B&amp;C的、系统、User1通道、input1~3通道W_p、W_q、W_s对应（Import、Export、Net、Total），电能精度满足0.3%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</si>
  <si>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3、Input1~3(三路电流全部选择对应VA)电流均为19.2A，ABC电压均120V,电压电流相角差60°(Va的相角为0，Input1~3为300°)
4、等待10mins。
5、上位机上和电表上检查A&amp;B&amp;C相、系统、User1~3通道、input1~3通道W_p、W_q、W_s对应（Import、Export、Net、Total）电能精度是否满足0.3%</t>
  </si>
  <si>
    <t>Function_AcuRev4100_010_02_case17</t>
  </si>
  <si>
    <t>CT选型20A/100mA, 1E1p2w输入Input1~3(A相)电流均为1.6A，ABC电压均为69V, 电压电流相角差为143.13°，上位机配置对应user1~3,测量A&amp;B&amp;C的、系统、User1通道、input1~3通道W_p、W_q、W_s对应（Import、Export、Net、Total），电能精度满足0.3%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</si>
  <si>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3、Input1~3(三路电流全部选择对应VA)电流均为1.6A，ABC电压均69V,电压电流相角差143.13°(Va的相角为0，Input1~3为216.87°)
4、等待10mins。
5、上位机上和电表上检查A&amp;B&amp;C相、系统、User1~3通道、input1~3通道W_p、W_q、W_s对应（Import、Export、Net、Total）电能精度是否满足0.3%</t>
  </si>
  <si>
    <t>Function_AcuRev4100_010_02_case18</t>
  </si>
  <si>
    <t>CT选型20A/100mA, 1E1p2w输入Input1~3(A相)电流均为15A，ABC电压均为69V, 电压电流相角差为143.13°，上位机配置对应user1~3,测量A&amp;B&amp;C的、系统、User1通道、input1~3通道W_p、W_q、W_s对应（Import、Export、Net、Total），电能精度满足0.3%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</si>
  <si>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3、Input1~3(三路电流全部选择对应VA)电流均为15A，ABC电压均69V,电压电流相角差143.13°(Va的相角为0，Input1~3为216.87°)
4、等待10mins。
5、上位机上和电表上检查A&amp;B&amp;C相、系统、User1~3通道、input1~3通道W_p、W_q、W_s对应（Import、Export、Net、Total）电能精度是否满足0.3%</t>
  </si>
  <si>
    <t>Function_AcuRev4100_010_02_case19</t>
  </si>
  <si>
    <t>CT选型20A/100mA, 1E1p2w输入Input1~3(A相)电流均为19.2A，ABC电压均为69V, 电压电流相角差为143.13°，上位机配置对应user1~3,测量A&amp;B&amp;C的、系统、User1通道、input1~3通道W_p、W_q、W_s对应（Import、Export、Net、Total），电能精度满足0.3%</t>
  </si>
  <si>
    <t>1、连接AcuRev4100电表到Acuview2上，连接状态为connected
2、重置用户电能数据
3、Input1~3(三路电流全部选择对应VA)电流均为19.2A，ABC电压均69V,电压电流相角差143.13°(Va的相角为0，Input1~3为216.87°)
4、等待10mins。
5、上位机上和电表上检查A&amp;B&amp;C相、系统、User1~3通道、input1~3通道W_p、W_q、W_s对应（Import、Export、Net、Total）电能精度是否满足0.3%</t>
  </si>
  <si>
    <t>电能脉冲精度测量</t>
    <phoneticPr fontId="10" type="noConversion"/>
  </si>
  <si>
    <t>Function_AcuRev4100_010_03_case1</t>
  </si>
  <si>
    <t>接线方式3E3p4w,三相电压200V，电流5A,电压电流相角差30°，Energy pulse constant设置为100000，Pulse LED parameter selection为A相有功电能（Import、Export、Net、Total），能量脉冲精度满足0.2%</t>
  </si>
  <si>
    <t>1、Acuview2上位机
2、网线/RTU串口线
3、AcuRev4100电表
4、接线方式3E3p4w
5、Pulse LED width：20</t>
    <phoneticPr fontId="10" type="noConversion"/>
  </si>
  <si>
    <t>1、连接AcuRev4100电表到Acuview2上，连接状态为connected
2、三相电压200V，电流5A,电压电流相角差30°，Energy pulse constant设置为100000，Pulse LED parameter selection为A相有功电能（Import、Export、Net、Total）。
3、检查能量脉冲精度是否满足0.2%
注：parameter selection:1(为A相有功电能Import)，周期(S)：0.041569
parameter selection:2(为A相有功电能Export)，周期(S)：0
parameter selection:3(为A相有功电能Net)，周期(S)：0.041569
parameter selection:4(为A相有功电能Total)，周期(S)：0.041569</t>
  </si>
  <si>
    <t>3、A相有功电能（Import、Export、Net、Total）电能量脉冲精度均满足0.2%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</si>
  <si>
    <t>Function_AcuRev4100_010_03_case2</t>
    <phoneticPr fontId="10" type="noConversion"/>
  </si>
  <si>
    <t>接线方式3E3p4w,三相电压200V，电流5A,电压电流相角差30°，Energy pulse constant设置为100000，Pulse LED parameter selection为A相无功电能（Import、Export、Net、Total），能量脉冲精度满足0.2%</t>
  </si>
  <si>
    <t>1、连接AcuRev4100电表到Acuview2上，连接状态为connected
2、三相电压200V，电流5A,电压电流相角差30°，Energy pulse constant设置为100000，Pulse LED parameter selection为A相无功电能（Import、Export、Net、Total）
3、检查能量脉冲精度是否满足0.2%
注：parameter selection:5(为A相无功电能Import)，周期(S)：0.072
parameter selection:6(为A相无功电能Export)，周期(S)：0
parameter selection:7(为A相无功电能Net)，周期(S)：0.072
parameter selection:8(为A相无功电能Total)，周期(S)：0.072</t>
  </si>
  <si>
    <t>3、A相无功电能（Import、Export、Net、Total）电能量脉冲精度均满足0.2%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</si>
  <si>
    <t>Function_AcuRev4100_010_03_case3</t>
    <phoneticPr fontId="10" type="noConversion"/>
  </si>
  <si>
    <t>接线方式3E3p4w,三相电压200V，电流5A,电压电流相角差30°，Energy pulse constant设置为100000，Pulse LED parameter selection为A相视在电能（Import、Export、Net、Total），能量脉冲精度满足0.2%</t>
  </si>
  <si>
    <t>1、Acuview2上位机
2、网线/RTU串口线
3、AcuRev4100电表
4、接线方式3E3p4w
5、Pulse LED width：20</t>
  </si>
  <si>
    <t>1、连接AcuRev4100电表到Acuview2上，连接状态为connected
2、,三相电压200V，电流5A,电压电流相角差30°，Energy pulse constant设置为100000，Pulse LED parameter selection为A相视在电能
3、检查能量脉冲精度是否满足0.2%
注：parameter selection:9(为A相视在电能)，周期(S)：0.036</t>
  </si>
  <si>
    <t>3、A相视在电能电能量脉冲精度均满足0.2%
备注:脉冲测试方法待和硬件开发讨论
注：parameter selection:9(为A相视在电能)，周期(S)：0.036</t>
  </si>
  <si>
    <t>Function_AcuRev4100_010_03_case4</t>
  </si>
  <si>
    <t>接线方式3E3p4w,三相电压200V，电流5A,电压电流相角差30°，Energy pulse constant设置为10000，Pulse LED parameter selection为user1有功电能（Import、Export、Net、Total），能量脉冲精度满足0.2%</t>
  </si>
  <si>
    <t>1、连接AcuRev4100电表到Acuview2上，连接状态为connected
2、三相电压200V，电流5A,电压电流相角差30°，Energy pulse constant设置为 10000，Pulse LED parameter selection为user1有功电能（Import、Export、Net、Total）
3、检查能量脉冲精度是否满足0.2%
注：parameter selection:253(为user1有功电能Import)，周期(S)：0.138564
parameter selection:254(为user1有功电能Export)，周期(S)：0
parameter selection:255(为user1有功电能Net)，周期(S)：0.138564
parameter selection:256(为user1有功电能Total)，周期(S)：0.138564</t>
  </si>
  <si>
    <t>3、user1有功电能（Import、Export、Net、Total）电能量脉冲精度均满足0.2%
备注:脉冲测试方法待和硬件开发讨论
注：parameter selection:253(为user1有功电能Import)，周期(S)：0.138564
parameter selection:254(为user1有功电能Export)，周期(S)：0
parameter selection:255(为user1有功电能Net)，周期(S)：0.138564
parameter selection:256(为user1有功电能Total)，周期(S)：0.138564</t>
  </si>
  <si>
    <t>Function_AcuRev4100_010_03_case5</t>
  </si>
  <si>
    <t>接线方式3E3p4w,三相电压200V，电流5A,电压电流相角差30°，Energy pulse constant设置为10000，Pulse LED parameter selection为user1无功电能（Import、Export、Net、Total），能量脉冲精度满足0.2%</t>
  </si>
  <si>
    <t>1、连接AcuRev4100电表到Acuview2上，连接状态为connected
2、三相电压200V，电流5A,电压电流相角差30°，Energy pulse constant设置为10000，Pulse LED parameter selection为user1无功电能（Import、Export、Net、Total）
3、检查能量脉冲精度是否满足0.2%
注：parameter selection:257(为user1无功电能Import)，周期(S)：0.24
parameter selection:258(为user1无功电能Export)，周期(S)：0
parameter selection:259(为user1无功电能Net)，周期(S)：0.24
parameter selection:260(为user1无功电能Total)，周期(S)：0.24</t>
  </si>
  <si>
    <t>3、user1无功电能（Import、Export、Net、Total）电能量脉冲精度均满足0.2%
备注:脉冲测试方法待和硬件开发讨论
注：parameter selection:257(为user1无功电能Import)，周期(S)：0.24
parameter selection:258(为user1无功电能Export)，周期(S)：0
parameter selection:259(为user1无功电能Net)，周期(S)：0.24
parameter selection:260(为user1无功电能Total)，周期(S)：0.24</t>
    <phoneticPr fontId="10" type="noConversion"/>
  </si>
  <si>
    <t>Function_AcuRev4100_010_03_case6</t>
  </si>
  <si>
    <t>接线方式3E3p4w,三相电压200V，电流5A,电压电流相角差30°，Energy pulse constant设置为1000，Pulse LED parameter selection为user1视在电能（Import、Export、Net、Total），能量脉冲精度满足0.2%</t>
  </si>
  <si>
    <t>1、连接AcuRev4100电表到Acuview2上，连接状态为connected
2、三相电压200V，电流5A,电压电流相角差30°，Energy pulse constant设置为1000，Pulse LED parameter selection为user1视在电能
3、检查能量脉冲精度是否满足0.2%
注：parameter selection:261(为user1视在电能)，周期(S)：1.2</t>
  </si>
  <si>
    <t>3、user1视在电能（Import、Export、Net、Total）电能量脉冲精度均满足0.2%
备注:脉冲测试方法待和硬件开发讨论
注：parameter selection:261(为user1视在电能)，周期(S)：1.2</t>
    <phoneticPr fontId="10" type="noConversion"/>
  </si>
  <si>
    <t>Function_AcuRev4100_010_03_case7</t>
  </si>
  <si>
    <t>接线方式3E3p4w,三相电压200V，电流5A,电压电流相角差30°，Energy pulse constant设置为100000，Pulse LED parameter selection为input1有功电能（Import、Export、Net、Total），能量脉冲精度满足0.2%</t>
  </si>
  <si>
    <t>1、连接AcuRev4100电表到Acuview2上，连接状态为connected
2、三相电压200V，电流5A,电压电流相角差30°，Energy pulse constant设置为100000，Pulse LED parameter selection为input1有功电能（Import、Export、Net、Total）
3、检查能量脉冲精度是否满足0.2%
注：parameter selection:37(为input1有功电能Import)，周期(S)：0.041569
parameter selection:38(为input1有功电能Export)，周期(S)：0
parameter selection:39(为input1有功电能Net)，周期(S)：0.041569
parameter selection:40(为input1有功电能Total)，周期(S)：0.041569</t>
  </si>
  <si>
    <t>3、input1有功电能（Import、Export、Net、Total）电能量脉冲精度均满足0.2%
备注:脉冲测试方法待和硬件开发讨论</t>
  </si>
  <si>
    <t>Function_AcuRev4100_010_03_case8</t>
  </si>
  <si>
    <t>接线方式3E3p4w,三相电压200V，电流5A,电压电流相角差30°，Energy pulse constant设置为100000，Pulse LED parameter selection为input1无功电能（Import、Export、Net、Total），能量脉冲精度满足0.2%</t>
  </si>
  <si>
    <t>1、连接AcuRev4100电表到Acuview2上，连接状态为connected
2、三相电压200V，电流5A,电压电流相角差30°，Energy pulse constant设置为100000，Pulse LED parameter selection为input1无功电能（Import、Export、Net、Total）
3、检查能量脉冲精度是否满足0.2%
注：parameter selection:41(为input1无功电能Import)，周期(S)：0.072
parameter selection:42(为input1无功电能Export)，周期(S)：0
parameter selection:43(为input1无功电能Net)，周期(S)：0.072
parameter selection:44(为input1无功电能Total)，周期(S)：0.072</t>
  </si>
  <si>
    <t>3、input1无功电能（Import、Export、Net、Total）电能量脉冲精度均满足0.2%
备注:脉冲测试方法待和硬件开发讨论</t>
  </si>
  <si>
    <t>Function_AcuRev4100_010_03_case9</t>
  </si>
  <si>
    <t>接线方式3E3p4w,三相电压200V，电流5A,电压电流相角差30°，Energy pulse constant设置为100000，Pulse LED parameter selection为input1视在电能（Import、Export、Net、Total），能量脉冲精度满足0.2%</t>
  </si>
  <si>
    <t>1、连接AcuRev4100电表到Acuview2上，连接状态为connected
2、三相电压200V，电流5A,电压电流相角差30°，Energy pulse constant设置为100000，Pulse LED parameter selection为input1视在电能（Import、Export、Net、Total）
3、检查能量脉冲精度是否满足0.2%
注：parameter selection:45(为A相视在电能)，周期(S)：0.036</t>
  </si>
  <si>
    <t>3、input1视在电能（Import、Export、Net、Total）电能量脉冲精度均满足0.2%
备注:脉冲测试方法待和硬件开发讨论</t>
  </si>
  <si>
    <t>Function_AcuRev4100_010_03_case10</t>
  </si>
  <si>
    <t>接线方式3E3p4w,三相电压200V，电流5A,电压电流相角差30°，Energy pulse constant设置为10000，Pulse LED parameter selection为系统有功电能（Import、Export、Net、Total），能量脉冲精度满足0.2%</t>
  </si>
  <si>
    <t>1、连接AcuRev4100电表到Acuview2上，连接状态为connected
2、三相电压200V，电流5A,电压电流相角差30°，Energy pulse constant设置为10000，Pulse LED parameter selection为系统有功电能（Import、Export、Net、Total）
3、检查能量脉冲精度是否满足0.2%
注：parameter selection:28(为系统有功电能Import)，周期(S)：0.138564
parameter selection:29(为系统有功电能Export)，周期(S)：0
parameter selection:30(为系统有功电能Net)，周期(S)：0.138564
parameter selection:31(为系统有功电能Total)，周期(S)：0.138564</t>
  </si>
  <si>
    <t>3、系统有功电能（Import、Export、Net、Total）电能量脉冲精度均满足0.2%
备注:脉冲测试方法待和硬件开发讨论</t>
  </si>
  <si>
    <t>Function_AcuRev4100_010_03_case11</t>
  </si>
  <si>
    <t>接线方式3E3p4w,三相电压200V，电流5A,电压电流相角差30°，Energy pulse constant设置为10000，Pulse LED parameter selection为系统无功电能（Import、Export、Net、Total），能量脉冲精度满足0.2%</t>
  </si>
  <si>
    <t>1、连接AcuRev4100电表到Acuview2上，连接状态为connected
2、三相电压200V，电流5A,电压电流相角差30°，Energy pulse constant设置为10000，Pulse LED parameter selection为系统无功电能（Import、Export、Net、Total）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phoneticPr fontId="10" type="noConversion"/>
  </si>
  <si>
    <t>3、系统无功电能（Import、Export、Net、Total）电能量脉冲精度均满足0.2%
备注:脉冲测试方法待和硬件开发讨论</t>
  </si>
  <si>
    <t>Function_AcuRev4100_010_03_case12</t>
  </si>
  <si>
    <t>接线方式3E3p4w,三相电压200V，电流5A,电压电流相角差30°，Energy pulse constant设置为1000，Pulse LED parameter selection为系统视在电能（Import、Export、Net、Total），能量脉冲精度满足0.2%</t>
  </si>
  <si>
    <t>1、连接AcuRev4100电表到Acuview2上，连接状态为connected
2、三相电压200V，电流5A,电压电流相角差30°，Energy pulse constant设置为1000，Pulse LED parameter selection为系统视在电能（Import、Export、Net、Total）
3、检查能量脉冲精度是否满足0.2%
注：parameter selection:261(为user1视在电能)，周期(S)：1.2</t>
    <phoneticPr fontId="10" type="noConversion"/>
  </si>
  <si>
    <t>3、系统视在电能（Import、Export、Net、Total）电能量脉冲精度均满足0.2%
备注:脉冲测试方法待和硬件开发讨论</t>
  </si>
  <si>
    <t>Function_AcuRev4100_010_03_case13</t>
  </si>
  <si>
    <t>1、连接AcuRev4100电表到Acuview2上，连接状态为connected
2、三相电压200V，电流5A,电压电流相角差240°，Energy pulse constant设置为100000，
parameter selection:3(A相有功电能net)
3、检查能量脉冲精度是否满足0.2%</t>
  </si>
  <si>
    <t>3.脉冲灯不会闪烁</t>
    <phoneticPr fontId="10" type="noConversion"/>
  </si>
  <si>
    <t>Function_AcuRev4100_010_03_case14</t>
  </si>
  <si>
    <t>1、连接AcuRev4100电表到Acuview2上，连接状态为connected
2、三相电压200V，电流5A,电压电流相角差0°，Energy pulse constant设置为100000，
parameter selection:2(A相有功电能Export)
3、检查能量脉冲精度是否满足0.2%</t>
  </si>
  <si>
    <t xml:space="preserve">3.脉冲灯不会闪烁 </t>
    <phoneticPr fontId="10" type="noConversion"/>
  </si>
  <si>
    <t>Function_AcuRev4100_010_03_case15</t>
    <phoneticPr fontId="10" type="noConversion"/>
  </si>
  <si>
    <t>1、连接AcuRev4100电表到Acuview2上，连接状态为connected
2、三相电压200V，电流5A,电压电流相角差0°，Energy pulse constant设置为100000，
parameter selection:1(A相有功电能Import)，检查能量脉冲精度是否满足0.2%
3、改变电流方向为Negative Phase</t>
    <phoneticPr fontId="10" type="noConversion"/>
  </si>
  <si>
    <t xml:space="preserve">2.脉冲灯闪烁 ，电能量脉冲精度均满足0.2%
3.脉冲灯不会闪烁 </t>
    <phoneticPr fontId="10" type="noConversion"/>
  </si>
  <si>
    <t>Function_AcuRev4100_010_03_case16</t>
  </si>
  <si>
    <t>能量脉冲灯脉冲宽度测量</t>
    <phoneticPr fontId="10" type="noConversion"/>
  </si>
  <si>
    <t>1、连接AcuRev4100电表到Acuview2上，链接状态为connected
2、三相电压200V，电流5A,电压电流相角差0°，Energy pulse constant设置为600，
3、parameter selection:1(A相有功电能Import),Pluse Width选择20ms
4、parameter selection:1(A相有功电能Import),Pluse Width选择50ms
5、parameter selection:1(A相有功电能Import),Pluse Width选择100ms
6、parameter selection:361(A相有功电能Import),Pluse Width选择101ms
7、parameter selection:361(A相有功电能Import),Pluse Width选择19ms</t>
  </si>
  <si>
    <t>Function_AcuRev4100_011_01_case2</t>
  </si>
  <si>
    <t>固定窗口需量，3E3p4w Y接线，设置需量参数时间16:28，DemandInterval设4分钟，上报周期5分钟，窗口从16:32开始计时，需量更新时间依次为：16:36,16:40</t>
    <phoneticPr fontId="10" type="noConversion"/>
  </si>
  <si>
    <t>1、设置固定窗口需量fixed
2、DemandInterval设4分钟，上报周期15分钟(固定窗口场景，上报周期不影响上报频率)
3、接线方式设置为3E3p4w Y接线
4、三项电压400V，三项电流2A，压流角0°，
5、设置需量参数时间16:28
5.1 检查实时需量是否全部清零0
6、窗口从16:32开始计时
7、需量更新时间是否为：16:36 ， 且需量更新正确, 电流为2A，功率为:0.8
9、16:38立即改变电流为4A
8、需量更新时间是否为：16:40， 且需量更新正确，电流为3A，功率为:1.2</t>
  </si>
  <si>
    <t>5.1 检查实时需量全部清零0
7、需量更新时间为：16:36 ，且需量更新正确, 电流为4A，功率为:1.6kw
8、需量更新时间为：16:40， 且需量更新正确，电流为3A，功率为:1.2kw</t>
  </si>
  <si>
    <t>Function_AcuRev4100_011_01_case5_1</t>
  </si>
  <si>
    <t>固定窗口需量，3E3p4w Y接线，重置需量最值时间T1，DemandInterval设5分钟，电压均为0V,  intput1~3电流为5A，距离最近T1最近5分钟整点开始计时T2，5分钟后首次上报，需量值更新为0</t>
    <phoneticPr fontId="10" type="noConversion"/>
  </si>
  <si>
    <t>1、Acuview2上位机
2、网线/RTU串口线
3、AcuRev4100电表
4、功率和电流需量不为0</t>
    <phoneticPr fontId="10" type="noConversion"/>
  </si>
  <si>
    <r>
      <rPr>
        <sz val="10"/>
        <color rgb="FF000000"/>
        <rFont val="微软雅黑"/>
        <family val="2"/>
        <charset val="134"/>
      </rPr>
      <t>1、设置固定窗口需量fixed
2、DemandInterval设5分钟，上报周期15分钟(固定窗口场景，上报周期不影响上报频率)
3、接线方式设置为3E3p4w Y
4、三项电压9V，三项电流5A，压流角0°，
5、重置需量最值，时间记录为T1
6、距离最近T1最近5分钟整点开始计时T2
7、则是否T2+5分钟首次上报，过去的5分钟需量平均值(电流、功</t>
    </r>
    <r>
      <rPr>
        <b/>
        <sz val="10"/>
        <color rgb="FF000000"/>
        <rFont val="微软雅黑"/>
        <family val="2"/>
        <charset val="134"/>
      </rPr>
      <t>率)为0</t>
    </r>
  </si>
  <si>
    <t xml:space="preserve">7、则T2+5分钟首次上报，过去的5分钟需量平均值(电流、功率)为0
输入电压为200V
</t>
  </si>
  <si>
    <t>Function_AcuRev4100_011_01_case5_4</t>
    <phoneticPr fontId="10" type="noConversion"/>
  </si>
  <si>
    <t>固定窗口需量，3E3p4w Y接线，电表上电时间T1，DemandInterval设10分钟，上报周期5分钟， 距离最近T1最近10分钟整点开始计时T2，10分钟后首次上报，10分钟第二次上报 。</t>
    <phoneticPr fontId="10" type="noConversion"/>
  </si>
  <si>
    <t>1、设置固定窗口需量fixed
2、DemandInterval设10分钟，上报周期5分钟(固定窗口场景，上报周期不影响上报频率)
3、接线方式设置为3E3p4w Y
4、三项电压400V，三项电流2A，压流角0°，
5、电表掉电上电，时间记录为T1
5.1 检查实时需量是否全部清零0
6、距离最近T1最近10分钟整点开始计时T2
7、则是否T2+10分钟首次上报，过去的10分钟需量平均值(电流、功率)
8、改变电压为450V
9、则是否T2+20分钟第二次上报，过去的10分钟需量平均值(电流、功率)
备注：在步骤8测试时，已经在10分钟周期内，修改电压时会有短暂的时间，电压和电流都为0，故步骤9上报的电流和功率会比理论值小，实际测试电流为1.895A，功率为0.851W</t>
  </si>
  <si>
    <t xml:space="preserve">5.1 检查实时需量全部清零0
7、则是否T2+10分钟首次上报需量正确，过去的10分钟需量平均值(电流、功率)
Phase A Import Active Power Demand	0.800 	0.799 	0.801 
Phase A Export Active Power Demand	0.000 	0.000 	0.000 
Phase A Import Reactive Power Demand	0.000 	0.000 	0.000 
Phase A Export Reactive Power Demand	0.000 	0.000 	0.000 
Phase A Apparent Power Demand	0.800 	0.799 	0.801 
Phase B Current Demand	2.000 	1.998 	2.002 
Phase B Import Active Power Demand	0.800 	0.799 	0.801 
Phase B Export Active Power Demand	0.000 	0.000 	0.000 
Phase B Import Reactive Power Demand	0.000 	0.000 	0.000 
Phase B Export Reactive Power Demand	0.000 	0.000 	0.000 
Phase B Apparent Power Demand	0.800 	0.799 	0.801 
Phase C Current Demand	2.000 	1.998 	2.002 
Phase C Import Active Power Demand	0.800 	0.799 	0.801 
Phase C Export Active Power Demand	0.000 	0.000 	0.000 
Phase C Import Reactive Power Demand	0.000 	0.000 	0.000 
Phase C Export Reactive Power Demand	0.000 	0.000 	0.000 
Phase C Apparent Power Demand	0.800 	0.799 	0.801 
System Average Current Demand	2.000 	1.998 	2.002 
System Import Active Power Demand	2.400 	2.398 	2.402 
System Export Active Power Demand	0.000 	0.000 	0.000 
System Import Reactive Power Demand	0.000 	0.000 	0.000 
System Export Reactive Power Demand	0.000 	0.000 	0.000 
System Apparent Power Demand	2.400 	2.398 	2.402 
Input Channel 1 Current Demand	2.000 	1.998 	2.002 
Input Channel 1 Import Active Power Demand	0.800 	0.799 	0.801 
Input Channel 1 Export Active Power Demand	0.000 	0.000 	0.000 
Input Channel 1 Import Reactive Power Demand	0.000 	0.000 	0.000 
Input Channel 1 Export Reactive Power Demand	0.000 	0.000 	0.000 
Input Channel 1 Apparent Power Demand	0.800 	0.799 	0.801 
Input Channel 2 Current Demand	2.000 	1.998 	2.002 
Input Channel 2 Import Active Power Demand	0.800 	0.799 	0.801 
Input Channel 2 Export Active Power Demand	0.000 	0.000 	0.000 
Input Channel 2 Import Reactive Power Demand	0.000 	0.000 	0.000 
Input Channel 2 Export Reactive Power Demand	0.000 	0.000 	0.000 
Input Channel 2 Apparent Power Demand	0.800 	0.799 	0.801 
Input Channel 3 Current Demand	2.000 	1.998 	2.002 
Input Channel 3 Import Active Power Demand	0.800 	0.799 	0.801 
Input Channel 3 Export Active Power Demand	0.000 	0.000 	0.000 
Input Channel 3 Import Reactive Power Demand	0.000 	0.000 	0.000 
Input Channel 3 Export Reactive Power Demand	0.000 	0.000 	0.000 
Input Channel 3 Apparent Power Demand	0.800 	0.799 	0.801 
User Channel 1 Current Demand	2.000 	1.998 	2.002 
User Channel 1 Import Active Power Demand	2.400 	2.398 	2.402 
User Channel 1 Export Active Power Demand	0.000 	0.000 	0.000 
User Channel 1 Import Reactive Power Demand	0.000 	0.000 	0.000 
User Channel 1 Export Reactive Power Demand	0.000 	0.000 	0.000 
User Channel 1 Apparent Power Demand	2.400 	2.398 	2.402 
8、则是否T2+20分钟第二次上报需量正确，过去的10分钟需量平均值(电流、功率)  
Phase A Current Demand	2.000 	1.998 	2.002 
Phase A Import Active Power Demand	0.900 	0.899 	0.901 
Phase A Export Active Power Demand	0.000 	0.000 	0.000 
Phase A Import Reactive Power Demand	0.000 	0.000 	0.000 
Phase A Export Reactive Power Demand	0.000 	0.000 	0.000 
Phase A Apparent Power Demand	0.900 	0.899 	0.901 
Phase B Current Demand	2.000 	1.998 	2.002 
Phase B Import Active Power Demand	0.900 	0.899 	0.901 
Phase B Export Active Power Demand	0.000 	0.000 	0.000 
Phase B Import Reactive Power Demand	0.000 	0.000 	0.000 
Phase B Export Reactive Power Demand	0.000 	0.000 	0.000 
Phase B Apparent Power Demand	0.900 	0.899 	0.901 
Phase C Current Demand	2.000 	1.998 	2.002 
Phase C Import Active Power Demand	0.900 	0.899 	0.901 
Phase C Export Active Power Demand	0.000 	0.000 	0.000 
Phase C Import Reactive Power Demand	0.000 	0.000 	0.000 
Phase C Export Reactive Power Demand	0.000 	0.000 	0.000 
Phase C Apparent Power Demand	0.900 	0.899 	0.901 
System Average Current Demand	2.000 	1.998 	2.002 
System Import Active Power Demand	2.700 	2.697 	2.703 
System Export Active Power Demand	0.000 	0.000 	0.000 
System Import Reactive Power Demand	0.000 	0.000 	0.000 
System Export Reactive Power Demand	0.000 	0.000 	0.000 
System Apparent Power Demand	2.700 	2.697 	2.703 
Input Channel 1 Current Demand	2.000 	1.998 	2.002 
Input Channel 1 Import Active Power Demand	0.900 	0.899 	0.901 
Input Channel 1 Export Active Power Demand	0.000 	0.000 	0.000 
Input Channel 1 Import Reactive Power Demand	0.000 	0.000 	0.000 
Input Channel 1 Export Reactive Power Demand	0.000 	0.000 	0.000 
Input Channel 1 Apparent Power Demand	0.900 	0.899 	0.901 
Input Channel 2 Current Demand	2.000 	1.998 	2.002 
Input Channel 2 Import Active Power Demand	0.900 	0.899 	0.901 
Input Channel 2 Export Active Power Demand	0.000 	0.000 	0.000 
Input Channel 2 Import Reactive Power Demand	0.000 	0.000 	0.000 
Input Channel 2 Export Reactive Power Demand	0.000 	0.000 	0.000 
Input Channel 2 Apparent Power Demand	0.900 	0.899 	0.901 
Input Channel 3 Current Demand	2.000 	1.998 	2.002 
Input Channel 3 Import Active Power Demand	0.900 	0.899 	0.901 
Input Channel 3 Export Active Power Demand	0.000 	0.000 	0.000 
Input Channel 3 Import Reactive Power Demand	0.000 	0.000 	0.000 
Input Channel 3 Export Reactive Power Demand	0.000 	0.000 	0.000 
Input Channel 3 Apparent Power Demand	0.900 	0.899 	0.901 
User Channel 1 Current Demand	2.000 	1.998 	2.002 
User Channel 1 Import Active Power Demand	2.700 	2.697 	2.703 
User Channel 1 Export Active Power Demand	0.000 	0.000 	0.000 
User Channel 1 Import Reactive Power Demand	0.000 	0.000 	0.000 
User Channel 1 Export Reactive Power Demand	0.000 	0.000 	0.000 
User Channel 1 Apparent Power Demand	2.700 	2.697 	2.703 
User Channel 1 Current Demand	2.000 	1.998 	2.002 
User Channel 1 Import Active Power Demand	1.800 	1.798 	1.802 
User Channel 1 Export Active Power Demand	0.000 	0.000 	0.000 
User Channel 1 Import Reactive Power Demand	0.000 	0.000 	0.000 
User Channel 1 Export Reactive Power Demand	0.000 	0.000 	0.000 
User Channel 1 Apparent Power Demand	1.800 	1.798 	1.802 </t>
  </si>
  <si>
    <t>Function_AcuRev4100_011_01_case5_5</t>
  </si>
  <si>
    <t>1、设置固定窗口需量fixed
2、DemandInterval设5分钟，上报周期10分钟(固定窗口场景，上报周期不影响上报频率)
3、接线方式设置为3E3p4w Y
4、三项电压400V，三项电流2A，压流角30°，
5、设置需量配置参数，时间记录为T1为17点24
5.1 检查实时需量是否全部清零0
6、距离最近T1最近5分钟整点开始计时T2
7、则是否T2+5分钟首次上报，过去的10分钟需量平均值(电流、功率)
8、则是否T2+10分钟第二次上报，过去的10分钟需量平均值(电流、功率)</t>
  </si>
  <si>
    <t>Function_AcuRev4100_011_01_case5_6</t>
    <phoneticPr fontId="10" type="noConversion"/>
  </si>
  <si>
    <t>固定窗口需量，3E3p4w Y接线， 设置时钟时间T1，DemandInterval设15分钟，上报周期15分钟， 距离最近T1最近5分钟整点开始计时T2，15分钟后首次上报，15分钟第二次上报 。</t>
    <phoneticPr fontId="10" type="noConversion"/>
  </si>
  <si>
    <t>Function_AcuRev4100_011_01_case5_7</t>
    <phoneticPr fontId="10" type="noConversion"/>
  </si>
  <si>
    <t>固定窗口需量， 3E3p4w Y接线，设置时钟时间T1，DemandInterval设30分钟，上报周期15分钟， 距离最近T1最近5分钟整点开始计时T2，15分钟后首次上报，15分钟第二次上报 。</t>
    <phoneticPr fontId="10" type="noConversion"/>
  </si>
  <si>
    <t>5.1 检查实时需量全部清零0
7、则T2+30分钟首次上报，过去的30分钟需量平均值(电流、功率)
8、则T2+60分钟第二次上报，过去的30分钟需量平均值(电流、功率)</t>
    <phoneticPr fontId="10" type="noConversion"/>
  </si>
  <si>
    <t>Function_AcuRev4100_011_01_case5_8</t>
    <phoneticPr fontId="10" type="noConversion"/>
  </si>
  <si>
    <t>固定窗口需量，3E3p4w Y接线，重置需量最值时间T1，DemandInterval设5分钟，上报周期15分钟， 距离最近T1最近5分钟整点开始计时T2，T2+5分钟后首次上报，T2+10分钟第二次上报 。</t>
  </si>
  <si>
    <t>1、设置固定窗口需量fixed
2、DemandInterval设5分钟，上报周期15分钟(固定窗口场景，上报周期不影响上报频率)
3、接线方式设置为3E3p4w Y
4、三项电压400V，三项电流2A，压流角210°，
5、重置需量最值，时间记录为T1
5.1 检查实时需量是否全部清零0
6、距离最近T1最近5分钟整点开始计时T2
7、则是否T2+5分钟首次上报，过去的5分钟需量平均值(电流、功率)
8、则是否T2+10分钟第二次上报，过去的5分钟需量平均值(电流、功率)</t>
  </si>
  <si>
    <t>Function_AcuRev4100_011_01_case5_9</t>
  </si>
  <si>
    <t>固定窗口需量，3E3p4w Y接线，设置需量参数时间16:27，DemandInterval设7分钟，上报周期15分钟，窗口从16:28开始计时，需量更新时间依次为：16:35,16:42</t>
    <phoneticPr fontId="10" type="noConversion"/>
  </si>
  <si>
    <r>
      <rPr>
        <sz val="10"/>
        <color rgb="FF000000"/>
        <rFont val="微软雅黑"/>
        <family val="2"/>
        <charset val="134"/>
      </rPr>
      <t>1、设置固定窗口需量fixed
2、DemandInterval设7分钟，上报周期15分钟(固定窗口场景，上报周期不影响上报频率)
3、接线方式设置为3E3p4w Y
4、三项电压400V，三项电流2A，压流角</t>
    </r>
    <r>
      <rPr>
        <b/>
        <sz val="10"/>
        <color rgb="FF000000"/>
        <rFont val="微软雅黑"/>
        <family val="2"/>
        <charset val="134"/>
      </rPr>
      <t>330</t>
    </r>
    <r>
      <rPr>
        <sz val="10"/>
        <color rgb="FF000000"/>
        <rFont val="微软雅黑"/>
        <family val="2"/>
        <charset val="134"/>
      </rPr>
      <t>°，
5、设置需量参数时间16:27
5.1 检查实时需量是否全部清零0
6、窗口从16:28开始计时
7、检查16:35是否更新16:28-16:35期间的需量(电流、功率)， 且更新数据成功正确
8，修改电压450V,
9、检查16:42是否更新16:35-16:42期间的需量(电流、功率)， 且更新数据成功正确</t>
    </r>
  </si>
  <si>
    <t xml:space="preserve">5.1 检查实时需量全部清零0
7、检查16:35更新16:28-16:35期间的需量(电流、功率)， 且更新数据成功正确
Phase A Current Demand	2.000 	1.998 	2.002 
Phase A Import Active Power Demand	0.693 	0.692 	0.694 
Phase A Export Active Power Demand	0.000 	0.000 	0.000 
Phase A Import Reactive Power Demand	0.000 	0.000 	0.000 
Phase A Export Reactive Power Demand	0.400 	0.400 	0.400 
Phase A Apparent Power Demand	0.800 	0.799 	0.801 
Phase B Current Demand	2.000 	1.998 	2.002 
Phase B Import Active Power Demand	0.693 	0.692 	0.694 
Phase B Export Active Power Demand	0.000 	0.000 	0.000 
Phase B Import Reactive Power Demand	0.000 	0.000 	0.000 
Phase B Export Reactive Power Demand	0.400 	0.400 	0.400 
Phase B Apparent Power Demand	0.800 	0.799 	0.801 
Phase C Current Demand	2.000 	1.998 	2.002 
Phase C Import Active Power Demand	0.693 	0.692 	0.694 
Phase C Export Active Power Demand	0.000 	0.000 	0.000 
Phase C Import Reactive Power Demand	0.000 	0.000 	0.000 
Phase C Export Reactive Power Demand	0.400 	0.400 	0.400 
Phase C Apparent Power Demand	0.800 	0.799 	0.801 
System Average Current Demand	2.000 	1.998 	2.002 
System Import Active Power Demand	2.078 	2.076 	2.081 
System Export Active Power Demand	0.000 	0.000 	0.000 
System Import Reactive Power Demand	0.000 	0.000 	0.000 
System Export Reactive Power Demand	1.200 	1.199 	1.201 
System Apparent Power Demand	2.400 	2.398 	2.402 
Input Channel 1 Current Demand	2.000 	1.998 	2.002 
Input Channel 1 Import Active Power Demand	0.693 	0.692 	0.694 
Input Channel 1 Export Active Power Demand	0.000 	0.000 	0.000 
Input Channel 1 Import Reactive Power Demand	0.000 	0.000 	0.000 
Input Channel 1 Export Reactive Power Demand	0.400 	0.400 	0.400 
Input Channel 1 Apparent Power Demand	0.800 	0.799 	0.801 
Input Channel 2 Current Demand	2.000 	1.998 	2.002 
Input Channel 2 Import Active Power Demand	0.693 	0.692 	0.694 
Input Channel 2 Export Active Power Demand	0.000 	0.000 	0.000 
Input Channel 2 Import Reactive Power Demand	0.000 	0.000 	0.000 
Input Channel 2 Export Reactive Power Demand	0.400 	0.400 	0.400 
Input Channel 2 Apparent Power Demand	0.800 	0.799 	0.801 
Input Channel 3 Current Demand	2.000 	1.998 	2.002 
Input Channel 3 Import Active Power Demand	0.693 	0.692 	0.694 
Input Channel 3 Export Active Power Demand	0.000 	0.000 	0.000 
Input Channel 3 Import Reactive Power Demand	0.000 	0.000 	0.000 
Input Channel 3 Export Reactive Power Demand	0.400 	0.400 	0.400 
Input Channel 3 Apparent Power Demand	0.800 	0.799 	0.801 
User Channel 1 Current Demand	2.000 	1.998 	2.002 
User Channel 1 Import Active Power Demand	2.078 	2.076 	2.081 
User Channel 1 Export Active Power Demand	0.000 	0.000 	0.000 
User Channel 1 Import Reactive Power Demand	0.000 	0.000 	0.000 
User Channel 1 Export Reactive Power Demand	1.200 	1.199 	1.201 
User Channel 1 Apparent Power Demand	2.400 	2.398 	2.402 
9、检查16:42更新16:35-16:42期间的需量(电流、功率)， 且更新数据成功正确
Phase A Current Demand	2.000 	1.998 	2.002 
Phase A Import Active Power Demand	0.779 	0.779 	0.780 
Phase A Export Active Power Demand	0.000 	0.000 	0.000 
Phase A Import Reactive Power Demand	0.000 	0.000 	0.000 
Phase A Export Reactive Power Demand	0.450 	0.450 	0.450 
Phase A Apparent Power Demand	0.900 	0.899 	0.901 
Phase B Current Demand	2.000 	1.998 	2.002 
Phase B Import Active Power Demand	0.779 	0.779 	0.780 
Phase B Export Active Power Demand	0.000 	0.000 	0.000 
Phase B Import Reactive Power Demand	0.000 	0.000 	0.000 
Phase B Export Reactive Power Demand	0.450 	0.450 	0.450 
Phase B Apparent Power Demand	0.900 	0.899 	0.901 
Phase C Current Demand	2.000 	1.998 	2.002 
Phase C Import Active Power Demand	0.779 	0.779 	0.780 
Phase C Export Active Power Demand	0.000 	0.000 	0.000 
Phase C Import Reactive Power Demand	0.000 	0.000 	0.000 
Phase C Export Reactive Power Demand	0.450 	0.450 	0.450 
Phase C Apparent Power Demand	0.900 	0.899 	0.901 
System Average Current Demand	2.000 	1.998 	2.002 
System Import Active Power Demand	2.338 	2.336 	2.341 
System Export Active Power Demand	0.000 	0.000 	0.000 
System Import Reactive Power Demand	0.000 	0.000 	0.000 
System Export Reactive Power Demand	1.350 	1.349 	1.351 
System Apparent Power Demand	2.700 	2.697 	2.703 
Input Channel 1 Current Demand	2.000 	1.998 	2.002 
Input Channel 1 Import Active Power Demand	0.779 	0.779 	0.780 
Input Channel 1 Export Active Power Demand	0.000 	0.000 	0.000 
Input Channel 1 Import Reactive Power Demand	0.000 	0.000 	0.000 
Input Channel 1 Export Reactive Power Demand	0.450 	0.450 	0.450 
Input Channel 1 Apparent Power Demand	0.900 	0.899 	0.901 
Input Channel 2 Current Demand	2.000 	1.998 	2.002 
Input Channel 2 Import Active Power Demand	0.779 	0.779 	0.780 
Input Channel 2 Export Active Power Demand	0.000 	0.000 	0.000 
Input Channel 2 Import Reactive Power Demand	0.000 	0.000 	0.000 
Input Channel 2 Export Reactive Power Demand	0.450 	0.450 	0.450 
Input Channel 2 Apparent Power Demand	0.900 	0.899 	0.901 
Input Channel 3 Current Demand	2.000 	1.998 	2.002 
Input Channel 3 Import Active Power Demand	0.779 	0.779 	0.780 
Input Channel 3 Export Active Power Demand	0.000 	0.000 	0.000 
Input Channel 3 Import Reactive Power Demand	0.000 	0.000 	0.000 
Input Channel 3 Export Reactive Power Demand	0.450 	0.450 	0.450 
Input Channel 3 Apparent Power Demand	0.900 	0.899 	0.901 
User Channel 1 Current Demand	2.000 	1.998 	2.002 
User Channel 1 Import Active Power Demand	2.338 	2.336 	2.341 
User Channel 1 Export Active Power Demand	0.000 	0.000 	0.000 
User Channel 1 Import Reactive Power Demand	0.000 	0.000 	0.000 
User Channel 1 Export Reactive Power Demand	1.350 	1.349 	1.351 
User Channel 1 Apparent Power Demand	2.700 	2.697 	2.703 </t>
  </si>
  <si>
    <t>Function_AcuRev4100_011_01_case5_10</t>
    <phoneticPr fontId="10" type="noConversion"/>
  </si>
  <si>
    <t>固定窗口需量，3E3p4w Y接线，设置需量参数时间16:28，DemandInterval设7分钟，上报周期15分钟，窗口从16:35开始计时，需量更新时间依次为：16:42,16:49</t>
  </si>
  <si>
    <t>1、设置固定窗口需量fixed
2、DemandInterval设7分钟，上报周期15分钟(固定窗口场景，上报周期不影响上报频率)
3、接线方式设置为3E3p4w Y接线
4、三项电压400V，三项电流2A，压流角0°，
5、设置需量参数时间16:28
5.1 检查实时需量是否全部清零0
6、窗口从16:35开始计时
7、需量更新时间是否依次为：16:42,16:49(电流、功率)， 且更新数据成功</t>
  </si>
  <si>
    <t>5.1 检查实时需量全部清零0
7、需量更新时间依次为：16:42,16:49(电流、功率)， 且更新数据成功</t>
  </si>
  <si>
    <t>Function_AcuRev4100_011_01_case6</t>
    <phoneticPr fontId="10" type="noConversion"/>
  </si>
  <si>
    <r>
      <rPr>
        <sz val="10"/>
        <color rgb="FF000000"/>
        <rFont val="微软雅黑"/>
        <family val="2"/>
        <charset val="134"/>
      </rPr>
      <t>1、设置固定窗口需量fixed
2、DemandInterval设5分钟，上报周期15分钟(固定窗口场景，上报周期不影响上报频率)
3、接线方式设置为3E3p4w Y
4、三项电压400V，三项电流0.01A，压流角0°，
5、重置需量最值，时间记录为T1
6、距离最近T1最近5分钟整点开始计时T2
7、则是否T2+5分钟首次上报，过去的5分钟需量平均值(电流、功</t>
    </r>
    <r>
      <rPr>
        <b/>
        <sz val="10"/>
        <color rgb="FF000000"/>
        <rFont val="微软雅黑"/>
        <family val="2"/>
        <charset val="134"/>
      </rPr>
      <t>率)为0</t>
    </r>
  </si>
  <si>
    <t>7、则T2+5分钟首次上报，过去的5分钟需量平均值(电流、功率)为0
8、则T2+10分钟第二次上报，过去的5分钟需量平均值(电流、功率)为0</t>
    <phoneticPr fontId="10" type="noConversion"/>
  </si>
  <si>
    <t>Function_AcuRev4100_011_01_case6_1</t>
    <phoneticPr fontId="10" type="noConversion"/>
  </si>
  <si>
    <r>
      <rPr>
        <sz val="10"/>
        <color rgb="FF000000"/>
        <rFont val="微软雅黑"/>
        <family val="2"/>
        <charset val="134"/>
      </rPr>
      <t>1、设置固定窗口需量fixed
2、DemandInterval设5分钟，上报周期15分钟(固定窗口场景，上报周期不影响上报频率)
3、接线方式设置为3E3p4w Y
4、三项电压400V，三项电流0.002A，压流角0°，
5、重置需量最值，时间记录为T1
6、距离最近T1最近5分钟整点开始计时T2
7、则是否T2+5分钟首次上报，过去的5分钟需量平均值(电流、功</t>
    </r>
    <r>
      <rPr>
        <b/>
        <sz val="10"/>
        <color rgb="FF000000"/>
        <rFont val="微软雅黑"/>
        <family val="2"/>
        <charset val="134"/>
      </rPr>
      <t>率)为0</t>
    </r>
  </si>
  <si>
    <t>Function_AcuRev4100_011_01_case7</t>
    <phoneticPr fontId="10" type="noConversion"/>
  </si>
  <si>
    <t>7、则T2+5分钟首次上报，过去的5分钟需量平均值(电流、功率)为0      
备注：输入电压大于等于10V</t>
  </si>
  <si>
    <t>Function_AcuRev4100_011_01_case7_1</t>
    <phoneticPr fontId="10" type="noConversion"/>
  </si>
  <si>
    <t>1、固定窗口需量，3E3p4w Y接线，不加电压电流， 
2、检查实时需量是否显示0</t>
    <phoneticPr fontId="10" type="noConversion"/>
  </si>
  <si>
    <t>2、检查实时需量是否显示0</t>
    <phoneticPr fontId="10" type="noConversion"/>
  </si>
  <si>
    <t>Function_AcuRev4100_011_01_case8</t>
  </si>
  <si>
    <t>1、设置固定窗口需量fixed
2、DemandInterval设5分钟，上报周期15分钟(固定窗口场景，上报周期不影响上报频率)
3、接线方式设置为
4、Ua电压400V，Ia电流2A，压流角120°
5、重置需量最值，时间记录为T1
6、距离最近T1最近5分钟整点开始计时T2
7、则是否T2+5分钟首次上报，过去的5分钟需量平均值(电流、功率)
8、则是否T2+10分钟第二次上报，过去的5分钟需量平均值(电流、功率)</t>
  </si>
  <si>
    <t>7、则T2+5分钟首次上报，过去的5分钟需量平均值(电流、功率)
8、则T2+10分钟第二次上报，过去的5分钟需量平均值(电流、功率)</t>
  </si>
  <si>
    <t>Function_AcuRev4100_011_01_case9</t>
    <phoneticPr fontId="10" type="noConversion"/>
  </si>
  <si>
    <t>1、设置固定窗口需量fixed
2、DemandInterval设5分钟，上报周期15分钟(固定窗口场景，上报周期不影响上报频率)
3、接线方式设置为
4、Ua Ub电压400V，Ia电流2A 3A，压流角210°
5、重置需量最值，时间记录为T1
6、距离最近T1最近5分钟整点开始计时T2
7、则是否T2+5分钟首次上报，过去的5分钟需量平均值(电流、功率)
8、则是否T2+10分钟第二次上报，过去的5分钟需量平均值(电流、功率)</t>
  </si>
  <si>
    <t>7、则T2+5分钟首次上报，过去的5分钟需量平均值(电流、功率)
8、则T2+10分钟第二次上报，过去的5分钟需量平均值(电流、功率)</t>
    <phoneticPr fontId="10" type="noConversion"/>
  </si>
  <si>
    <t>Function_AcuRev4100_011_01_case9_1</t>
    <phoneticPr fontId="10" type="noConversion"/>
  </si>
  <si>
    <t>1、设置固定窗口需量fixed
2、DemandInterval设5分钟，上报周期15分钟(固定窗口场景，上报周期不影响上报频率)
3、接线方式设置为
4、Ua Ub电压400V，Ia电流2A 3A，压流角330°
5、重置需量最值，时间记录为T1
6、距离最近T1最近5分钟整点开始计时T2
7、则是否T2+5分钟首次上报，过去的5分钟需量平均值(电流、功率)
8、则是否T2+10分钟第二次上报，过去的5分钟需量平均值(电流、功率)</t>
  </si>
  <si>
    <t>Function_AcuRev4100_011_01_case9_2</t>
    <phoneticPr fontId="10" type="noConversion"/>
  </si>
  <si>
    <t>1、设置固定窗口需量fixed
2、DemandInterval设5分钟，上报周期15分钟(固定窗口场景，上报周期不影响上报频率)
3、接线方式设置为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t>
  </si>
  <si>
    <t>Function_AcuRev4100_011_01_case10</t>
  </si>
  <si>
    <t>1、Acuview2上位机
2、网线/RTU串口线
3、AcuRev4100电表
4、系统已存在需量最小值比次用例中新产生的需量值小</t>
  </si>
  <si>
    <t>1、设置固定窗口需量fixed
2、DemandInterval设5分钟，上报周期10分钟(固定窗口场景，上报周期不影响上报频率)
3、接线方式设置为3E3p4w Y
4、三项电压200V，三项电流2A，压流角30°，
5、设置需量配置参数，时间记录为T1
6、距离最近T1最近10分钟整点开始计时T2
7、则是否T2+5分钟首次上报，过去的5分钟需量平均值(电流、功率)， 最大值更新正确
8、立即改变电压400V
9、则是否T2+10分钟第二次上报，过去的5分钟需量平均值(电流、功率)， 最大值更新正确</t>
  </si>
  <si>
    <t>Function_AcuRev4100_011_01_case11</t>
  </si>
  <si>
    <t>固定窗口需量，3E3p4w Y接线，设置需量配置参数时间T1，DemandInterval设5分钟， 距离最近T1最近5分钟整点开始计时T2，5分钟后首次上报，改变电压，5分钟第二次上报 (新值小于已存值)。</t>
  </si>
  <si>
    <t>1、设置固定窗口需量fixed
2、DemandInterval设5分钟，上报周期10分钟(固定窗口场景，上报周期不影响上报频率)
3、接线方式设置为3E3p4w Y
4、三项电压200V，三项电流2A，压流角30°，
5、设置需量配置参数，时间记录为T1
6、距离最近T1最近10分钟整点开始计时T2
7、则是否T2+10分钟首次上报，过去的10分钟需量平均值(电流、功率)， 最大值不变
8、立即改变电压100V
9、则是否T2+10分钟第二次上报，过去的10分钟需量平均值(电流、功率)， 最大值不变</t>
  </si>
  <si>
    <t>7、则T2+10分钟首次上报，过去的10分钟需量平均值(电流、功率)， 最大值不变
8、立即改变电压100V
9、则T2+10分钟第二次上报，过去的10分钟需量平均值(电流、功率)， 最大值不变</t>
  </si>
  <si>
    <t>Sliding window方式需量测量</t>
    <phoneticPr fontId="10" type="noConversion"/>
  </si>
  <si>
    <t>Function_AcuRev4100_011_02_case1</t>
    <phoneticPr fontId="10" type="noConversion"/>
  </si>
  <si>
    <t>滑块需量，3E3p4w Y接线，电表上电时间T1，DemandInterval设10分钟，上报周期5分钟， 距离最近T1最近10分钟整点开始计时T2，T2+10分钟后首次上报，T2+15分钟第二次上报 ，T2+20分钟第三次上报 。</t>
  </si>
  <si>
    <t>1、设置需量Sliding
2、DemandInterval设10分钟，上报周期5分钟
3、接线方式设置为3E3p4w Y
4、三项电压400V，三项电流2A，压流角0°，
5、电表掉电上电，时间记录为T1
5.1 检查实时需量是否全部清零0
6、距离最近T1最近10分钟整点开始计时T2
7、则是否T2+10分钟首次上报，过去的10分钟需量平均值(电流、功率)
8、T2+10时刻，立即改变电流为4A
9、则是否T2+15分钟第二次上报需量，且需量为过去10分钟(前5分钟电流为2A，后五分钟电流为4A)需量平均值(电流、功率)
10、则是否T2+20分钟第三次上报需量，且需量为过去10分钟(前5分钟电流为4A，后五分钟电流为4A)需量平均值(电流、功率)</t>
  </si>
  <si>
    <t>5.1 实时需量全部清零0
7、则T2+10分钟首次上报，过去的10分钟需量平均值(电流、功率)
9、则T2+15分钟第二次上报需量，且需量为过去10分钟(前5分钟电流为2A，后五分钟电流为4A)需量平均值(电流、功率)
10、则T2+20分钟第三次上报需量，且需量为过去10分钟(前5分钟电流为4A，后五分钟电流为4A)需量平均值(电流、功率)</t>
  </si>
  <si>
    <t>Function_AcuRev4100_011_02_case2</t>
    <phoneticPr fontId="10" type="noConversion"/>
  </si>
  <si>
    <t>滑块需量，3E3p4w Y接线，设置需量配置参数时间T1，DemandInterval设15分钟，上报周期5分钟， 距离最近T1最近15分钟整点开始计时T2，T2+15分钟后首次上报，T2+20分钟第二次上报 ，T2+25分钟第三次上报 。</t>
  </si>
  <si>
    <t>1、设置需量Sliding
2、DemandInterval设15分钟，上报周期5分钟
3、接线方式设置为3E3p4w Y
4、三项电压400V，三项电流2A，压流角30°，
5、 设置需量配置参数时间，时间记录为T1
5.1 检查实时需量是否全部清零0
6、距离最近T1最近15分钟整点开始计时T2
7、则是否T2+15分钟首次上报，过去的15分钟需量平均值(电流、功率)
8、T2+15时刻，立即改变电流为4A
9、则是否T2+20分钟第二次上报需量，且需量为过去15分钟(前10分钟电流为2A，后5分钟电流为4A)需量平均值(电流、功率)
10、则是否T2+25分钟第三次上报需量，且需量为过去15分钟(前5分钟电流为2A，中间5分钟4A，后五分钟电流为4A)需量平均值(电流、功率)</t>
  </si>
  <si>
    <t>5.1 实时需量全部清零0
7、则T2+15分钟首次上报，过去的15分钟需量平均值(电流、功率)
9、则T2+20分钟第二次上报需量，且需量为过去15分钟(前10分钟电流为2A，后5分钟电流为4A)需量平均值(电流、功率)
10、则T2+25分钟第三次上报需量，且需量为过去15分钟(前5分钟电流为2A，中间5分钟4A，后五分钟电流为4A)需量平均值(电流、功率)</t>
  </si>
  <si>
    <t>Function_AcuRev4100_011_02_case3</t>
    <phoneticPr fontId="10" type="noConversion"/>
  </si>
  <si>
    <t>滑块需量，3E3p4w Y接线，电表设置时钟时间T1，DemandInterval设5分钟，上报周期5分钟， 距离最近T1最近10分钟整点开始计时T2，T2+10分钟后首次上报，T2+15分钟第二次上报 ，T2+20分钟第三次上报 。</t>
  </si>
  <si>
    <t>Function_AcuRev4100_011_02_case4</t>
    <phoneticPr fontId="10" type="noConversion"/>
  </si>
  <si>
    <t>滑块需量，3E3p4w Y接线，重置需量最值时间T1，DemandInterval设20分钟，上报周期10分钟， 距离最近T1最近20分钟整点开始计时T2，T2+20分钟后首次上报，T2+30分钟第二次上报 ，T2+30分钟第三次上报 。</t>
  </si>
  <si>
    <t>1、设置需量Sliding
2、DemandInterval设20分钟，上报周期10分钟
3、接线方式设置为3E3p4w Y
4、三项电压400V，三项电流2A，压流角210°，
5、重置需量最值，时间记录为T1
5.1 检查实时需量是否全部清零0
6、距离最近T1最近20分钟整点开始计时T2
7、则T2+20分钟首次上报，过去的20分钟需量平均值(电流、功率)
8、T2+20时刻，立即改变电流为4A
9、则是否T2+25分钟第二次上报需量，且需量为过去20分钟(前15分钟电流为2A，后5分钟电流为4A)需量平均值(电流、功率)
10、则是否T2+30分钟第三次上报需量，且需量为过去20分钟(前10分钟电流为2A，后10分钟电流为4A)需量平均值(电流、功率)</t>
  </si>
  <si>
    <t>5.1 实时需量全部清零0
6、距离最近T1最近20分钟整点开始计时T2
7、则T2+20分钟首次上报，过去的20分钟需量平均值(电流、功率)
9、则T2+25分钟第二次上报需量，且需量为过去20分钟(前15分钟电流为2A，后5分钟电流为4A)需量平均值(电流、功率)
10、则T2+30分钟第三次上报需量，且需量为过去20分钟(前10分钟电流为2A，后10分钟电流为4A)需量平均值(电流、功率)</t>
  </si>
  <si>
    <t>Function_AcuRev4100_011_02_case5</t>
    <phoneticPr fontId="10" type="noConversion"/>
  </si>
  <si>
    <r>
      <rPr>
        <sz val="10"/>
        <color rgb="FF000000"/>
        <rFont val="微软雅黑"/>
        <family val="2"/>
        <charset val="134"/>
      </rPr>
      <t>1、设置需量Sliding
2、DemandInterval设</t>
    </r>
    <r>
      <rPr>
        <b/>
        <sz val="10"/>
        <color rgb="FF000000"/>
        <rFont val="微软雅黑"/>
        <family val="2"/>
        <charset val="134"/>
      </rPr>
      <t>8分钟</t>
    </r>
    <r>
      <rPr>
        <sz val="10"/>
        <color rgb="FF000000"/>
        <rFont val="微软雅黑"/>
        <family val="2"/>
        <charset val="134"/>
      </rPr>
      <t>，上报周期5分钟
3、接线方式设置为3E3p4w Y
4、三项电压400V，三项电流2A，压流角330°
5、设置需量配置参数，时间记录为T1
5.1 检查实时需量是否全部清零0
6、距离最近T1最近8分钟倍数点开始计时T2
7、则T2+8分钟首次上报，过去的8分钟需量平均值(电流、功率)
8、T2+8时刻，立即改变电流为4A
9、则是否T2+13分钟第二次上报需量，且需量为过去8分钟(前3分钟电流为2A，后5分钟电流为4A)需量平均值(电流、功率)
10、则是否T2+18分钟第三次上报需量，且需量为过去8分钟(前3分钟电流为4A，后5分钟电流为4A)需量平均值(电流、功率)</t>
    </r>
  </si>
  <si>
    <t>Function_AcuRev4100_011_02_case6</t>
  </si>
  <si>
    <t>1、设置需量Sliding
2、DemandInterval设5分钟，上报周期5分钟(固定窗口场景，上报周期不影响上报频率)
3、接线方式设置为1Element 2 Wire
4、Ua电压400V，Ia电流2A，压流角120°
5、设置需量配置参数，时间记录为T1
6、距离最近T1最近5分钟整点开始计时T2
7、则是否T2+5分钟首次上报，过去的5分钟需量平均值(电流、功率)
8、则是否T2+10分钟第二次上报，过去的5分钟需量平均值(电流、功率)</t>
  </si>
  <si>
    <t>Function_AcuRev4100_011_02_case7</t>
    <phoneticPr fontId="10" type="noConversion"/>
  </si>
  <si>
    <t>1、设置需量Sliding
2、DemandInterval设5分钟，上报周期5分钟(固定窗口场景，上报周期不影响上报频率)
3、接线方式设置为2Element 3 Wire 1Phase
4、Ua Ub电压400V，Ia电流2A 3A，压流角210°
5、设置需量配置参数，时间记录为T1
6、距离最近T1最近5分钟整点开始计时T2
7、则是否T2+5分钟首次上报，过去的5分钟需量平均值(电流、功率)
8、则是否T2+10分钟第二次上报，过去的5分钟需量平均值(电流、功率)</t>
  </si>
  <si>
    <t>Function_AcuRev4100_011_02_case7_1</t>
    <phoneticPr fontId="10" type="noConversion"/>
  </si>
  <si>
    <t>1、设置需量Sliding
2、DemandInterval设5分钟，上报周期5分钟(固定窗口场景，上报周期不影响上报频率)
3、接线方式设置为2Element 3 Wire Network
4、Ua Ub电压400V，Ia电流2A 3A，压流角330°
5、设置需量配置参数，时间记录为T1
6、距离最近T1最近5分钟整点开始计时T2
7、则是否T2+5分钟首次上报，过去的5分钟需量平均值(电流、功率)
8、则是否T2+10分钟第二次上报，过去的5分钟需量平均值(电流、功率)</t>
  </si>
  <si>
    <t>Function_AcuRev4100_011_02_case8</t>
    <phoneticPr fontId="10" type="noConversion"/>
  </si>
  <si>
    <t>滑块需量，2Element 3 Wire Delta接线，重置需量最值时间T1，DemandInterval设5分钟，上报周期15分钟， 距离最近T1最近5分钟整点开始计时T2，5分钟后首次上报，5分钟第二次上报 。</t>
  </si>
  <si>
    <t>1、设置需量Sliding
2、DemandInterval设5分钟，上报周期5分钟(固定窗口场景，上报周期不影响上报频率)
3、接线方式设置为2Element 3 Wire Delta
4、Ua Ub电压400V，Ia电流2A 3A，压流角0°
5、重置需量最值，时间记录为T1
6、距离最近T1最近5分钟整点开始计时T2
7、则是否T2+5分钟首次上报，过去的5分钟需量平均值(电流、功率)
8、则是否T2+10分钟第二次上报，过去的5分钟需量平均值(电流、功率)</t>
  </si>
  <si>
    <t>Function_AcuRev4100_011_02_case9</t>
    <phoneticPr fontId="10" type="noConversion"/>
  </si>
  <si>
    <t>滑块需量，3E3p4w Y接线，设置需量配置参数时间T1，DemandInterval设5分钟， 距离最近T1最近5分钟整点开始计时T2，5分钟后首次上报，改变电流，5分钟第二次上报 。</t>
  </si>
  <si>
    <t>1、Acuview2上位机
2、网线/RTU串口线
3、AcuRev4100电表
4、系统已存在需量最小值比次用例中新产生的需量值小</t>
    <phoneticPr fontId="10" type="noConversion"/>
  </si>
  <si>
    <t>1、设置固定窗口需量Sliding
2、DemandInterval设10分钟，上报周期5分钟
3、接线方式设置为3E3p4w Y
4、三项电压400V，三项电流5A，压流角30°，
5、设置需量配置参数，时间记录为T1
6、距离最近T1最近10分钟整点开始计时T2
7、则是否T2+10分钟首次上报，过去的10分钟需量平均值(电流、功率)， 最大值更新5A，功率也更新最大
8、T2+10， 立即改变电流2A
9、则是否T2+15分钟第二次上报，过去的10分钟（前5分钟电流为5A，后5分钟电流为2A）需量平均值(电流、功率)更新， 最大值不变</t>
  </si>
  <si>
    <t>7、则T2+10分钟首次上报，过去的10分钟需量平均值(电流、功率)， 最大值更新5A，功率也更新最大
9、则T2+15分钟第二次上报，过去的10分钟（前5分钟电流为5A，后5分钟电流为2A）需量平均值(电流、功率)更新， 最大值不变</t>
  </si>
  <si>
    <t>Function_AcuRev4100_011_02_case9_1</t>
    <phoneticPr fontId="10" type="noConversion"/>
  </si>
  <si>
    <t>滑块需量，3E3p4w Y接线，毫安CT(20A/100mA),重置需量最值时间T1，DemandInterval设5分钟，上报周期15分钟，电压均为400V,  intput1~3电流为0.01A，距离最近T1最近5分钟整点开始计时T2，15分钟后首次上报，需量值更新为0</t>
  </si>
  <si>
    <r>
      <rPr>
        <sz val="10"/>
        <color rgb="FF000000"/>
        <rFont val="微软雅黑"/>
        <family val="2"/>
        <charset val="134"/>
      </rPr>
      <t>1、设置窗口需量Sliding
2、DemandInterval设5分钟，上报周期15分钟
3、接线方式设置为3E3p4w Y
4、三项电压400V，三项电流0.01A，压流角0°，
5、重置需量最值，时间记录为T1
6、距离最近T1最近5分钟整点开始计时T2
7、则是否T2+15分钟首次上报，过去的5分钟需量平均值(电流、功</t>
    </r>
    <r>
      <rPr>
        <b/>
        <sz val="10"/>
        <color rgb="FF000000"/>
        <rFont val="微软雅黑"/>
        <family val="2"/>
        <charset val="134"/>
      </rPr>
      <t>率)为0</t>
    </r>
  </si>
  <si>
    <t>7、则T2+15分钟首次上报，过去的5分钟需量平均值(电流、功率)为0
8、则T2+30分钟第二次上报，过去的5分钟需量平均值(电流、功率)为0</t>
  </si>
  <si>
    <t>Function_AcuRev4100_011_02_case9_2</t>
    <phoneticPr fontId="10" type="noConversion"/>
  </si>
  <si>
    <t>滑块需量，3E3p4w Y接线，毫安CT(5A/333mV),重置需量最值时间T1，DemandInterval设5分钟，上报周期15分钟，电压均为400V,  intput1~3电流为0.002A，距离最近T1最近5分钟整点开始计时T2，15分钟后首次上报，需量值更新为0</t>
  </si>
  <si>
    <r>
      <t>1、设置窗口需量Sliding
2、DemandInterval设5分钟，上报周期15分钟
3、接线方式设置为3E3p4w Y
4、三项电压400V，三项电流0.002A，压流角0°，
5、重置需量最值，时间记录为T1
6、距离最近T1最近5分钟整点开始计时T2
7、则是否T2+15分钟首次上报，过去的5分钟需量平均值(电流、功</t>
    </r>
    <r>
      <rPr>
        <b/>
        <sz val="10"/>
        <color theme="1"/>
        <rFont val="微软雅黑"/>
        <family val="2"/>
        <charset val="134"/>
      </rPr>
      <t>率)为0</t>
    </r>
  </si>
  <si>
    <t xml:space="preserve">
7、则T2+15分钟首次上报，过去的5分钟需量平均值(电流、功率)为0
备注：电流输入0.00375</t>
  </si>
  <si>
    <t>Function_AcuRev4100_011_02_case9_3</t>
    <phoneticPr fontId="10" type="noConversion"/>
  </si>
  <si>
    <r>
      <t>1、设置窗口需量Sliding
2、DemandInterval设5分钟，上报周期5分钟
3、接线方式设置为3E3p4w Y
4、三项电压9V，三项电流5A，压流角0°，
5、重置需量最值，时间记录为T1
6、距离最近T1最近5分钟整点开始计时T2
7、则是否T2+5分钟首次上报，过去的5分钟需量平均值(电流、功</t>
    </r>
    <r>
      <rPr>
        <b/>
        <sz val="10"/>
        <color theme="1"/>
        <rFont val="微软雅黑"/>
        <family val="2"/>
        <charset val="134"/>
      </rPr>
      <t>率)为0</t>
    </r>
  </si>
  <si>
    <t>Function_AcuRev4100_012_01_case1</t>
  </si>
  <si>
    <t>1、连接AcuRev4100电表到Acuview2上，连接状态为connected
2、1e1P2W输电,上位机配1P2W接线，Va为120V, I_in1为4A，压流夹角0°。
4、检查上位机和HMI上input1是否只能配置Van
5、检查上位机和HMI上input1应有功功率是否正确，其他input功率为0</t>
  </si>
  <si>
    <t>4、上位机和HMI上input1只能配置Van
5、上位机和HMI上input1对应有功功率0.48kwh，其他input有功功率为0</t>
  </si>
  <si>
    <t>Function_AcuRev4100_012_01_case2</t>
    <phoneticPr fontId="10" type="noConversion"/>
  </si>
  <si>
    <t>1、连接AcuRev4100电表到Acuview2上，连接状态为connected
2、1e1P2W输电,上位机配1P2W接线，Va为120V, I_in1为4A，压流夹角0°。
4、检查上位机和HMI上input1是否只能配置Van
5、检查上位机和HMI上input1对应有功功率是否正确，其他input功率为0</t>
  </si>
  <si>
    <t>Function_AcuRev4100_012_01_case3</t>
  </si>
  <si>
    <t>1e1P2W输电,上位机配1P2W接线，上位机input1~3只能配置Van,  input1~3对应功率正确，其他input功率为0</t>
  </si>
  <si>
    <t>1、连接AcuRev4100电表到Acuview2上，连接状态为connected
2、1e1P2W输电,上位机配1P2W接线，Va为120V, I_in1~3均为4A，压流夹角0°。
4、检查上位机和HMI上input1~3是否只能配置Van
5、检查上位机和HMI上input1~3，其他input功率为0</t>
  </si>
  <si>
    <t>4、上位机和HMI上input1~3只能配置Van
5、上位机和HMI上input1~3对应有功功率均为0.48kwh，其他input有功功率为0</t>
  </si>
  <si>
    <t>Function_AcuRev4100_012_01_case3_1</t>
    <phoneticPr fontId="10" type="noConversion"/>
  </si>
  <si>
    <t>上位机配1P2W接线，上位机input1配置Van,  input13-24 有负载， 则系统phase相功率和电流需要统计所有通道数据。</t>
  </si>
  <si>
    <t>1、连接AcuRev4100电表到Acuview2上，连接状态为connected
2、1e1P2W输电,上位机配1P2W接线，Va为120V, I_in1均为4A，压流夹角0°。
3.1 input13-input24 均配置Va为120V, I_in1均为4A，压流夹角0°。且没有对应到任何通道。
4、检查上位机和HMI上input1对应有功功率是否正确，其他input功率为0
5、检查上位机和HMI上input13-input24对应有功功率是否正确
6、检查上位机和HMI上Phase的数据是否统计input13-input24数据，功率、电流均正确</t>
  </si>
  <si>
    <t>4、上位机和HMI上input1和user1对应有功功率正确，其他input功率为0
5、上位机和HMI上input13-input24对应有功功率正确
6、上位机和HMI上Phase的数据统计input13-input24数据(非用户通道)，功率、电流均正确</t>
  </si>
  <si>
    <t>Function_AcuRev4100_012_01_case4</t>
  </si>
  <si>
    <t>1e1P2W输电,上位机配1P2W接线，使用毫伏CT并联方法，上位机input1~12只能配置Van，input1~12，其他input功率为0</t>
  </si>
  <si>
    <t>1、连接AcuRev4100电表到Acuview2上，连接状态为connected
2、1e1P2W输电,上位机配1P2W接线，Va为120V, I_in1为4A，压流夹角0°。
4、检查上位机和HMI上input1~12是否只能配置Van
5、检查上位机和HMI上input1~12对应有功功率是否正确，其他input功率为0
备注:  使用毫伏CT并联方法</t>
  </si>
  <si>
    <t>4、上位机和HMI上input1~12只能配置Van
5、上位机和HMI上input1~12对应有功功率均为0.48kwh，其他input有功功率为0</t>
  </si>
  <si>
    <t>Function_AcuRev4100_012_01_case6</t>
  </si>
  <si>
    <t>1、Acuview2上位机
2、网线/RTU串口线
3、AcuRev4100电表
4、1e1P2W接线方式</t>
  </si>
  <si>
    <t>1、连接AcuRev4100电表到Acuview2上，连接状态为connected
2、1e1P2W输电,上位机配1P2W接线，Va为120V, I_in1为4A，压流夹角0°。
3、 根据最新的接线方式说明书检查上位机和HMI上real-time页面显示
4、 根据最新的接线方式上位机显示要求检查上位机的Energy、Demand、MaxDemand、THD页面显示符合预期</t>
  </si>
  <si>
    <t>1、Acuview2上位机
2、网线/RTU串口线
3、AcuRev4100电表
4、3 Element 3 Wire Delta接线方式</t>
  </si>
  <si>
    <t>1、连接AcuRev4100电表到Acuview2上，连接状态为connected
2、1e1P2W输电，上位机配1e1P2W接线，Va为120V, I_in1为4A，压流夹角0°。
3、检查上位机和HMI上input1和user1对应有功功率是否正确，其他user和input功率为0
4、测量5分钟
5、切换到2e2P3W phase1接线方式，选择清除能量
6、检查上位机和HMI上能量是否测量参数全部置为0, 电压电流测量正确</t>
  </si>
  <si>
    <t>Function_AcuRev4100_012_02_case1</t>
  </si>
  <si>
    <r>
      <t>上位机配2e2P3W phase1接线，input1~input2分别配置Va和Vc，且无法配置其他电压</t>
    </r>
    <r>
      <rPr>
        <b/>
        <sz val="10"/>
        <color theme="1"/>
        <rFont val="微软雅黑"/>
        <family val="2"/>
        <charset val="134"/>
      </rPr>
      <t>(vb,vac,vbc，Vab)</t>
    </r>
    <r>
      <rPr>
        <sz val="10"/>
        <color theme="1"/>
        <rFont val="微软雅黑"/>
        <family val="2"/>
        <charset val="134"/>
      </rPr>
      <t>，user1添加两路input，PhaseC相角为180°，input1~2和user1对应功率正确，其他user和input功率为0</t>
    </r>
  </si>
  <si>
    <r>
      <rPr>
        <sz val="10"/>
        <color rgb="FF000000"/>
        <rFont val="微软雅黑"/>
        <family val="2"/>
        <charset val="134"/>
      </rPr>
      <t>1、连接AcuRev4100电表到Acuview2上，连接状态为connected
2、上位机配2e2P3W phase1接线，
2.1、检查上位机和HMI的默认配置是否为 Va、</t>
    </r>
    <r>
      <rPr>
        <b/>
        <sz val="10"/>
        <color rgb="FF000000"/>
        <rFont val="微软雅黑"/>
        <family val="2"/>
        <charset val="134"/>
      </rPr>
      <t>Vc
2.2、 Va、Vc配置</t>
    </r>
    <r>
      <rPr>
        <sz val="10"/>
        <color rgb="FF000000"/>
        <rFont val="微软雅黑"/>
        <family val="2"/>
        <charset val="134"/>
      </rPr>
      <t>为120V, I_in1~2为4A 和5A，压流夹角0°。
（Va/Vc角度0、180°， I_in1、2角度0/180°）
3、检查上位机和HMI上input1~2分别只能配置Va和Vc，且无法配置其他电压(vb,vac,vbc，Vab)
4、检查上位机和HMI上user1最多添加两路input
6、检查上位机和HMI上input1~2和user1对应有功功率是否正确，user1的PF是否等于1，其他user和input功率为0
7、检查用户和系统的平均电流是否为4.5A。</t>
    </r>
  </si>
  <si>
    <r>
      <rPr>
        <sz val="10"/>
        <color rgb="FF000000"/>
        <rFont val="微软雅黑"/>
        <family val="2"/>
        <charset val="134"/>
      </rPr>
      <t>2.1、检查上位机和HMI的默认配置为 Va、Vc
3、上位机和HMI上input1~2只能配置Van,</t>
    </r>
    <r>
      <rPr>
        <b/>
        <sz val="10"/>
        <color rgb="FF000000"/>
        <rFont val="微软雅黑"/>
        <family val="2"/>
        <charset val="134"/>
      </rPr>
      <t>Vcn,</t>
    </r>
    <r>
      <rPr>
        <sz val="10"/>
        <color rgb="FF000000"/>
        <rFont val="微软雅黑"/>
        <family val="2"/>
        <charset val="134"/>
      </rPr>
      <t xml:space="preserve"> 且无法配置其他电压(vb,vac,vbc，Vab)
6、上位机和HMI上input1~2对应有功功率均为0.48kwh 和0.6kwh，user1的有功功率1.08kwh，其他user和input有功功率为0
7、用户和系统的平均电流为4.5A。</t>
    </r>
  </si>
  <si>
    <t>Function_AcuRev4100_012_02_case1_1</t>
    <phoneticPr fontId="10" type="noConversion"/>
  </si>
  <si>
    <r>
      <t>上位机配2e2P3W phase1接线，input1配置Va，且无法配置其他电压</t>
    </r>
    <r>
      <rPr>
        <b/>
        <sz val="10"/>
        <color theme="1"/>
        <rFont val="微软雅黑"/>
        <family val="2"/>
        <charset val="134"/>
      </rPr>
      <t>(vb,vac,vbc，Vab)</t>
    </r>
    <r>
      <rPr>
        <sz val="10"/>
        <color theme="1"/>
        <rFont val="微软雅黑"/>
        <family val="2"/>
        <charset val="134"/>
      </rPr>
      <t>，</t>
    </r>
    <r>
      <rPr>
        <b/>
        <sz val="10"/>
        <color theme="1"/>
        <rFont val="微软雅黑"/>
        <family val="2"/>
        <charset val="134"/>
      </rPr>
      <t>user1添加一路input</t>
    </r>
    <r>
      <rPr>
        <sz val="10"/>
        <color theme="1"/>
        <rFont val="微软雅黑"/>
        <family val="2"/>
        <charset val="134"/>
      </rPr>
      <t>，input1~2和user1对应功率正确，其他user和input功率为0</t>
    </r>
    <phoneticPr fontId="10" type="noConversion"/>
  </si>
  <si>
    <r>
      <rPr>
        <sz val="10"/>
        <color rgb="FF000000"/>
        <rFont val="微软雅黑"/>
        <family val="2"/>
        <charset val="134"/>
      </rPr>
      <t xml:space="preserve">1、连接AcuRev4100电表到Acuview2上，连接状态为connected
2、上位机配2e2P3W phase1接线，上位机配置为 Va
</t>
    </r>
    <r>
      <rPr>
        <b/>
        <sz val="10"/>
        <color rgb="FF000000"/>
        <rFont val="微软雅黑"/>
        <family val="2"/>
        <charset val="134"/>
      </rPr>
      <t>2.1、 Va配置</t>
    </r>
    <r>
      <rPr>
        <sz val="10"/>
        <color rgb="FF000000"/>
        <rFont val="微软雅黑"/>
        <family val="2"/>
        <charset val="134"/>
      </rPr>
      <t>为120V, I_in1为4A ，压流夹角30°。
3、检查上位机和HMI上input1是否无法配置其他电压(vb,vac,vbc，Vab)
4、检查上位机和HMI上input1和user1对应有功功率是否正确，user1的PF是否等于0.866，其他user和input功率为0
5、用户和系统的平均电流是否为2A。</t>
    </r>
  </si>
  <si>
    <t>3、上位机和HMI上input1无法配置其他电压(vb,vac,vbc，Vab)
4、上位机和HMI上input1对应有功功率均为0.416kw，user1的有功功率0.416kw，其他user和input有功功率为0
5、用户和系统的平均电流为2A。</t>
  </si>
  <si>
    <t>Function_AcuRev4100_012_02_case1_2</t>
    <phoneticPr fontId="10" type="noConversion"/>
  </si>
  <si>
    <r>
      <t>上位机配2e2P3W phase1接线，input2分别配置Vc，且无法配置其他电压</t>
    </r>
    <r>
      <rPr>
        <b/>
        <sz val="10"/>
        <color theme="1"/>
        <rFont val="微软雅黑"/>
        <family val="2"/>
        <charset val="134"/>
      </rPr>
      <t>(vb,vac,vbc，Vab)</t>
    </r>
    <r>
      <rPr>
        <sz val="10"/>
        <color theme="1"/>
        <rFont val="微软雅黑"/>
        <family val="2"/>
        <charset val="134"/>
      </rPr>
      <t>，</t>
    </r>
    <r>
      <rPr>
        <b/>
        <sz val="10"/>
        <color theme="1"/>
        <rFont val="微软雅黑"/>
        <family val="2"/>
        <charset val="134"/>
      </rPr>
      <t>user1添加一路input2</t>
    </r>
    <r>
      <rPr>
        <sz val="10"/>
        <color theme="1"/>
        <rFont val="微软雅黑"/>
        <family val="2"/>
        <charset val="134"/>
      </rPr>
      <t>，input1~2和user1对应功率正确，其他user和input功率为0</t>
    </r>
    <phoneticPr fontId="10" type="noConversion"/>
  </si>
  <si>
    <r>
      <rPr>
        <sz val="10"/>
        <color rgb="FF000000"/>
        <rFont val="微软雅黑"/>
        <family val="2"/>
        <charset val="134"/>
      </rPr>
      <t xml:space="preserve">1、连接AcuRev4100电表到Acuview2上，连接状态为connected
2、上位机配2e2P3W phase1接线，上位机配置为 Vc
</t>
    </r>
    <r>
      <rPr>
        <b/>
        <sz val="10"/>
        <color rgb="FF000000"/>
        <rFont val="微软雅黑"/>
        <family val="2"/>
        <charset val="134"/>
      </rPr>
      <t>2.1、 Vc配置</t>
    </r>
    <r>
      <rPr>
        <sz val="10"/>
        <color rgb="FF000000"/>
        <rFont val="微软雅黑"/>
        <family val="2"/>
        <charset val="134"/>
      </rPr>
      <t>为120V, I_in2为4A ，压流夹角120°。
3、检查上位机和HMI上input1是否无法配置其他电压(vb,vac,vbc，Vab)
4、检查上位机和HMI上input1和user1对应有功功率是否正确，user1的PF是否等于-0.5，其他user和input功率为0
5、用户和系统的平均电流是否为2A。</t>
    </r>
  </si>
  <si>
    <t>3、上位机和HMI上input2无法配置其他电压(vb,vac,vbc，Vab)
4、上位机和HMI上input2对应有功功率均为-0.24kw，user1的有功功率-0.24kw，其他user和input有功功率为0
5、用户和系统的平均电流为2A。</t>
  </si>
  <si>
    <t>Function_AcuRev4100_012_02_case1_3</t>
  </si>
  <si>
    <t>上位机配2e2P3W phase1接线， 系统功率数据是所有通道数据之和</t>
  </si>
  <si>
    <t>1、连接AcuRev4100电表到Acuview2上，连接状态为connected
2、上位机配2e2P3W phase1接线，上位机配置为 Va
2.1、 Va配置为220V, I_in1为4A ，压流夹角0°。
2.3、input2配置Vc，电压为220V, 电流2A，压流夹角0°。
3、检查上位机和HMI上input1和user1对应有功功率是否正确，user1的PF是否等于1.000，其他user和input功率为0
4、用户和系统的平均电流是否为3A。
5、系统的平均电流是否为3A， PhaseC 功率数据和input2 一致， 系统的总功率为input1和input2之和。</t>
  </si>
  <si>
    <t>3、上位机和HMI上input1无法配置其他电压(vb,vac,vbc，Vab)
3、上位机和HMI上input1对应有功功率均为0.88kw，user1的有功功率1.32kw，其他user和input有功功率为0
4、用户和系统的平均电流为3A。
5、系统的平均电流为3A， PhaseC 功率数据和input2 一致， 系统的总功率为input1和input2之和。</t>
  </si>
  <si>
    <t>2e2P3W phase1输电，上位机配2e2P3W phase1接线，input1~input2不能配置Va和Va，或者Vc和Vc</t>
  </si>
  <si>
    <t>1、上位机配2e2P3W phase1接线，
2、检查上位机input1~input2是否可以配置Va和Va，或者Vc和Vc， 且无法配置其他电压(vb,vac,vbc，Vab)</t>
  </si>
  <si>
    <t>1、 上位机iinput1~input默认配置为Va、Vc
2、上位机input1~input2不能配置Va和Va，或者Vc和Vc， 且无法配置其他电压(vb,vac,vbc，Vab)</t>
  </si>
  <si>
    <t>Function_AcuRev4100_012_02_case3</t>
    <phoneticPr fontId="10" type="noConversion"/>
  </si>
  <si>
    <t>2e2P3W phase1输电，上位机配2e2P3W phase1接线，input1~24分别配置(Va，Vc)，且无法配置其他电压，user1~12分别添加两路input，PhaseB相角180°，input1~24和user1~12对应功率正确，其他user和input功率为0</t>
  </si>
  <si>
    <t>1、连接AcuRev4100电表到Acuview2上，连接状态为connected
2、上位机配2e2P3W phase1接线，Va Vc为120V,  I_in1、 I_in2为4A ，压流夹角0°。
3、上位机和HMI上user1~12依次添加24路电流input
4、上位机和HMI上24路电压依次成对配置(Van,Vcn)
5、检查上位机和HMI上input1和user1对应有功功率是否正确，其他user和input功率为0</t>
  </si>
  <si>
    <t>5、上位机和HMI上input1~2对应有功功率均为0.48kwh，user1~12的有功功率均为0.96kwh，其他user和input有功功率为0</t>
  </si>
  <si>
    <t>Function_AcuRev4100_012_02_case4</t>
    <phoneticPr fontId="10" type="noConversion"/>
  </si>
  <si>
    <t>1、连接AcuRev4100电表到Acuview2上，连接状态为connected
2、2e2P3W phase1输电，上位机配2e2P3W phase1接线，Va Vc为120V, I_in1~2为4A，压流夹角0°。
4、检查上位机和HMI上input1~2和user1对应有功功率是否正确，其他user和input功率为0
5、测量5分钟
6、切换到1e1P2W接线方式
7、检查上位机和HMI上电压、电流、功率是否与1e1P2W接线方式数据一致，源接线方式多出测量参数全部为0</t>
  </si>
  <si>
    <t>4、上位机和HMI上input1~2和user1对应有功功率正确，其他user和input功率为0
7、上位机和HMI上电压、电流、功率与1e1P2W接线方式数据一致，源接线方式多出测量参数全部为”-“
 V13版本 2025/5/15：多出的参数显示”-“</t>
  </si>
  <si>
    <t>Function_AcuRev4100_012_02_case4_1</t>
  </si>
  <si>
    <t>1、连接AcuRev4100电表到Acuview2上，连接状态为connected
2、电源输入220 V、220 V 5A 5A，上位机上从2e2P3W phase1接线 切换到2e2P3W delta接线，
3、关闭交流源输入，
4、上位机相电压的界面还还显示电压是否为0V。</t>
  </si>
  <si>
    <t>Function_AcuRev4100_012_02_case5</t>
  </si>
  <si>
    <t>2e2P3W phase1接线测量5分钟， 切换到1e1P2W接线方式，再次切换到2e2P3W phase1接线，检查HMI和上位机上能量是否全部被置为0, 电压电流测量正确</t>
  </si>
  <si>
    <t>1、连接AcuRev4100电表到Acuview2上，连接状态为connected
2、2e2P3W phase1输电，上位机配2e2P3W phase1接线，Va Vc为120V, I_in1~2为4A，压流夹角0°。
4、检查上位机和HMI上input1~2和user1对应有功功率是否正确，其他user和input功率为0
5、测量5分钟
6、切换到1e1P2W接线方式，弹窗询问是否清除能量时，选择是
7、立即切换到2e2P3W phase1接线方式
8、检查上位机和HMI上能量是否测量参数全部置为0, 电压电流测量正确</t>
  </si>
  <si>
    <t>3、上位机和HMI上input1~2分别只能配置Va和Vb，且无法配置其他电压
4、上位机和HMI上input1~2和user1对应有功功率正确，其他user和input功率为0
8、上位机和HMI上能量测量参数全部置为0, 电压电流测量正确</t>
  </si>
  <si>
    <t>Function_AcuRev4100_012_02_case6</t>
  </si>
  <si>
    <t>1、连接AcuRev4100电表到Acuview2上，连接状态为connected
2、1e1P2W输电,上位机配2e2P3W phase1接线，Va为120V, I_in1为4A，压流夹角0°。
3、 根据最新的接线方式说明书检查上位机和HMI上real-time显示
4、 根据最新的接线方式上位机显示要求检查上位机的Energy、Demand、MaxDemand、THD页面显示符合预期</t>
  </si>
  <si>
    <t>Function_AcuRev4100_012_02_case7</t>
  </si>
  <si>
    <r>
      <rPr>
        <sz val="10"/>
        <color rgb="FF000000"/>
        <rFont val="微软雅黑"/>
        <family val="2"/>
        <charset val="134"/>
      </rPr>
      <t>1、连接AcuRev4100电表到Acuview2上，连接状态为connected
2、上位机配2e2P3W phase1接线，
2.1、检查上位机和HMI的默认配置是否为 Va、</t>
    </r>
    <r>
      <rPr>
        <b/>
        <sz val="10"/>
        <color rgb="FF000000"/>
        <rFont val="微软雅黑"/>
        <family val="2"/>
        <charset val="134"/>
      </rPr>
      <t>Vc
2.2、 Va、Vc配置</t>
    </r>
    <r>
      <rPr>
        <sz val="10"/>
        <color rgb="FF000000"/>
        <rFont val="微软雅黑"/>
        <family val="2"/>
        <charset val="134"/>
      </rPr>
      <t>为120V, I_in1~2为4A 和5A，压流夹角0°。
（Va/Vc角度0、180°， I_in1、2角度0/180°）
3、检查上位机和HMI上input1~2和user1对应有功功率是否正确，user1的PF是否等于1，其他user和input功率为0
4、检查用户和系统的平均电流是否为4.5A。
5、修改源上Va的幅值为0，检查Va的角度功率均为0、input1电流幅值正常，角度功率均为0，Vc和Input2的角度为0，电压电流幅值以及功率维持之前的数值不受影响
6、 从源上关闭输入，再按照关闭前的配置直接打开输入
7、 检查Va的角度功率均为0、input1电流幅值正常，角度功率均为0，Vc和Input2的角度为0，电压电流幅值以及功率维持之前的数值不受影响</t>
    </r>
  </si>
  <si>
    <t>2.1、检查上位机和HMI的默认配置为 Va、Vc
3、上位机和HMI上input1~2对应有功功率均为0.48kw和0.6kwh，user1的有功功率1.08kwh，其他user和input有功功率为0
4、用户和系统的平均电流为4.5A。
5-7、 Va的角度功率均为0、input1电流幅值正常，角度功率均为0，Vc和Input2的角度为0，电压电流幅值以及功率维持之前的数值不受影响</t>
  </si>
  <si>
    <t>Function_AcuRev4100_012_02_case8</t>
  </si>
  <si>
    <t>2e2P3W phase1接线配置，配置任意user没有input Channel，检查对应user 的“显示”符合预期</t>
  </si>
  <si>
    <t>1、Acuview2上位机
2、网线/RTU串口线
3、AcuRev4100电表
4、2 Element 3 Wire 1 Phase接线方式</t>
  </si>
  <si>
    <t>1、连接AcuRev4100电表到Acuview2上，连接状态为connected
2、上位机配2e2P3W phase1接线，配置user1的所有input channel为none
3、 根据最新的接线方式说明书检查上位机和HMI上real-time显示
4、 根据最新的接线方式上位机显示要求检查上位机的Energy、Demand、MaxDemand、THD页面显示符合预期</t>
  </si>
  <si>
    <t>Function_AcuRev4100_012_03_case1_1</t>
  </si>
  <si>
    <r>
      <rPr>
        <sz val="10"/>
        <color rgb="FF000000"/>
        <rFont val="微软雅黑"/>
        <family val="2"/>
        <charset val="134"/>
      </rPr>
      <t>1、连接AcuRev4100电表到Acuview2上，连接状态为connected
2、源依旧按照Y模式输电（Ua为100V，φua为0°，Ub为100V， 短接连到电表Un，φub为240°，Uc为100V，φuc为120°），上位机配2e2P3W delta接线，（I_in1为4A、0°，I_in2为0A、0°，I_in3为5A、120°）</t>
    </r>
    <r>
      <rPr>
        <sz val="10"/>
        <color rgb="FFFF0000"/>
        <rFont val="微软雅黑"/>
        <family val="2"/>
        <charset val="134"/>
      </rPr>
      <t>，I_in1为4A、0°，I_in2为0A、0°，I_in3为5A、120°</t>
    </r>
    <r>
      <rPr>
        <sz val="10"/>
        <color rgb="FF000000"/>
        <rFont val="微软雅黑"/>
        <family val="2"/>
        <charset val="134"/>
      </rPr>
      <t>同时从源上把电流的input2和input3调换输出位置），上位机测量到的Ia和Ib分别为4A 和5A， 角度φI1~2为330°，90°。【360°，120°】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r>
  </si>
  <si>
    <t>Function_AcuRev4100_012_03_case1_2</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</si>
  <si>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I_in1为5A、300°，I_in2为0A、0°，I_in3为5A、60°</t>
    </r>
    <r>
      <rPr>
        <sz val="10"/>
        <color rgb="FF000000"/>
        <rFont val="微软雅黑"/>
        <family val="2"/>
        <charset val="134"/>
      </rPr>
      <t>，同时从源上把电流的input2和input3调换输出位置），上位机测量到的Ia和Ib均为5A， 角度φI1~2为270°，30°。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r>
  </si>
  <si>
    <t>Function_AcuRev4100_012_03_case1_3</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</si>
  <si>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I_in1为5A、240°，I_in2为0A、0°，I_in3为5A、0°</t>
    </r>
    <r>
      <rPr>
        <sz val="10"/>
        <color rgb="FF000000"/>
        <rFont val="微软雅黑"/>
        <family val="2"/>
        <charset val="134"/>
      </rPr>
      <t>，同时从源上把电流的input2和input3调换输出位置），上位机测量到的Ia和Ib均为5A， 角度φI1~2为210°，330°。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r>
  </si>
  <si>
    <t>Function_AcuRev4100_012_03_case1_4</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</si>
  <si>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I_in1为5A、150°，I_in2为0A、0°，I_in3为5A、270°</t>
    </r>
    <r>
      <rPr>
        <sz val="10"/>
        <color rgb="FF000000"/>
        <rFont val="微软雅黑"/>
        <family val="2"/>
        <charset val="134"/>
      </rPr>
      <t>，同时从源上把电流的input2和input3调换输出位置），上位机测量到的Ia和Ib均为5A， 角度φI1~2为120°，240°。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r>
  </si>
  <si>
    <t>Function_AcuRev4100_012_03_case1_5</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</si>
  <si>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I_in1为5A、30°，I_in2为0A、0°，I_in3为5A、150°</t>
    </r>
    <r>
      <rPr>
        <sz val="10"/>
        <color rgb="FF000000"/>
        <rFont val="微软雅黑"/>
        <family val="2"/>
        <charset val="134"/>
      </rPr>
      <t>，同时从源上把电流的input2和input3调换输出位置），上位机测量到的Ia和Ib均为5A，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备注: 上位机和HMI显示相角均以Vab为参考，计算电能时候，夹角可以使用线电压的与电流角度直接矢量计算。</t>
    </r>
  </si>
  <si>
    <t>Function_AcuRev4100_012_03_case1_2</t>
    <phoneticPr fontId="10" type="noConversion"/>
  </si>
  <si>
    <t>上位机配2e2P3W delta接线，input1~input2分别配置Vab、Vbc，不支持用户修改</t>
    <phoneticPr fontId="10" type="noConversion"/>
  </si>
  <si>
    <t>1、上位机配2e2P3W delta接线，
2、检查input1~input2是否配置Vab、Vbc，
3、上位机上是否支持用户修改电压配置修改</t>
  </si>
  <si>
    <t>2、input1~input2默认配置Vab、Vbc，
3、上位机上不支持用户修改电压配置修改</t>
  </si>
  <si>
    <t>Function_AcuRev4100_012_03_case3</t>
  </si>
  <si>
    <t>2e2P3W delta输电，上位机配2e2P3W delta接线，使用毫伏CT并联方法，input1~24分别配置Vab、Vbc，且无法配置Van/vbn/Vcn/Vca，user1最多加两路input，Va、Vc相角为(30°、90°)，模拟φuab，φubc，φuca平衡(0° 240° 120° )，压流夹角为330°，input1~24和user1~12对应功率正确</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</si>
  <si>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I_in1为5A、30°，I_in2为0A、0°，I_in3为5A、150°</t>
    </r>
    <r>
      <rPr>
        <sz val="10"/>
        <color rgb="FF000000"/>
        <rFont val="微软雅黑"/>
        <family val="2"/>
        <charset val="134"/>
      </rPr>
      <t>，同时从源上把电流的input2和input3调换输出位置），上位机测量到的Ia和Ib均为5A，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7、检查上位机和HMI上input1~24和user1-8对应有功功率是否正确
备注: 上位机和HMI显示相角均以Vab为参考，计算电能时候，夹角可以使用线电压的与电流角度直接矢量计算。</t>
    </r>
  </si>
  <si>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7、上位机和HMI上user1-12和system对应有功功率正确，
用例修改2025/6/27：
系统：P=1.299kwh，Q=-0.75kvar，S=1.500kva，PF= 0.866
用户：Puser1=1.299kwhkwh，Quser1=-0.75kwh，Suser1=1.500kva，PF= 0.866
备注计算方式：
S = (Uab * Ia + Ubc * Ic) * cos(30)
P = S * cos(压流角)
Q= S^2 - P^2 开根号
压流角： Uab、Ubc、Uca 角度为0°、240°、120°，
Ia、Ic 是0°、120°，换算Iab、Ica是 30°、150°
比较Uab和Iab、Uca和Ica的压流角是330
夹角在第四象限，Q为负数【一二象限为正数、三四象限为负数】</t>
  </si>
  <si>
    <t>上个版本问题1 2 3依然存在
【问题1】2e2P3W delta输电，上位机配2e2P3W delta接线 ，输入Vab， Vbc为100V， 上位机上相电压Van Vbn Vcn Vavage显示100V 0V  100V，66.69V电压角度显示0° 120°  60°， 预期: 上位机上相电压Van Vbn Vcn 不显示，电压角度显示不显示
【问题2】2e2P3W delta输电，上位机配2e2P3W delta接线, 上位机上能选择Va, Vb, Vc, 预期:只能选择 Vca,Vcb, Vab
【问题3】2e2P3W delta输电，上位机配2e2P3W delta接线， 上位机能选择三路负载， 预期: 只能选择2路负载。"</t>
  </si>
  <si>
    <t>Function_AcuRev4100_012_03_case4</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</si>
  <si>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I_in1为5A、30°，I_in2为0A、0°，I_in3为5A、150°</t>
    </r>
    <r>
      <rPr>
        <sz val="10"/>
        <color rgb="FF000000"/>
        <rFont val="微软雅黑"/>
        <family val="2"/>
        <charset val="134"/>
      </rPr>
      <t>，同时从源上把电流的input2和input3调换输出位置），上位机测量到的Ia和Ib均为5A， 角度φI1~2为0°，120°。
3、检查上位机和HMI上input1~2配置是否无法配置Va/Vb/Vc，Vac
3.1 检查上位机和HMI上Va/Vb/Vc电压是否为-
4、检查上位机和HMI上input1~3是否可以配置电压Vab、Vbc
4.1  检查上位机和HMI上Vab、Vbc、Vca电压是否为173.205V
5、检查上位机和HMI上user1是否最多添加两路input
6、检查上位机和HMI上Vab、Vbc、Vca相角为(0°、240°、120°)
7、检查上位机和HMI上user1和system对应所有功率是否正确，其他A/B/C相和input功率为-，其他user 功率为0
8、测量5分钟
9、切换到1e1P2W接线方式
10、立即切换到2e2P3W delta接线方式
11、检查上位机和HMI上能量是否测量参数全部置为0, 电压电流测量正确
备注: 上位机和HMI显示相角均以Vab为参考，计算电能时候，夹角可以使用线电压的与电流角度直接矢量计算。</t>
    </r>
  </si>
  <si>
    <t>Function_AcuRev4100_012_03_case6</t>
  </si>
  <si>
    <r>
      <rPr>
        <sz val="10"/>
        <color rgb="FF000000"/>
        <rFont val="微软雅黑"/>
        <family val="2"/>
        <charset val="134"/>
      </rPr>
      <t>1、连接AcuRev4100电表到Acuview2上，连接状态为connected
2、源依旧按照Y模式输电（Ua为100V，φua为0°，Ub短接连到电表Un，φua为240°，Uc为100V，φuc为120°），上位机配2e2P3W delta接线，</t>
    </r>
    <r>
      <rPr>
        <sz val="10"/>
        <color rgb="FFFF0000"/>
        <rFont val="微软雅黑"/>
        <family val="2"/>
        <charset val="134"/>
      </rPr>
      <t>（I_in1为4A、0°，I_in2为0A、0°，I_in3为5A、120°</t>
    </r>
    <r>
      <rPr>
        <sz val="10"/>
        <color rgb="FF000000"/>
        <rFont val="微软雅黑"/>
        <family val="2"/>
        <charset val="134"/>
      </rPr>
      <t>，同时从源上把电流的input2和input3调换输出位置），上位机测量到的Ia和Ib分别为4A 和5A， 角度φI1~2为330°，90°。
3、 根据最新的接线方式说明书检查上位机和HMI上real-time显示
4、 根据最新的接线方式上位机显示要求检查上位机的Energy、Demand、MaxDemand、THD页面显示符合预期</t>
    </r>
  </si>
  <si>
    <t>Function_AcuRev4100_012_03_case7</t>
  </si>
  <si>
    <t>1、连接AcuRev4100电表到Acuview2上，连接状态为connected
2、源依旧按照Y模式输电（Ua为100V，φua为0°，Ub为100V，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3、 检查上位机和HMI上Vab、Vbc、Vca电压是否为173.205V
4、检查上位机和HMI上Vab、Vbc、Vca相角为(0°、240°、120°)
5、检查上位机和HMI上user1和system对应所有功率是否正确，其他A/B/C相和input功率为-，其他user 功率为0
6、修改源上Va的幅值为0，检查Vab的角度功率均为0、input1电流幅值正常，角度功率均为0，Vbc、Vca和Input2的角度为0，电压电流幅值以及功率维持之前的数值不受影响
7、 从源上关闭输入，再按照关闭前的配置直接打开输入
8、 检查Vab的角度功率均为0、input1电流幅值正常，角度功率均为0，Vbc、Vca和Input2的角度为0，电压电流幅值以及功率维持之前的数值不受影响</t>
  </si>
  <si>
    <t>Function_AcuRev4100_012_04_case1</t>
    <phoneticPr fontId="10" type="noConversion"/>
  </si>
  <si>
    <t>上位机配2e2p3w network接线，input1~input2分别配电压Van和Vbn，user1添加两路input，电压配置Va、Vb相角为(0°、240°)，input1~2和user1对应功率正确，其他user和input功率为0</t>
  </si>
  <si>
    <r>
      <rPr>
        <sz val="10"/>
        <color rgb="FF000000"/>
        <rFont val="微软雅黑"/>
        <family val="2"/>
        <charset val="134"/>
      </rPr>
      <t>1、连接AcuRev4100电表到Acuview2上，连接状态为connected
2、上位机配2e2p3w network接线，Va、Vb、Vc均为120V, I_in1~2为3A， 4A，压流夹角0°，Va、Vb、Vc相角为(0°、240°、120°)。
3、上位机和HMI上input1~2配置电压</t>
    </r>
    <r>
      <rPr>
        <b/>
        <sz val="10"/>
        <color rgb="FF000000"/>
        <rFont val="微软雅黑"/>
        <family val="2"/>
        <charset val="134"/>
      </rPr>
      <t xml:space="preserve">Van和Vbn
</t>
    </r>
    <r>
      <rPr>
        <sz val="10"/>
        <color rgb="FF000000"/>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</si>
  <si>
    <t>4、上位机和HMI上user1~12无法添加三路input
6、上位机和HMI上input1~2对应有功功率均为
Phase A Active Power	0.36000 	0.35928 	0.36072 
Phase A Reactive Power	0.00000 	0.00000 	0.00000 
Phase A Apparent Power	0.36000 	0.35928 	0.36072 
Phase A Power Factor	1.00000 	0.99800 	1.00200 
Phase B Active Power	0.48000 	0.47904 	0.48096 
Phase B Reactive Power	0.00000 	0.00000 	0.00000 
Phase B Apparent Power	0.48000 	0.47904 	0.48096 
Phase B Power Factor	1.00000 	0.99800 	1.00200
user1的有功功率0.36000+0.48000kwh，其他user和input有功功率为0
7、user1的电流为3.5A</t>
  </si>
  <si>
    <t>Function_AcuRev4100_012_04_case1_1</t>
    <phoneticPr fontId="10" type="noConversion"/>
  </si>
  <si>
    <t>上位机配2e2p3w network接线，通道电压不支持配置Vab/Vbc/Vca。</t>
  </si>
  <si>
    <t>1、连接AcuRev4100电表到Acuview2上，连接状态为connected
2、上位机配2e2p3w network接线
3、检查上位机和HMI上input1-24配置是否可配置Vab/Vbc/Vca.</t>
  </si>
  <si>
    <t>3、上位机和HMI上input1-24配置无法配置Vab/Vbc/Vca.</t>
  </si>
  <si>
    <t>Function_AcuRev4100_012_04_case2</t>
  </si>
  <si>
    <t>上位机配2e2p3w network接线，input1~input2分别配Van和Vcn，且无法配Vcn/Vbc/Vac，user1添加两路input，电压配置Va、Vb相角为(0°、240°)，input1~2和user1对应功率正确，其他user和input功率为0</t>
    <phoneticPr fontId="10" type="noConversion"/>
  </si>
  <si>
    <r>
      <rPr>
        <sz val="10"/>
        <color rgb="FF000000"/>
        <rFont val="微软雅黑"/>
        <family val="2"/>
        <charset val="134"/>
      </rPr>
      <t>1、连接AcuRev4100电表到Acuview2上，连接状态为connected
2、上位机配2e2p3w network接线，Va、Vb、Vc均为120V, I_in1~2为3A， 4A，压流夹角30°，Va、Vb、Vc相角为(0°、240°、120°)。
3、上位机和HMI上input1~2配置电压</t>
    </r>
    <r>
      <rPr>
        <b/>
        <sz val="10"/>
        <color rgb="FF000000"/>
        <rFont val="微软雅黑"/>
        <family val="2"/>
        <charset val="134"/>
      </rPr>
      <t xml:space="preserve">Van和Vcn
</t>
    </r>
    <r>
      <rPr>
        <sz val="10"/>
        <color rgb="FF000000"/>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</si>
  <si>
    <t>Function_AcuRev4100_012_04_case3</t>
  </si>
  <si>
    <t>上位机配2e2p3w network接线，input1分别配Van，user1添加1路input，input1~2和user1对应功率正确，其他user和input功率为0</t>
  </si>
  <si>
    <r>
      <rPr>
        <sz val="10"/>
        <color rgb="FF000000"/>
        <rFont val="微软雅黑"/>
        <family val="2"/>
        <charset val="134"/>
      </rPr>
      <t>1、连接AcuRev4100电表到Acuview2上，连接状态为connected
2、上位机配2e2p3w network接线，Va、Vb、Vc均为120V, I_in1~2为3A，压流夹角210°，Va、Vb、Vc相角为(0°、240°、120°)。
3、上位机和HMI上input1配置电压</t>
    </r>
    <r>
      <rPr>
        <b/>
        <sz val="10"/>
        <color rgb="FF000000"/>
        <rFont val="微软雅黑"/>
        <family val="2"/>
        <charset val="134"/>
      </rPr>
      <t xml:space="preserve">Van
</t>
    </r>
    <r>
      <rPr>
        <sz val="10"/>
        <color rgb="FF000000"/>
        <rFont val="微软雅黑"/>
        <family val="2"/>
        <charset val="134"/>
      </rPr>
      <t>5、检查上位机和HMI上user1添加1路input1
6、检查上位机和HMI上input1和user1对应有功功率是否正确，其他user和input功率为0
7、user1的电流是否为3A</t>
    </r>
  </si>
  <si>
    <t>4、上位机和HMI上user1~12无法添加三路input
6、上位机和HMI上input1~2对应有功功率均为
Phase A Active Power	-0.31177 	-0.31115 	-0.31239 
Phase A Reactive Power	-0.18000 	-0.17964 	-0.18036 
Phase A Apparent Power	0.36000 	0.35928 	0.36072 
Phase A Power Factor	-0.86603 	-0.86429 	-0.86776 
user1的有功功率-0.31177kwh，其他user和input有功功率为0
7、user1的电流为3A</t>
  </si>
  <si>
    <t>Function_AcuRev4100_012_04_case4</t>
  </si>
  <si>
    <t>上位机配2e2p3w network接线，input1分别配Vbn，user1添加1路input，input1~2和user1对应功率正确，其他user和input功率为0</t>
    <phoneticPr fontId="10" type="noConversion"/>
  </si>
  <si>
    <r>
      <rPr>
        <sz val="10"/>
        <color rgb="FF000000"/>
        <rFont val="微软雅黑"/>
        <family val="2"/>
        <charset val="134"/>
      </rPr>
      <t>1、连接AcuRev4100电表到Acuview2上，连接状态为connected
2、上位机配2e2p3w network接线，Va、Vb、Vc均为120V, I_in1~2为3A，压流夹角330°，Va、Vb、Vc相角为(0°、240°、120°)。
3、上位机和HMI上input1配置电压</t>
    </r>
    <r>
      <rPr>
        <b/>
        <sz val="10"/>
        <color rgb="FF000000"/>
        <rFont val="微软雅黑"/>
        <family val="2"/>
        <charset val="134"/>
      </rPr>
      <t xml:space="preserve">Vbn
</t>
    </r>
    <r>
      <rPr>
        <sz val="10"/>
        <color rgb="FF000000"/>
        <rFont val="微软雅黑"/>
        <family val="2"/>
        <charset val="134"/>
      </rPr>
      <t>5、检查上位机和HMI上user1添加1路input1
6、检查上位机和HMI上input1和user1对应有功功率是否正确，其他user和input功率为0
7、user1的电流是否为3A</t>
    </r>
  </si>
  <si>
    <t>4、上位机和HMI上user1~12无法添加三路input
6、上位机和HMI上input1~2对应有功功率均为
Phase B Active Power	0.31177 	0.31115 	0.31239 
Phase B Reactive Power	-0.18000 	-0.17964 	-0.18036 
Phase B Apparent Power	0.36000 	0.35928 	0.36072 
Phase B Power Factor	0.86603 	0.86429 	0.86776 
user1的有功功率0.31177kwh，其他user和input有功功率为0
7、user1的电流为3A</t>
  </si>
  <si>
    <t>Function_AcuRev4100_012_04_case5</t>
  </si>
  <si>
    <t>上位机配2e2p3w network接线，input1分别配Vcn，user1添加1路input，input1~2和user1对应功率正确，其他user和input功率为0</t>
  </si>
  <si>
    <r>
      <rPr>
        <sz val="10"/>
        <color rgb="FF000000"/>
        <rFont val="微软雅黑"/>
        <family val="2"/>
        <charset val="134"/>
      </rPr>
      <t>1、连接AcuRev4100电表到Acuview2上，连接状态为connected
2、上位机配2e2p3w network接线，Va、Vb、Vc均为120V, I_in1~2为3A，压流夹角0°，Va、Vb、Vc相角为(0°、240°、120°)。
3、上位机和HMI上input1配置电压</t>
    </r>
    <r>
      <rPr>
        <b/>
        <sz val="10"/>
        <color rgb="FF000000"/>
        <rFont val="微软雅黑"/>
        <family val="2"/>
        <charset val="134"/>
      </rPr>
      <t xml:space="preserve">Vcn
</t>
    </r>
    <r>
      <rPr>
        <sz val="10"/>
        <color rgb="FF000000"/>
        <rFont val="微软雅黑"/>
        <family val="2"/>
        <charset val="134"/>
      </rPr>
      <t>5、检查上位机和HMI上user1添加1路input1
6、检查上位机和HMI上input1和user1对应有功功率是否正确，其他user和input功率为0
7、user1的电流是否为3A</t>
    </r>
  </si>
  <si>
    <t>4、上位机和HMI上user1~12无法添加三路input
6、上位机和HMI上input1~2对应有功功率均为
Phase A Active Power	0.36000 	0.35928 	0.36072 
Phase A Reactive Power	0.00000 	0.00000 	0.00000 
Phase A Apparent Power	0.36000 	0.35928 	0.36072 
Phase A Power Factor	1.00000 	0.99800 	1.00200 
user1的有功功率0.36000kwh，其他user和input有功功率为0
7、user1的电流为3A</t>
  </si>
  <si>
    <t>Function_AcuRev4100_012_04_case6</t>
  </si>
  <si>
    <t>1、连接AcuRev4100电表到Acuview2上，连接状态为connected
2、上位机配2e2p3w network接线 
2.1、input2配置Vc，电压为220, 电流2A，压流夹角0°。user1配置input2
2.2、input1配置Va，电压为220, 电流4A，压流夹角0°。input1 不配置任何用户
3、检查上位机和HMI上input1和user1对应有功功率是否正确，
4、用户user1和系统的平均电流是否为2A。
5、PhaseC 功率数据和input2 一致， 系统的总功率为input1和input2之和。</t>
  </si>
  <si>
    <t>Function_AcuRev4100_012_04_case7</t>
  </si>
  <si>
    <r>
      <rPr>
        <sz val="10"/>
        <color rgb="FF000000"/>
        <rFont val="微软雅黑"/>
        <family val="2"/>
        <charset val="134"/>
      </rPr>
      <t>1、连接AcuRev4100电表到Acuview2上，连接状态为connected
2、上位机配2e2p3w network接线，Va、Vb、Vc均为120V, I_in1~2为3A， 4A，压流夹角0°，Va、Vb、Vc相角为(0°、240°、120°)。
3、上位机和HMI上input1~2配置电压</t>
    </r>
    <r>
      <rPr>
        <b/>
        <sz val="10"/>
        <color rgb="FF000000"/>
        <rFont val="微软雅黑"/>
        <family val="2"/>
        <charset val="134"/>
      </rPr>
      <t xml:space="preserve">Van和Vbn
</t>
    </r>
    <r>
      <rPr>
        <sz val="10"/>
        <color rgb="FF000000"/>
        <rFont val="微软雅黑"/>
        <family val="2"/>
        <charset val="134"/>
      </rPr>
      <t xml:space="preserve">4、检查上位机和HMI上user1~12是否无法添加三路input
5、检查上位机和HMI上user1~12添加两路input
6、检查上位机和HMI上input1和user1~12对应有功功率是否正确，其他user和input功率为0
</t>
    </r>
    <r>
      <rPr>
        <sz val="10"/>
        <color rgb="FFFF0000"/>
        <rFont val="微软雅黑"/>
        <family val="2"/>
        <charset val="134"/>
      </rPr>
      <t>7、user1~12的电流是否为3.5A</t>
    </r>
  </si>
  <si>
    <r>
      <rPr>
        <sz val="10"/>
        <color rgb="FF000000"/>
        <rFont val="微软雅黑"/>
        <family val="2"/>
        <charset val="134"/>
      </rPr>
      <t xml:space="preserve">4、上位机和HMI上user1~12无法添加三路input
6、上位机和HMI上input1~2对应有功功率均为
Phase A Active Power	0.36000 	0.35928 	0.36072 
Phase A Reactive Power	0.00000 	0.00000 	0.00000 
Phase A Apparent Power	0.36000 	0.35928 	0.36072 
Phase A Power Factor	1.00000 	0.99800 	1.00200 
Phase B Active Power	0.48000 	0.47904 	0.48096 
Phase B Reactive Power	0.00000 	0.00000 	0.00000 
Phase B Apparent Power	0.48000 	0.47904 	0.48096 
Phase B Power Factor	1.00000 	0.99800 	1.00200
user1~12的有功功率0.36000+0.48000kwh
</t>
    </r>
    <r>
      <rPr>
        <sz val="10"/>
        <color rgb="FFFF0000"/>
        <rFont val="微软雅黑"/>
        <family val="2"/>
        <charset val="134"/>
      </rPr>
      <t>7、user1~12的电流为3.5A</t>
    </r>
  </si>
  <si>
    <t>Function_AcuRev4100_012_04_case11</t>
  </si>
  <si>
    <t>上位机配2e2p3w network接线，input1~input2分别配Vbn和Vcn，user1添加两路input，电压配置Va、Vb相角为(0°、240°)，input1~2和user1对应功率正确，其他user和input功率为0</t>
    <phoneticPr fontId="10" type="noConversion"/>
  </si>
  <si>
    <r>
      <rPr>
        <sz val="10"/>
        <color rgb="FF000000"/>
        <rFont val="微软雅黑"/>
        <family val="2"/>
        <charset val="134"/>
      </rPr>
      <t>1、连接AcuRev4100电表到Acuview2上，连接状态为connected
2、上位机配2e2p3w network接线，Va、Vb、Vc均为120V, I_in1~2为3A， 4A，压流夹角120°，Va、Vb、Vc相角为(0°、240°、120°)。
3、上位机和HMI上input1~2配置电压</t>
    </r>
    <r>
      <rPr>
        <b/>
        <sz val="10"/>
        <color rgb="FF000000"/>
        <rFont val="微软雅黑"/>
        <family val="2"/>
        <charset val="134"/>
      </rPr>
      <t xml:space="preserve">Vbn和Vcn
</t>
    </r>
    <r>
      <rPr>
        <sz val="10"/>
        <color rgb="FF000000"/>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t>
    </r>
  </si>
  <si>
    <t>4、上位机和HMI上user1~12无法添加三路input
6、上位机和HMI上input1~2对应有功功率均为
Phase B Active Power	-0.18000 	-0.17964 	-0.18036 
Phase B Reactive Power	0.31177 	0.31115 	0.31239 
Phase B Apparent Power	0.36000 	0.35928 	0.36072 
Phase B Power Factor	-0.50000 	-0.49900 	-0.50100 	
Phase C Active Power	-0.24000 	-0.23952 	-0.24048 
Phase C Reactive Power	0.41569 	0.41486 	0.41652 
Phase C Apparent Power	0.48000 	0.47904 	0.48096 
Phase C Power Factor	-0.50000 	-0.49900 	-0.50100user1的有功功率-0.42kwh，其他user和input有功功率为0
7、user1的电流为3.5A</t>
  </si>
  <si>
    <t>Function_AcuRev4100_012_04_case12</t>
  </si>
  <si>
    <t>2e2p3w network接线测量5分钟， 切换到1e1P2W接线方式，再次切换到2e2p3w network接线，检查HMI和上位机上能量是否全部被置为0, 电压电流测量正确</t>
  </si>
  <si>
    <r>
      <rPr>
        <sz val="10"/>
        <color rgb="FF000000"/>
        <rFont val="微软雅黑"/>
        <family val="2"/>
        <charset val="134"/>
      </rPr>
      <t>1、连接AcuRev4100电表到Acuview2上，连接状态为connected
2、2e2p3w network输电，上位机配2e2p3w network接线，Va、Vb、Vc均为120V, I_in1~2均为4A，压流夹角0°，Va、Vb、Vc相角为(0°、120°、240°)。
4、上位机和HMI上input1~2配置电压</t>
    </r>
    <r>
      <rPr>
        <b/>
        <sz val="10"/>
        <color rgb="FF000000"/>
        <rFont val="微软雅黑"/>
        <family val="2"/>
        <charset val="134"/>
      </rPr>
      <t xml:space="preserve">Vbn和Van
</t>
    </r>
    <r>
      <rPr>
        <sz val="10"/>
        <color rgb="FF000000"/>
        <rFont val="微软雅黑"/>
        <family val="2"/>
        <charset val="134"/>
      </rPr>
      <t>6、上位机和HMI上user1添加2路input
7、检查上位机和HMI上input1和user1对应有功功率是否正确，其他user和input功率为0
8、测量5分钟
9、切换到1e1P2W接线方式，弹窗询问是否清除能量，选择是
10、立即切换到2e2p3w network接线方式
11、检查上位机和HMI上能量是否测量参数全部置为0, 电压电流测量正确</t>
    </r>
  </si>
  <si>
    <t>7、上位机和HMI上input1~2对应有功功率均为0.48kwh，user1的有功功率0.96kwh，其他user和input有功功率为0
11、上位机和HMI上能量测量参数全部置为0, 电压电流测量正确</t>
  </si>
  <si>
    <t>Function_AcuRev4100_012_04_case13</t>
  </si>
  <si>
    <t>1、Acuview2上位机
2、网线/RTU串口线
3、AcuRev4100电表
4、2e2p3w network接线方式</t>
  </si>
  <si>
    <t>1、连接AcuRev4100电表到Acuview2上，连接状态为connected
2、2e2p3w network输电，上位机配2e2p3w network接线，Va、Vb、Vc均为120V, I_in1~2均为4A，压流夹角0°，Va、Vb、Vc相角为(0°、120°、240°)。
3、上位机和HMI上input1~2配置电压Vbn和Van
4、上位机和HMI上user1添加2路input
5、 根据最新的接线方式说明书检查上位机和HMI上real-time显示
6、 根据最新的接线方式上位机显示要求检查上位机的Energy、Demand、MaxDemand、THD页面显示符合预期</t>
  </si>
  <si>
    <t>Function_AcuRev4100_012_04_case14</t>
  </si>
  <si>
    <r>
      <rPr>
        <sz val="10"/>
        <color rgb="FF000000"/>
        <rFont val="微软雅黑"/>
        <family val="2"/>
        <charset val="134"/>
      </rPr>
      <t>1、连接AcuRev4100电表到Acuview2上，连接状态为connected
2、上位机配2e2p3w network接线，Va、Vb、Vc均为120V, I_in1~2为3A， 4A，压流夹角0°，Va、Vb、Vc相角为(0°、240°、120°)。
3、上位机和HMI上input1~2配置电压</t>
    </r>
    <r>
      <rPr>
        <b/>
        <sz val="10"/>
        <color rgb="FF000000"/>
        <rFont val="微软雅黑"/>
        <family val="2"/>
        <charset val="134"/>
      </rPr>
      <t xml:space="preserve">Van和Vbn
</t>
    </r>
    <r>
      <rPr>
        <sz val="10"/>
        <color rgb="FF000000"/>
        <rFont val="微软雅黑"/>
        <family val="2"/>
        <charset val="134"/>
      </rPr>
      <t>4、检查上位机和HMI上user1~12是否无法添加三路input
5、检查上位机和HMI上user1添加两路input1-2
6、检查上位机和HMI上input1和user1对应有功功率是否正确，其他user和input功率为0
7、user1的电流是否为3.5A
8、修改Ua 幅值为0，检查Va的角度功率为0、input1电流幅值正常，角度功率均为0，Vb、Vc和Input2的角度为0，电压电流幅值以及功率维持之前的数值不受影响
9、 从源上关闭输入，再按照关闭前的配置直接打开输入
10、 检查Va的角度功率为0、input1电流幅值正常，角度功率均为0，Vb、Vc和Input2的角度为0，电压电流幅值以及功率维持之前的数值不受影响</t>
    </r>
  </si>
  <si>
    <t>Function_AcuRev4100_012_04_case15</t>
  </si>
  <si>
    <t>2e2p3w network接线配置，配置任意user没有input Channel，检查对应user 的“显示”符合预期</t>
  </si>
  <si>
    <t>1、Acuview2上位机
2、网线/RTU串口线
3、AcuRev4100电表
4、2 Element 3 Wire Network接线方式</t>
  </si>
  <si>
    <t>1、连接AcuRev4100电表到Acuview2上，连接状态为connected
2、上位机配2e2p3w network接线，配置user1的所有input channel为none
3、 根据最新的接线方式说明书检查上位机和HMI上real-time显示
4、 根据最新的接线方式上位机显示要求检查上位机的Energy、Demand、MaxDemand、THD页面显示符合预期</t>
  </si>
  <si>
    <t>Function_AcuRev4100_012_05_case1</t>
    <phoneticPr fontId="10" type="noConversion"/>
  </si>
  <si>
    <t>1、连接AcuRev4100电表到Acuview2上，连接状态为connected
2、3P4W Y输电，上位机配3P4W Y接线，
3、user1配置三路负载， Va、Vb、Vc均为120V, I_in1~3均为3A 4A 5A，压流角0°
4、检查上位机和HMI上input1~3和user1对应有功功率是否正确，其他user和input功率为0</t>
  </si>
  <si>
    <t>Function_AcuRev4100_012_05_case2</t>
    <phoneticPr fontId="10" type="noConversion"/>
  </si>
  <si>
    <t>上位机配3P4W Y接线，input1~input3分别配Va、Vb、Vc，user1添加三路input，压流角30°，input1~3和user1对应功率正确，其他user和input功率为0</t>
    <phoneticPr fontId="10" type="noConversion"/>
  </si>
  <si>
    <t>1、连接AcuRev4100电表到Acuview2上，连接状态为connected
2、3P4W Y输电，上位机配3P4W Y接线，
3、user1配置三路负载， Va、Vb、Vc均为120V, I_in1~3均为3A 4A 5A，压流角30°
4、检查上位机和HMI上input1~3和user1对应有功功率是否正确，其他user和input功率为0</t>
  </si>
  <si>
    <t xml:space="preserve">4、上位机和HMI上input1~3、user1功率正确，其他user和input有功功率为0
Phase A Active Power	0.312 
Phase A Reactive Power	0.180 
Phase A Apparent Power	0.360 
Phase A Power Factor	0.866 	
Phase B Active Power	0.416 
Phase B Reactive Power	0.240 
Phase B Apparent Power	0.480 
Phase B Power Factor	0.866 	
Phase C Active Power	0.520 
Phase C Reactive Power	0.300 
Phase C Apparent Power	0.600 
Phase C Power Factor	0.866 	
System Active Power	1.247 
System Reactive Power	0.720 
System Apparent Power	1.440 
System Power Factor	0.866 	
Input Channel 1 Active Power	0.312 
Input Channel 1 Reactive Power	0.180 
Input Channel 1 Apparent Power	0.360 
Input Channel 1 Power Factor	0.866 	
Input Channel 2 Active Power	0.416 
Input Channel 2 Reactive Power	0.240 
Input Channel 2 Apparent Power	0.480 
Input Channel 2 Power Factor	0.866 
Input Channel 3 Active Power	0.520 
Input Channel 3 Reactive Power	0.300 
Input Channel 3 Apparent Power	0.600 
Input Channel 3 Power Factor	0.866 	
User Channel 1 Active Power	1.247 
User Channel 1 Reactive Power	0.720 
User Channel 1 Apparent Power	1.440 
User Channel 1 Power Factor	0.866 </t>
  </si>
  <si>
    <t>Function_AcuRev4100_012_05_case2_1</t>
    <phoneticPr fontId="10" type="noConversion"/>
  </si>
  <si>
    <t>上位机配3P4W Y接线，input1配Va，user1添加1路input，压流角120°，input1和user1对应功率正确，其他user和input功率为0</t>
    <phoneticPr fontId="10" type="noConversion"/>
  </si>
  <si>
    <t>1、连接AcuRev4100电表到Acuview2上，连接状态为connected
2、3P4W Y输电，上位机配3P4W Y接线，
3、user1配置1路负载， Va为120V, I_in1均为3A，压流角120°
4、检查上位机和HMI上input1~3和user1对应有功功率是否正确，其他user和input功率为0</t>
  </si>
  <si>
    <t xml:space="preserve">4、上位机和HMI上input1、user1功率正确，其他user和input有功功率为0
Phase A Active Power	-0.180 
Phase A Reactive Power	0.312 
Phase A Apparent Power	0.360 
Phase A Power Factor	-0.500 	
Phase B Active Power	0.000 
Phase B Reactive Power	0.000 
Phase B Apparent Power	0.000 
Phase B Power Factor	1.000  0.000
Phase C Active Power	0.000 
Phase C Reactive Power	0.000 
Phase C Apparent Power	0.000 
Phase C Power Factor	1.000 0.000
System Active Power	-0.180 
System Reactive Power	0.312 
System Apparent Power	0.360 
System Power Factor	-0.500 
Input Channel 1 Active Power	-0.180 
Input Channel 1 Reactive Power	0.312 
Input Channel 1 Apparent Power	0.360 
Input Channel 1 Power Factor	-0.500 
Input Channel 2 Active Power	- 
Input Channel 2 Reactive Power	- 
Input Channel 2 Apparent Power	- 
Input Channel 2 Power Factor	- 
Input Channel 3 Active Power	- 
Input Channel 3 Reactive Power	-
Input Channel 3 Apparent Power	- 
Input Channel 3 Power Factor	- 
User Channel 1 Active Power	   -0.180 
User Channel 1 Reactive Power	0.312 
User Channel 1 Apparent Power	0.360 
User Channel 1 Power Factor	   -0.500 </t>
  </si>
  <si>
    <t>Function_AcuRev4100_012_05_case2_2</t>
  </si>
  <si>
    <t>上位机配3P4W Y接线，input1配Vb，user1添加1路input，压流角120°，input1和user1对应功率正确，其他user和input功率为0</t>
    <phoneticPr fontId="10" type="noConversion"/>
  </si>
  <si>
    <t>1、连接AcuRev4100电表到Acuview2上，连接状态为connected
2、3P4W Y输电，上位机配3P4W Y接线，
3、user1配置1路负载， Vb为120V, I_in2均为4A，压流角220°
4、检查上位机和HMI上input1~3和user1对应有功功率是否正确，其他user和input功率为0</t>
  </si>
  <si>
    <t>4、上位机和HMI上input2、user1功率正确，其他user和input有功功率为0
Phase A Active Power	0.000 
Phase A Reactive Power	0.000 
Phase A Apparent Power	0.000 
Phase A Power Factor	0.000 
Phase B Active Power	-0.368 
Phase B Reactive Power	-0.309 
Phase B Apparent Power	0.480 
Phase B Power Factor	-0.766 
Phase C Active Power	0.000 
Phase C Reactive Power	0.000 
Phase C Apparent Power	0.000 
Phase C Power Factor	1.000 	
System Active Power	-0.368 
System Reactive Power	-0.309 
System Apparent Power	0.480 
System Power Factor	-0.766 	
Input Channel 1 Active Power	- 
Input Channel 1 Reactive Power	- 
Input Channel 1 Apparent Power	- 
Input Channel 1 Power Factor	- 
Input Channel 2 Active Power	-0.368 
Input Channel 2 Reactive Power	-0.309 
Input Channel 2 Apparent Power	0.480 
Input Channel 2 Power Factor	-0.766 
Input Channel 3 Active Power	-
Input Channel 3 Reactive Power	- 
Input Channel 3 Apparent Power	- 
Input Channel 3 Power Factor	-</t>
  </si>
  <si>
    <t>Function_AcuRev4100_012_05_case2_3</t>
    <phoneticPr fontId="10" type="noConversion"/>
  </si>
  <si>
    <t>上位机配3P4W Y接线，input1配Vc，user1添加1路input，压流角120°，input1和user1对应功率正确，其他user和input功率为0</t>
    <phoneticPr fontId="10" type="noConversion"/>
  </si>
  <si>
    <t>1、连接AcuRev4100电表到Acuview2上，连接状态为connected
2、3P4W Y输电，上位机配3P4W Y接线，
3、user1配置1路负载， Vc为120V, I_in2均为5A，压流角330°
4、检查上位机和HMI上input1~3和user1对应有功功率是否正确，其他user和input功率为0</t>
  </si>
  <si>
    <t xml:space="preserve">4、上位机和HMI上input3、user1功率正确，其他user和input有功功率为0
Phase A Active Power	0.000 
Phase A Reactive Power	0.000 
Phase A Apparent Power	0.000 
Phase A Power Factor	0.000 	
Phase B Active Power	0.000 
Phase B Reactive Power	0.000 
Phase B Apparent Power	0.000 
Phase B Power Factor	0.000 	
Phase C Active Power	0.520 
Phase C Reactive Power	-0.300 
Phase C Apparent Power	0.600 
Phase C Power Factor	0.866 	
System Active Power	0.520 
System Reactive Power	-0.300 
System Apparent Power	0.600 
System Power Factor	0.866 	
Input Channel 1 Active Power	0.000 
Input Channel 1 Reactive Power	0.000 
Input Channel 1 Apparent Power	0.000 
Input Channel 1 Power Factor	1.000 
Input Channel 2 Active Power	0.000 
Input Channel 2 Reactive Power	0.000 
Input Channel 2 Apparent Power	0.000 
Input Channel 2 Power Factor	-0.500 
Input Channel 3 Active Power	0.520 
Input Channel 3 Reactive Power	-0.300 
Input Channel 3 Apparent Power	0.600 
Input Channel 3 Power Factor	0.866 
User Channel 1 Active Power	0.520 
User Channel 1 Reactive Power	-0.300 
User Channel 1 Apparent Power	0.600 
User Channel 1 Power Factor	0.866 </t>
  </si>
  <si>
    <t>Function_AcuRev4100_012_05_case2_4</t>
    <phoneticPr fontId="10" type="noConversion"/>
  </si>
  <si>
    <t>上位机配3P4W Y接线，input1~2配Va 和Vb，，user1添加2路input，压流角0°，input1和user1对应功率正确，其他user和input功率为0</t>
    <phoneticPr fontId="10" type="noConversion"/>
  </si>
  <si>
    <t>1、连接AcuRev4100电表到Acuview2上，连接状态为connected
2、3P4W Y输电，上位机配3P4W Y接线，
3、user1配置2路负载，Va Vb为120V, I_in2均为3A 4A，压流角0°
4、检查上位机和HMI上input1~3和user1对应有功功率是否正确，其他user和input功率为0</t>
  </si>
  <si>
    <t xml:space="preserve">4、上位机和HMI上input3、user1功率正确，其他user和input有功功率为0， 详细如下: 
input1~2的通道功率正确
user1用户通道电流为3.5A， 功率为 input1~2之和
PhaseA和PhaseB功率电流计算正确，PhaseC 功率和电流为0
</t>
  </si>
  <si>
    <t>Function_AcuRev4100_012_05_case2_5</t>
    <phoneticPr fontId="10" type="noConversion"/>
  </si>
  <si>
    <t>上位机配3P4W Y接线，input1、input3配Va 和Vc，user1添加2路input，压流角0°，input1和user1对应功率正确，其他user和input功率为0</t>
    <phoneticPr fontId="10" type="noConversion"/>
  </si>
  <si>
    <t>1、连接AcuRev4100电表到Acuview2上，连接状态为connected
2、3P4W Y输电，上位机配3P4W Y接线，
3、user1配置2路负载，Va Vc为120V, input1、input3为3A 4A，压流角30°
4、检查上位机和HMI上input1~3和user1对应有功功率是否正确，其他user和input功率为0</t>
  </si>
  <si>
    <t xml:space="preserve">4、上位机和HMI上input3、user1功率正确，其他user和input有功功率为0， 详细如下: 
input1、input3的通道功率正确
user1用户通道电流为3.5A， 功率为input1、input3之和
PhaseA和PhaseC功率电流计算正确，PhaseB 功率和电流为0
</t>
  </si>
  <si>
    <t>Function_AcuRev4100_012_05_case2_6</t>
    <phoneticPr fontId="10" type="noConversion"/>
  </si>
  <si>
    <t>上位机配3P4W Y接线，input2、input3配Vb 和Vc，user1添加2路input，压流角0°，input1和user1对应功率正确，其他user和input功率为0</t>
    <phoneticPr fontId="10" type="noConversion"/>
  </si>
  <si>
    <t>1、连接AcuRev4100电表到Acuview2上，连接状态为connected
2、3P4W Y输电，上位机配3P4W Y接线，
3、user1配置2路负载，Vb Vc为120V, input2、input3为3A 4A，压流角120°
4、检查上位机和HMI上input1~3和user1对应有功功率是否正确，其他user和input功率为0</t>
  </si>
  <si>
    <t xml:space="preserve">4、上位机和HMI上input3、user1功率正确，其他user和input有功功率为0， 详细如下: 
input2、input3的通道功率正确
user1用户通道电流为3.5A， 功率为 input2、input3之和
PhaseB和PhaseC功率电流计算正确，PhaseA 功率和电流为0
</t>
  </si>
  <si>
    <t>Function_AcuRev4100_012_05_case2_7</t>
    <phoneticPr fontId="10" type="noConversion"/>
  </si>
  <si>
    <t>上位机配3P4W Y接线，上位机最多配置3路负载</t>
    <phoneticPr fontId="10" type="noConversion"/>
  </si>
  <si>
    <t>1、连接AcuRev4100电表到Acuview2上，连接状态为connected
2、检查上位机配置是否可配置4路负载</t>
  </si>
  <si>
    <t>2、上位机配置可配置4路负载失败</t>
    <phoneticPr fontId="10" type="noConversion"/>
  </si>
  <si>
    <t>上位机配3P4W Y接线，上位机配置两路负载， 不能配置相电和线电压混合场景</t>
  </si>
  <si>
    <t xml:space="preserve">1、连接AcuRev4100电表到Acuview2上，连接状态为connected
2、上位机配置两路负载
3、检查上位机是否可以配置，电压组合(Va Vab)   (Va Vac)   (Vb Vbc)    (Vb Vac)     (Vc Vbc)    (Vc Vac)  </t>
  </si>
  <si>
    <t xml:space="preserve">3、检查上位机不能配置电压组合(Va Vab)   (Va Vac)   (Vb Vbc)    (Vb Vac)     (Vc Vbc)    (Vc Vac)  </t>
    <phoneticPr fontId="10" type="noConversion"/>
  </si>
  <si>
    <t>上位机配3P4W Y接线，上位机配置三路负载， 不能配置相电和线电压混合场景</t>
    <phoneticPr fontId="10" type="noConversion"/>
  </si>
  <si>
    <t xml:space="preserve">1、连接AcuRev4100电表到Acuview2上，连接状态为connected
2、上位机配置三路负载
3、检查上位机是否可以配置，电压组合(Va Vab Vac)   (Vb  Vab Vbc)   (Vc  Vbc Vca)    (Vab  Va Vb)     ( Vbc Vb Vc )    (Vac Vc Va)  </t>
  </si>
  <si>
    <t xml:space="preserve">3、检查上位机不能配置电压组合(Va Vab Vac)   (Vb  Vab Vbc)   (Vc  Vbc Vca)    (Vab  Va Vb)     ( Vbc Vb Vc )    (Vac Vc Va)  </t>
    <phoneticPr fontId="10" type="noConversion"/>
  </si>
  <si>
    <t>Function_AcuRev4100_012_05_case2_</t>
    <phoneticPr fontId="10" type="noConversion"/>
  </si>
  <si>
    <t>上位机配3P4W Y接线，input1配Va ，user1添加input1，压流角0°，input2和input3， 没有分配给任何用户，系统的功率计算的时候需要计算所有通道功率。</t>
    <phoneticPr fontId="10" type="noConversion"/>
  </si>
  <si>
    <t xml:space="preserve">1、连接AcuRev4100电表到Acuview2上，连接状态为connected
2、上位机配3P4W Y接线，
3、user1配置input1，Va 为120V, input1为3A，压流角0°
4、input2、input3不配置任何用户， 电压均为d120V， 角度240°、120°， 电流4A 5A，压流角0°
5、检查上位机和HMI上input1~3功率是否正确
6、检查上位机和HMI上user1功率是否正确，user1的电流是否3A
7、检查上位机和HMI上PhaseABC 功率是否计算了input1~2，系统的平均电流是否为4A
</t>
  </si>
  <si>
    <t>5、上位机和HMI上input1~3功率正确
6、上位机和HMI上user1功率正确，user1的电流3A
7、上位机和HMI上PhaseABC 功率计算了input1~3，系统的平均电流为4A</t>
  </si>
  <si>
    <t>Function_AcuRev4100_012_05_case_10</t>
    <phoneticPr fontId="10" type="noConversion"/>
  </si>
  <si>
    <r>
      <t>上位机配3P4W Y接线，input1~input3分别配Va、Vb、Vc，user1添加三路input，压流角0°，</t>
    </r>
    <r>
      <rPr>
        <b/>
        <sz val="10"/>
        <color theme="1"/>
        <rFont val="微软雅黑"/>
        <family val="2"/>
        <charset val="134"/>
      </rPr>
      <t>遍历8个用户</t>
    </r>
    <r>
      <rPr>
        <sz val="10"/>
        <color theme="1"/>
        <rFont val="微软雅黑"/>
        <family val="2"/>
        <charset val="134"/>
      </rPr>
      <t>，input1~24和user1~8对应功率正确</t>
    </r>
    <phoneticPr fontId="10" type="noConversion"/>
  </si>
  <si>
    <t>1、连接AcuRev4100电表到Acuview2上，连接状态为connected
2、3P4W Y输电，上位机配3P4W Y接线，
3、user1配置三路负载， Va、Vb、Vc均为120V, I_in1~3均为3A 4A 5A，压流角0°
4、检查上位机和HMI上遍历8个用户，input1~24和user1~8对应功率是否均正确</t>
  </si>
  <si>
    <t>4、上位机和HMI上遍历8个用户，input1~24和user1~8对应功率均正确</t>
  </si>
  <si>
    <t>Function_AcuRev4100_012_05_case_10_1</t>
    <phoneticPr fontId="10" type="noConversion"/>
  </si>
  <si>
    <r>
      <t>上位机配3P4W Y接线，input1~input3分别配Vab、Vbc、Vac，user1配置三路input，线电压与电流的夹角为30°，</t>
    </r>
    <r>
      <rPr>
        <b/>
        <sz val="10"/>
        <color theme="1"/>
        <rFont val="微软雅黑"/>
        <family val="2"/>
        <charset val="134"/>
      </rPr>
      <t>遍历8个用户,</t>
    </r>
    <r>
      <rPr>
        <sz val="10"/>
        <color theme="1"/>
        <rFont val="微软雅黑"/>
        <family val="2"/>
        <charset val="134"/>
      </rPr>
      <t xml:space="preserve"> input1~3和user1对应功率正确，其他user和input功率为0</t>
    </r>
    <phoneticPr fontId="10" type="noConversion"/>
  </si>
  <si>
    <r>
      <rPr>
        <sz val="10"/>
        <color rgb="FF000000"/>
        <rFont val="微软雅黑"/>
        <family val="2"/>
        <charset val="134"/>
      </rPr>
      <t xml:space="preserve">1、连接AcuRev4100电表到Acuview2上，连接状态为connected
2、上位机配3P4W Y接线，input1~3配置电压Vab、Vbc、Vac
3、线电压与电流的夹角为30°( 交流源输入:
</t>
    </r>
    <r>
      <rPr>
        <b/>
        <sz val="10"/>
        <color rgb="FF000000"/>
        <rFont val="微软雅黑"/>
        <family val="2"/>
        <charset val="134"/>
      </rPr>
      <t xml:space="preserve">Va、Vb、Vc均为120V, 角度(0°、240°、120°);  
I_in1~3均为5A，相角（0°、240°、120°）
</t>
    </r>
    <r>
      <rPr>
        <sz val="10"/>
        <color rgb="FF000000"/>
        <rFont val="微软雅黑"/>
        <family val="2"/>
        <charset val="134"/>
      </rPr>
      <t>4、检查上位机和HMI上input1~3,   P是否为0.9kw，Q是否为0.52kw，S为1.039，PF为0.866
5、检查上位机和HMI上user1， P是否为2.7 kw，Q是否为1.559kw，S为3.118，PF为0.866
 6、 遍历8个用户, input1~3和user1对应功率是否均正确</t>
    </r>
  </si>
  <si>
    <t>4、上位机和HMI上input1~3,   P是0.9kw，Q是0.52kw，S为1.039，PF为0.866
5、上位机和HMI上user1， P为2.7 kw，Q为1.559kw，S为3.118，PF为0.866
 6、 遍历8个用户, input1~3和user1对应功率正确</t>
  </si>
  <si>
    <t>Function_AcuRev4100_012_05_case_11</t>
    <phoneticPr fontId="10" type="noConversion"/>
  </si>
  <si>
    <r>
      <rPr>
        <sz val="10"/>
        <color rgb="FF000000"/>
        <rFont val="微软雅黑"/>
        <family val="2"/>
        <charset val="134"/>
      </rPr>
      <t>1、连接AcuRev4100电表到Acuview2上，连接状态为connected
2、3P4W Y输电，上位机配3P4W Y接线，Va、Vb、Vc均为120V, I_in1~3均为4A，压流夹角0°，Va、Vb、Vc相角为(0°、120°、240°)。
3、上位机和HMI上input1~3配置电压</t>
    </r>
    <r>
      <rPr>
        <b/>
        <sz val="10"/>
        <color rgb="FF000000"/>
        <rFont val="微软雅黑"/>
        <family val="2"/>
        <charset val="134"/>
      </rPr>
      <t xml:space="preserve">Va、Vb、Vc
</t>
    </r>
    <r>
      <rPr>
        <sz val="10"/>
        <color rgb="FF000000"/>
        <rFont val="微软雅黑"/>
        <family val="2"/>
        <charset val="134"/>
      </rPr>
      <t>5、上位机和HMI上user1添加3路input
6、检查上位机和HMI上input1~3和user1对应有功功率是否正确，其他user和input功率为0
7、测量5分钟
8、切换到1e1P2W接线方式
9、立即切换到3e3P4W Y接线方式
10、检查上位机和HMI上能量是否测量参数全部置为0, 电压电流测量正确</t>
    </r>
  </si>
  <si>
    <t>Function_AcuRev4100_012_05_case_12</t>
  </si>
  <si>
    <t>1、Acuview2上位机
2、网线/RTU串口线
3、AcuRev4100电表
4、3e3P4W Y接线方式</t>
  </si>
  <si>
    <t>1、连接AcuRev4100电表到Acuview2上，连接状态为connected
2、3P4W Y输电，上位机配3P4W Y接线，Va、Vb、Vc均为120V, I_in1~3均为4A，压流夹角0°，Va、Vb、Vc相角为(0°、120°、240°)。
3、上位机和HMI上input1~3配置电压Va、Vb、Vc
5、上位机和HMI上user1添加3路input
6、 根据最新的接线方式说明书检查上位机和HMI上real-time显示
7、 根据最新的接线方式上位机显示要求检查上位机的Energy、Demand、MaxDemand、THD页面显示符合预期</t>
  </si>
  <si>
    <t>Function_AcuRev4100_012_05_case_13</t>
  </si>
  <si>
    <t>1、连接AcuRev4100电表到Acuview2上，连接状态为connected
2、3P4W Y输电，上位机配3P4W Y接线，
3、user1配置三路负载， Va、Vb、Vc均为120V, I_in1~3均为3A 4A 5A，压流角0°
4、检查上位机和HMI上input1~3和user1对应有功功率是否正确，其他user和input功率为0
5、修改Ua 幅值为0，检查Va的角度功率为0、input1电流幅值正常，角度功率均为0，Vb、Vc和Input2的角度为0，电压电流幅值以及功率维持之前的数值不受影响
6、 从源上关闭输入，再按照关闭前的配置直接打开输入
7、 检查Vb的角度功率为0、input1电流幅值正常，角度功率均为0，Vb、Vc和Input2的角度为0，电压电流幅值以及功率维持之前的数值不受影响</t>
  </si>
  <si>
    <t>Function_AcuRev4100_012_05_case_14</t>
  </si>
  <si>
    <t>3e3P4W Y型接线接线测量5分钟，遍历验证所有user 和input 通道，检查HMI和上位机上能量积累是否正常</t>
    <phoneticPr fontId="10" type="noConversion"/>
  </si>
  <si>
    <r>
      <rPr>
        <sz val="10"/>
        <color rgb="FF000000"/>
        <rFont val="微软雅黑"/>
        <family val="2"/>
        <charset val="134"/>
      </rPr>
      <t>1、连接AcuRev4100电表到Acuview2上，连接状态为connected
2、3P4W Y输电，上位机配3P4W Y接线，Va、Vb、Vc均为120V, I_in1~3均为4A，压流夹角0°，Va、Vb、Vc相角为(0°、120°、240°)。
3、上位机和HMI上input1~3配置电压</t>
    </r>
    <r>
      <rPr>
        <b/>
        <sz val="10"/>
        <color rgb="FF000000"/>
        <rFont val="微软雅黑"/>
        <family val="2"/>
        <charset val="134"/>
      </rPr>
      <t xml:space="preserve">Va、Vb、Vc
</t>
    </r>
    <r>
      <rPr>
        <sz val="10"/>
        <color rgb="FF000000"/>
        <rFont val="微软雅黑"/>
        <family val="2"/>
        <charset val="134"/>
      </rPr>
      <t>4、上位机和HMI上user1添加3路input
5、等待5分钟后检查上位机和HMI上input1~3和user1对应能量积累是否正确，其他user和input功率为0
6、input和user使用默认配置，遍历8个user和24路input，按照第2步供源等待5分钟后检查所有通道的能量</t>
    </r>
  </si>
  <si>
    <t>5-6、从上位机和HMI上检查8路user和24路input 的能量累计正确，数据刷新正常
备注： 当前用例不要求验证精度，只观察刷新是否正常，精度由能量部分的用例通过自动化脚本检查。</t>
  </si>
  <si>
    <t>Function_AcuRev4100_012_05_case_15</t>
  </si>
  <si>
    <t>3e3P4W Y型接线，验证user 9~12通道配置input通道后，测量值与功率计算值正确</t>
  </si>
  <si>
    <t>1、连接AcuRev4100电表到Acuview2上，连接状态为connected
2、3P4W Y输电，上位机配3P4W Y接线，
3、user9~12配置任意三路input， Va、Vb、Vc均为120V, I_in分别为3A 4A 5A，压流角0°
4、检查上位机和HMI上遍历user9~12，user9~12对应测量值与功率是否均正确</t>
  </si>
  <si>
    <t>4、上位机和HMI上遍历user9~12，input和user9~12对应测量值和功率均正确</t>
    <phoneticPr fontId="10" type="noConversion"/>
  </si>
  <si>
    <t>Function_AcuRev4100_012_05_case_16</t>
  </si>
  <si>
    <t>3e3P4W Y接线配置，检查没有input Channel的user 的“显示”符合预期</t>
  </si>
  <si>
    <t>1、Acuview2上位机
2、网线/RTU串口线
3、AcuRev4100电表
4、3 Element 4 Wire Y接线方式</t>
  </si>
  <si>
    <t>1、连接AcuRev4100电表到Acuview2上，连接状态为connected
2、上位机配3 Element 4 Wire Y接线方式
3、 根据最新的接线方式说明书检查user9-12上位机和HMI上real-time显示
4、 根据最新的接线方式上位机显示要求检查user9-12上位机的Energy、Demand、MaxDemand、THD页面显示符合预期</t>
  </si>
  <si>
    <t>3、 user9-12，上位机和HMI上real-time显示为-
4、  user9-12，上位机和HMI上Energy、Demand、MaxDemand、THD、需分量和不平衡因数显示为-</t>
  </si>
  <si>
    <t>Function_AcuRev4100_013_01_case1</t>
  </si>
  <si>
    <t>1、连接AcuRev4100电表到Acuview2上，连接状态为connected
2、按照格式1（固定日期），设置DTS的时间段,：DTS开始时间 1月1日 00:00, DTS结束时间 12月31 00:00
3、检查设置DST时间段是否成功
3.1 设置地当前系统时间在DTS范围内(1.1 00:00 ~ 12.31 00:00）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</si>
  <si>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Function_AcuRev4100_013_01_case2</t>
  </si>
  <si>
    <t>按照格式一设置DST时间(3.1 02:00 ~ 10.31 03:00)，系统时间在DST范围内，开启DTS和关闭DST开关，DTS功能正常</t>
  </si>
  <si>
    <t>1、连接AcuRev4100电表到Acuview2上，连接状态为connected
2、按照格式1（固定日期），设置DTS的时间段,：DTS开始时间 3月1日 02:00, DTS结束时间 10月31 03:00
3、检查设置DST时间段是否成功
3.1 设置地当前系统时间在DTS范围内(3.1 02：00 -10:31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</si>
  <si>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Function_AcuRev4100_013_01_case3</t>
  </si>
  <si>
    <t>按照格式一设置DST时间(3.1 02:00 ~ 10.31 03:00)，系统时间在DST范围外，开启DTS和关闭DST开关，DTS功能正常</t>
  </si>
  <si>
    <t>1、连接AcuRev4100电表到Acuview2上，连接状态为connected
2、按照格式1（固定日期），设置DTS的时间段,：DTS开始时间 3月1日 02:00, DTS结束时间 10月31 03:00
3、检查设置DST时间段是否成功
3.1 设置地当前系统时间不在DTS范围内(3.1 02：00 -10:31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</si>
  <si>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Function_AcuRev4100_013_01_case3_1</t>
  </si>
  <si>
    <t>1、连接AcuRev4100电表到Acuview2上，连接状态为connected
2、按照格式1（固定日期），设置DTS的时间段,：DTS开始时间 3月1日 02:00, DTS结束时间 10月31 03:00
3、检查设置DST时间段是否成功
4、上位机上配置夏令时夏令时DST设置为disable，
5、检查开启夏令时DST设置为disable是否成功
5.1 设置地当前系统时间为2024 3.1 01:55
5.2 等待6分钟
6、上位机和HMI上检查电表时间是否增加1小时
7、设置地当前系统时间为2024 10.31 02:55
8、等待6分钟
9、上位机和HMI上检查电表时间是否减少1小时</t>
  </si>
  <si>
    <t>Function_AcuRev4100_013_01_case3_2</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</si>
  <si>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设置地当前系统时间为2024 3.1 01：59：00
5.2 掉电等待2分钟
6、上电查看上位机和HMI上检查电表时间是否增加1小时
7、设置地当前系统时间为2024 10.31 02:55
8、掉电等待6分钟
9、上电查看上位机和HMI上检查电表时间是否减少1小时</t>
  </si>
  <si>
    <t>Function_AcuRev4100_013_01_case3_2_01</t>
  </si>
  <si>
    <t xml:space="preserve">1、连接AcuRev4100电表到Acuview2上，连接状态为connected
2、按照格式1（固定日期），设置DTS的时间段,：DTS开始时间 3月3日 03:00, DTS结束时间 10月10 10:00
3、检查设置DST时间段是否成功
4、上位机上配置夏令时夏令时DST设置为enable，
5、检查开启夏令时DST设置为enable是否成功
5.1 设置地当前系统时间为2024 3.3 02：59：00
5.2 掉电等待2分钟
6、上电查看上位机和HMI上检查电表时间是否增加1小时
7.继续掉电后立即上电
8.表计时钟是否会继续增加
</t>
  </si>
  <si>
    <t>Function_AcuRev4100_013_01_case3_2_02</t>
  </si>
  <si>
    <t>1、连接AcuRev4100电表到Acuview2上，连接状态为connected
2、设置夏令时的start和end为相同的时间</t>
  </si>
  <si>
    <t>Function_AcuRev4100_013_01_case4</t>
  </si>
  <si>
    <t>1、Acuview2上位机
2、网线/RTU串口线
3、AcuRev4100电表
4、系统时间不在(3.1 02：00 -10:31 03:00）内。</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</si>
  <si>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设置地当前系统时间为3.1 01：55
5.2、等待6分钟，
6、上位机和HMI上检查电表时间是否在第5分钟时候，跳变为03:00
7、设置夏令时DST设置为disable
8、检查设置夏令时DST设置为disable是否成功
9、上位机和HMI上检查电表时间是否立即跳变为02:00</t>
  </si>
  <si>
    <t>Function_AcuRev4100_013_01_case5</t>
  </si>
  <si>
    <t>1、Acuview2上位机
2、网线/RTU串口线
3、AcuRev4100电表
4、系统时间在(3.1 02：00 -10:31 03:00）内。</t>
  </si>
  <si>
    <t>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02:55
5.2 观察上位机和HMI上检查电表时间是否立即跳变01:55
5.3、等待6分钟，
6、上位机和HMI上检查电表时间是否在第5分钟时候，跳变为02:00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</si>
  <si>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6、上位机和HMI上检查电表时间在第5分钟时候，跳变为01:00
8、设置夏令时DST设置为disable成功
9、上位机和HMI上检查电表时间未发生变化。</t>
  </si>
  <si>
    <t>Function_AcuRev4100_013_01_case5_01</t>
  </si>
  <si>
    <t xml:space="preserve">1、连接AcuRev4100电表到Acuview2上，连接状态为connected
2、按照格式1（固定日期），设置DTS的时间段,：DTS开始时间 3月1日 02:00, DTS结束时间 10月31 03:00
3、检查设置DST时间段是否成功
4、上位机上配置夏令时夏令时DST设置为enable，
5、检查开启夏令时DST设置为enable是否成功
5.1 设置地当前系统时间为10.31 02:55
5.2 观察上位机和HMI上检查电表时间是否立即跳变01:55
5.3、等待6分钟，
6、上位机和HMI上检查电表时间是否在第5分钟时候，跳变为02:00
7、继续等待表计走时钟，待表计下一次走到10.31 03：00是否还会跳变到02：00
</t>
  </si>
  <si>
    <t>Function_AcuRev4100_013_01_case5_02</t>
  </si>
  <si>
    <t>1、连接AcuRev4100电表到Acuview2上，连接状态为connected
2、按照格式1（固定日期），设置DTS的时间段,：DTS开始时间 3月1日 02:00, adjust为1h,DTS结束时间 10月31 03:00 adjust为1min
3、检查设置DST时间段是否成功
4、上位机上配置夏令时夏令时DST设置为enable，
5、检查开启夏令时DST设置为enable是否成功
6.设置地当前系统时间为10.31 02:59
7.等待1min,查看表计时钟是否跳回到02：59
8.等待30s后修改时钟到10.31 02：58
9.等待2min后查看表计时钟是否跳变到02：59</t>
  </si>
  <si>
    <t>Function_AcuRev4100_013_01_case6</t>
  </si>
  <si>
    <t>1、Acuview2上位机
2、网线/RTU串口线
3、AcuRev4100电表
4、系统时间不在（1.1 12：00 -2.29 31 03:00）内</t>
  </si>
  <si>
    <t>1、连接AcuRev4100电表到Acuview2上，连接状态为connected
2、按照格式1（固定日期），设置DTS的时间段,：（1.1 12：59 -2.28 03:59）
3、检查设置DST时间段是否成功
4、上位机上配置夏令时夏令时DST设置为enable，
5、检查开启夏令时DST设置为enable是否成功
5.1 设置地当前系统时间为1.1 12：54
5.2、等待6分钟，
6、上位机和HMI上检查电表时间是否在第5分钟时候，跳变为14:00
7、设置夏令时DST设置为disable
8、检查设置夏令时DST设置为disable是否成功
9、上位机和HMI上检查电表时间是否立即跳变为13:00</t>
  </si>
  <si>
    <t>Function_AcuRev4100_013_01_case6_1</t>
  </si>
  <si>
    <t xml:space="preserve">1、连接AcuRev4100电表到Acuview2上，连接状态为connected
2、按照格式1（固定日期），设置DTS的时间段,：（1.1 12：59 ~ 2.28 03:59），adjust time为120
3、检查设置DST时间段是否成功
4、上位机上配置夏令时夏令时DST设置为enable，
5、检查开启夏令时DST设置为enable是否成功
5.1 设置地当前系统时间为1.1 12：54
5.2、等待6分钟，
6、上位机和HMI上检查电表时间是否在第5分钟时候，跳变为14:59
6.1 等待3分钟，上位机和HMI上观察电表时间是否为15:02分
7、设置夏令时DST设置为disable
8、检查设置夏令时DST设置为disable是否成功
9、上位机和HMI上检查电表时间是否立即跳变为14:02
</t>
    <phoneticPr fontId="10" type="noConversion"/>
  </si>
  <si>
    <t>Function_AcuRev4100_013_01_case7</t>
  </si>
  <si>
    <t>按照格式一设置DST时间(1.1 02:00 ~ 02.28 04:00)，开启DTS开关，系统时间在DST范围内，时间离开到DTS时间内，DTS功能正常</t>
  </si>
  <si>
    <t>1、Acuview2上位机
2、网线/RTU串口线
3、AcuRev4100电表
4、系统时间在（1.1 12：00 -2.29 31 03:00）内。</t>
  </si>
  <si>
    <t>1、连接AcuRev4100电表到Acuview2上，连接状态为connected
2、按照格式1（固定日期），设置DTS的时间段,：（1.1 12：59 - 2.28 04:00）
3、检查设置DST时间段是否成功
4、上位机上配置夏令时夏令时DST设置为enable，
5、检查开启夏令时DST设置为enable是否成功
5.1 设置地当前系统时间为2.28 03:54
5.2 观察上位机和HMI上检查电表时间是否立即跳变03:54
5.3、等待6分钟，
6、上位机和HMI上检查电表时间是否在第5分钟时候，跳变为03:00
7、设置夏令时DST设置为disable
8、检查设置夏令时DST设置为disable是否成功
9、上位机和HMI上检查电表时间是否变化。</t>
  </si>
  <si>
    <t>3、检查设置DST时间段成功
5、检查开启夏令时DST设置为enable成功
5.2 观察上位机和HMI上检查电表时间未跳变
6、上位机和HMI上检查电表时间在第5分钟时候，跳变为03:00
8、设置夏令时DST设置为disable成功
9、上位机和HMI上检查电表时间未发生变化。</t>
  </si>
  <si>
    <t>Function_AcuRev4100_013_01_case8</t>
  </si>
  <si>
    <t>1、Acuview2上位机
2、网线/RTU串口线
3、AcuRev4100电表
4、系统时间在（2.29 02：00 -11.29 31 03:00）外。</t>
  </si>
  <si>
    <t>1、连接AcuRev4100电表到Acuview2上，连接状态为connected
2、按照格式1（固定日期），设置DTS的时间段,：(3.1 00：00 -11.29  03:00）
3、检查设置DST时间段是否成功
4、上位机上配置夏令时夏令时DST设置为enable，
5、检查开启夏令时DST设置为enable是否成功
5.1 设置地当前系统时间为2028.2.29 23：55
5.2、等待6分钟，
6、上位机和HMI上检查电表时间是否在第5分钟时候，跳变为:2028 03.01 01：00
7、设置夏令时DST设置为disable
8、检查设置夏令时DST设置为disable是否成功
9、上位机和HMI上检查电表时间是否立即跳变为00:00</t>
  </si>
  <si>
    <t>Function_AcuRev4100_013_01_case9</t>
  </si>
  <si>
    <t>1、连接AcuRev4100电表到Acuview2上，连接状态为connected
2、按照格式1（固定日期），设置DTS的时间段,：(01.01 00:00 -03.01 00：00)
3、检查设置DST时间段是否成功
4、上位机上配置夏令时夏令时DST设置为enable，
5、检查开启夏令时DST设置为enable是否成功
5.1 设置地当前系统时间为2027.2.28 23：55
5.2、等待6分钟，
6、上位机和HMI上检查电表时间是否在第5分钟时候，跳变为:2027.2.28 23：00
7、设置夏令时DST设置为disable
8、检查设置夏令时DST设置为disable是否成功
9、上位机和HMI上检查电表时间是否立即跳变为2027.3.01 00：00</t>
  </si>
  <si>
    <t>Function_AcuRev4100_013_01_case10</t>
  </si>
  <si>
    <t>1、连接AcuRev4100电表到Acuview2上，连接状态为connected
2、按照格式2（固定日期），设置DTS的时间段,：1月第1周周1 00:00 ~ 12月第5周周2 23:59
3、检查设置DST时间段是否成功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</si>
  <si>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Function_AcuRev4100_013_01_case11</t>
  </si>
  <si>
    <t>按照格式二设置DST时间(3月第2周周5 02:00 ~ 6月第2周周1 03:00)，系统时间在DST范围内，开启DTS和关闭DST开关，DTS功能正常</t>
  </si>
  <si>
    <t>1、连接AcuRev4100电表到Acuview2上，连接状态为connected
2、按照格式2（固定日期），设置DTS的时间段,：(3月第2周周5 02:00 ~ 6月第2周周1 03:00)
3、检查设置DST时间段是否成功
3.1 设置地当前系统时间在DTS范围内(2025.3.14 02：00 -2024.06.09 03:00）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</si>
  <si>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Function_AcuRev4100_013_01_case12</t>
  </si>
  <si>
    <t>1、连接AcuRev4100电表到Acuview2上，连接状态为connected
2、按照格式2（固定日期），设置DTS的时间段,：(3月第2周周5 02:00 ~ 6月第2周周1 03:00)
3、检查设置DST时间段是否成功
3.1 设置地当前系统时间不在DTS范围内，时间为2025.2.1 02：00
4、上位机上配置夏令时夏令时DST设置为enable，
5、检查开启夏令时DST设置为enable是否成功
6、上位机和HMI上检查电表时间是否增加1小时
7、设置夏令时DST设置为disable
8、检查设置夏令时DST设置为disable是否成功
9、时间是否回退1小时</t>
  </si>
  <si>
    <t>Function_AcuRev4100_013_01_case12_1</t>
  </si>
  <si>
    <t>按照格式二设置DST时间(3月第2周周5 02:00 ~ 6月第2周周1 03:00)，关闭DTS开关，进入和退出DST范围，时间不会改变</t>
  </si>
  <si>
    <t>1、连接AcuRev4100电表到Acuview2上，连接状态为connected
2、按照格式2（固定日期），设置DTS的时间段,：(3月第2周周5 02:00 ~ 6月第2周周1 03:00)
3、检查设置DST时间段是否成功
4、上位机上配置夏令时夏令时DST设置为disable，
5、检查开启夏令时DST设置为disable是否成功
5.1 设置地当前系统时间为2025.03.14 01：55：00
5.2 等待6分钟
6、上位机和HMI上检查电表时间是否在第5分钟时候，跳变为:2025.03.14 03：00
7.修改时钟到2025.06.09 02：59：等待1min,查看上位机和HMI上检查电表时间是否在1分钟后，跳变为:2025.06.09 02：00</t>
  </si>
  <si>
    <t>Function_AcuRev4100_013_01_case13</t>
  </si>
  <si>
    <t>1、连接AcuRev4100电表到Acuview2上，连接状态为connected
2、按照格式2（固定日期），设置DTS的时间段,：(3月第2周周5 02:00 ~ 6月第2周周1 03:00)
3、检查设置DST时间段是否成功
4、上位机上配置夏令时夏令时DST设置为enable，
5、检查开启夏令时DST设置为enable是否成功
5.1 设置地当前系统时间为2025.03.14 01：55：00
5.2 等待6分钟
6、上位机和HMI上检查电表时间是否在第5分钟时候，跳变为:2025.03.14 03：00
7、设置夏令时DST设置为disable
8、检查设置夏令时DST设置为disable是否成功
9、上位机和HMI上检查电表时间是否立即跳变为2025.03.14 02：00</t>
  </si>
  <si>
    <t>Function_AcuRev4100_013_01_case14</t>
  </si>
  <si>
    <t>1、连接AcuRev4100电表到Acuview2上，连接状态为connected
2、按照格式2（固定日期），设置DTS的时间段,：(3月第1周周5 02:00 ~ 10月第5周周4 03:00）
3、检查设置DST时间段是否成功
4、上位机上配置夏令时夏令时DST设置为enable，
5、检查开启夏令时DST设置为enable是否成功
5.1 设置地当前系统时间为2025.3.07 01：55
5.2 等待6分钟
6、上位机和HMI上检查电表时间是否在第5分钟时候，跳变为:2025.3.07 03：00
7、设置夏令时DST设置为disable
8、检查设置夏令时DST设置为disable是否成功
9、上位机和HMI上检查电表时间是否立即跳变为2024.3.07 02：00</t>
  </si>
  <si>
    <t>Function_AcuRev4100_013_01_case15</t>
  </si>
  <si>
    <t>按照格式二设置DST时间(3月第1周周5 02:00 ~ 10月第5周周4 03:00)，开启DTS开关，系统时间在DST范围外(2027.3.05 01:55， 时间不跳变)</t>
  </si>
  <si>
    <t>1、连接AcuRev4100电表到Acuview2上，连接状态为connected
2、按照格式2（固定日期），设置DTS的时间段,：(3月第1周周5 02:00 ~ 10月第5周周4 03:00）
3、检查设置DST时间段是否成功
4、上位机上配置夏令时夏令时DST设置为enable，
5、检查开启夏令时DST设置为enable是否成功
5.1 设置地当前系统时间为2027.3.12 01：55
5.2 等待6分钟
6、上位机和HMI上检查电表时间是否在第5分钟时候，跳变为:2027.3.12  
03：00：00</t>
  </si>
  <si>
    <t>3、检查设置DST时间段成功
5、检查开启夏令时DST设置为enable成功
6、上位机和HMI上检查电表时间在第5分钟时候，时钟不跳变，表计未进入夏令时</t>
  </si>
  <si>
    <t>Function_AcuRev4100_013_01_case15_1</t>
  </si>
  <si>
    <t>1、连接AcuRev4100电表到Acuview2上，连接状态为connected
2、按照格式2（固定日期），设置DTS的时间段,：(3月第1周周5 02:00 ~ 12月第5周周1 23:59)
3、检查设置DST时间段是否成功
4、上位机上配置夏令时夏令时DST设置为enable，
5、检查开启夏令时DST设置为enable是否成功
5.1 设置地当前系统时间为2025.3.07 01：55
5.2 掉电等待6分钟
6、上电查看上位机和HMI上检查电表时间是否跳变为:2025.3.07 03：01
7.1设置地当前系统时间为2025.12.29 23：55
7.2 掉电等待6分钟
8、上电查看上位机和HMI上检查电表时间是否跳变为:2025 12.29 23：01</t>
  </si>
  <si>
    <t>Function_AcuRev4100_013_01_case16</t>
  </si>
  <si>
    <t>按照格式二设置DST时间(3月第1周周5 02:00 ~ 10月第5周周4 03:00)，开启DTS开关，系统时间在DST范围内，时间离开到DTS时间内(2024.10.31 02:54)，DTS功能正常</t>
  </si>
  <si>
    <t>1、连接AcuRev4100电表到Acuview2上，连接状态为connected
2、按照格式2（固定日期），设置DTS的时间段,：(3月第1周周5 02:00 ~ 10月第5周周4 03:00)
3、检查设置DST时间段是否成功
4、上位机上配置夏令时夏令时DST设置为enable，
5、检查开启夏令时DST设置为enable是否成功
5.1 设置地当前系统时间为2024.10.31 02:54
5.2 观察上位机和HMI上检查电表时间是否立即跳变03:54
5.3、等待6分钟，
6、上位机和HMI上检查电表时间是否在第5分钟时候，跳变为2024.10.31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</si>
  <si>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6、上位机和HMI上检查电表时间在第5分钟时候，跳变为2024.10.31 02:00
8、设置夏令时DST设置为disable成功
9、上位机和HMI上检查电表时间未发生变化。</t>
  </si>
  <si>
    <t>Function_AcuRev4100_013_01_case17</t>
  </si>
  <si>
    <t>1、连接AcuRev4100电表到Acuview2上，连接状态为connected
2、按照格式2（固定日期），设置DTS的时间段,：(3月第1周周5 00:00 ~ 10月第5周周4 03:00)
3、检查设置DST时间段是否成功
4、上位机上配置夏令时夏令时DST设置为enable，
5、检查开启夏令时DST设置为enable是否成功
5.1 设置地当前系统时间为2025.10.30 02:54
5.2 观察上位机和HMI上检查电表时间是否立即跳变2025.10.30 01:54
5.3、掉电等待6分钟后上电，
6、查看上位机和HMI上检查电表时间是否在第5分钟时候，跳变为2025.10.30 02:00
7、设置夏令时DST设置为disable
8、检查设置夏令时DST设置为disable是否成功
9、上位机和HMI上检查电表时间是否变化。</t>
  </si>
  <si>
    <t>Function_AcuRev4100_013_01_case17_01</t>
  </si>
  <si>
    <t>1、连接AcuRev4100电表到Acuview2上，连接状态为connected
2、夏令时设置format2，，end设置为6月第一周的周一，正常退出，接着修改end设置为7月第一周的周一，时间是03:00,，adjust time为60
3、修改电表系统时间为2025年7月7日2:59:50
4、查看时间是否会回退一小时</t>
  </si>
  <si>
    <t>Function_AcuRev4100_013_01_case18</t>
  </si>
  <si>
    <t>1、连接AcuRev4100电表到Acuview2上，连接状态为connected
2、按照格式2（固定日期），设置DTS的时间段,：(1月第1周周1 2:00 ~ 02月第5周周4 03:00)
3、检查设置DST时间段是否成功
4、上位机上配置夏令时夏令时DST设置为enable，
5、检查开启夏令时DST设置为enable是否成功
5.1 设置地当前系统时间为2024.1.1 01：55
5.2 等待6分钟
6、上位机和HMI上检查电表时间是否在第5分钟时候，跳变为:2024.1.01 03：00
7、设置夏令时DST设置为disable
8、检查设置夏令时DST设置为disable是否成功
9、上位机和HMI上检查电表时间是否立即跳变为2024.1.1 02：00</t>
  </si>
  <si>
    <t>Function_AcuRev4100_013_01_case19</t>
  </si>
  <si>
    <t>按照格式二设置DST时间(1月第1周周5 02:00 ~ 02月第4周周4 03:00)，开启DTS开关，系统时间在DST范围外(2025.1.1 01：55 非闰年)，时间进入到DTS时间内，DTS功能正常</t>
  </si>
  <si>
    <t>1、连接AcuRev4100电表到Acuview2上，连接状态为connected
2、按照格式1（固定日期），设置DTS的时间段,：(1月第1周周1 2:00 ~ 02月第4周周4 03:00)
3、检查设置DST时间段是否成功
4、上位机上配置夏令时夏令时DST设置为enable，
5、检查开启夏令时DST设置为enable是否成功
5.1 设置地当前系统时间为2025.2.27 02：55
5.2 等待6分钟
6、上位机和HMI上检查电表时间是否在第5分钟时候，跳变为:2025.2.27  02：00
7、设置夏令时DST设置为disable
8、检查设置夏令时DST设置为disable是否成功
9、上位机和HMI上检查电表时间是否变化</t>
  </si>
  <si>
    <t>Function_AcuRev4100_013_01_case20</t>
  </si>
  <si>
    <t>1、连接AcuRev4100电表到Acuview2上，连接状态为connected
2、按照格式2（固定日期），设置DTS的时间段,：(1月第1周周5 2:00 ~ 02月第5周周4 03:00)
3、检查设置DST时间段是否成功
4、上位机上配置夏令时夏令时DST设置为enable，
5、检查开启夏令时DST设置为enable是否成功
5.1 设置地当前系统时间为2024.2.29 02:54
5.2 观察上位机和HMI上检查电表时间是否立即跳变01:54
5.3、等待6分钟，
6、上位机和HMI上检查电表时间是否在第5分钟时候，跳变为2024.2.29 02:00
7、设置夏令时DST设置为disable
8、检查设置夏令时DST设置为disable是否成功
9、上位机和HMI上检查电表时间是否变化。</t>
  </si>
  <si>
    <t>3、检查设置DST时间段成功
5、检查开启夏令时DST设置为enable成功
5.2 观察上位机和HMI上检查电表时间不跳变
6、上位机和HMI上检查电表时间在第5分钟时候，跳变为2024.2.29 01:00
8、设置夏令时DST设置为disable成功
9、上位机和HMI上检查电表时间未发生变化。</t>
  </si>
  <si>
    <t>Function_AcuRev4100_013_02_case1</t>
  </si>
  <si>
    <t>配置1个session, session对应配置1个Schedule Id，Schedule ID对应配置1个segment ID，配置功能正常</t>
  </si>
  <si>
    <t xml:space="preserve">1、连接AcuRev4100电表到Acuview2上，连接状态为connected
2、上位机上配置一个Schedule ID，对应配置一个segment ID(覆盖 尖sharp、峰peak、谷valley、平normal)
3、添加一个Season， 并关联步骤二配置Schedule ID.
4、上位机上点击"Update"。
5、检查步骤2-3中的配置是否保存成功。 
</t>
  </si>
  <si>
    <t>Function_AcuRev4100_013_02_case2</t>
  </si>
  <si>
    <t xml:space="preserve">1、连接AcuRev4100电表到Acuview2上，连接状态为connected
2、上位机上配置一个Schedule ID，对应配置14个segment ID((覆盖 尖sharp、峰peak、谷valley、平normal))
3、添加一个Season， 并关联步骤二配置Schedule ID.
4、上位机上点击"Update"。
5、检查步骤2-3中的配置是否保存成功。 
6、在步骤2的Schedule ID上，对应配置第15个segment ID
7、检查上位机是否报错， 提示segment ID最大值14.
</t>
  </si>
  <si>
    <t>Function_AcuRev4100_013_02_case3</t>
  </si>
  <si>
    <t xml:space="preserve">1、连接AcuRev4100电表到Acuview2上，连接状态为connected
2、上位机上配置两个Schedule Id，每个各配置14个segment ID((覆盖 尖sharp、峰peak、谷valley、平normal))
3、添加两个Season， Season1关联步骤二配置Schedule ID1，Season2关联步骤二配置Schedule ID2.
4、上位机上点击"Update"。
5、检查步骤2-3中的配置是否保存成功。 </t>
  </si>
  <si>
    <t>Function_AcuRev4100_013_02_case4</t>
  </si>
  <si>
    <t>1、连接AcuRev4100电表到Acuview2上，连接状态为connected
2、上位机上配置14个Schedule Id，每个各配置14个segment ID((覆盖 尖sharp、峰peak、谷valley、平normal))
3、添加12个Season， Season1~12依次按顺序关联步骤二配置Schedule ID1~12.
4、上位机上点击"Update"。
5、检查步骤2-3中的配置是否保存成功。 
6、在步骤3的Season ID基础上，对应配置第13个Season ID
7、检查上位机是否报错， 提示Season ID最大值12.</t>
  </si>
  <si>
    <t>Function_AcuRev4100_013_02_case5</t>
  </si>
  <si>
    <t xml:space="preserve">1、连接AcuRev4100电表到Acuview2上，连接状态为connected
2、上位机上配置14个Schedule Id，每个各配置14个segment ID((覆盖 尖sharp、峰peak))
3、添加12个Season， Season1~12按随机顺序关联步骤二配置Schedule ID1~12.
4、上位机上点击"Update"。
5、检查步骤2-3中的配置是否保存成功。 </t>
  </si>
  <si>
    <t>Function_AcuRev4100_013_02_case5_1</t>
  </si>
  <si>
    <t>删除一个TOU Season，update 更新保存正常</t>
  </si>
  <si>
    <t>1、Acuview2上位机
2、网线/RTU串口线
3、AcuRev4100电表
4、已经添加一个TOU Season</t>
  </si>
  <si>
    <t xml:space="preserve">1、连接AcuRev4100电表到Acuview2上，连接状态为connected
2、删除一个TOU Season
3、上位机上点击"Update"。
4、检查步骤2-3中的配置是否保存成功。 </t>
  </si>
  <si>
    <t>4、检查步骤2-3中的配置保存成功，删除1个TOU Season</t>
  </si>
  <si>
    <t>Function_AcuRev4100_013_02_case5_2</t>
  </si>
  <si>
    <t>删除一个全部TOU Season(3个)，update 更新保存正常</t>
  </si>
  <si>
    <t>1、Acuview2上位机
2、网线/RTU串口线
3、AcuRev4100电表
4、已经添加3个TOU Season</t>
  </si>
  <si>
    <t xml:space="preserve">1、连接AcuRev4100电表到Acuview2上，连接状态为connected
2、删除3个TOU Season
3、上位机上点击"Update"。
4、检查步骤2-3中的配置是否保存成功。 </t>
  </si>
  <si>
    <t>4、检查步骤2-3中的配置保存成功，删除3个TOU Season</t>
  </si>
  <si>
    <t>Function_AcuRev4100_013_02_case5_3</t>
  </si>
  <si>
    <t>删除一个TOU Schedule，update 更新保存正常</t>
  </si>
  <si>
    <t>1、Acuview2上位机
2、网线/RTU串口线
3、AcuRev4100电表
4、已经添加1个TOU Schedule</t>
  </si>
  <si>
    <t xml:space="preserve">1、连接AcuRev4100电表到Acuview2上，连接状态为connected
2、删除1个TOU Schedule
3、上位机上点击"Update"。
4、检查步骤2-3中的配置是否保存成功。 </t>
  </si>
  <si>
    <t>4、检查步骤2-3中的配置保存成功，删除1个TOU Schedule</t>
  </si>
  <si>
    <t>Function_AcuRev4100_013_02_case5_4</t>
  </si>
  <si>
    <t>删除一个全部TOU Schedule(3个)，update 更新保存正常</t>
  </si>
  <si>
    <t xml:space="preserve">1、连接AcuRev4100电表到Acuview2上，连接状态为connected
2、删除3个TOU Schedule
3、上位机上点击"Update"。
4、检查步骤2-3中的配置是否保存成功。 </t>
  </si>
  <si>
    <t>Function_AcuRev4100_013_02_case6</t>
  </si>
  <si>
    <t>配置tariff 分别为sharp并update，检查創建segment ID時候，只能选择sharp</t>
  </si>
  <si>
    <t xml:space="preserve">1、连接AcuRev4100电表到Acuview2上，连接状态为connected
2、上位机上tariff勾选“sharp”
3、上位机上检查segment ID费率是否只能选择“sharp”。
4、上位机上点击"Update"。
5、检查步骤2-3中的配置是否保存成功。 </t>
  </si>
  <si>
    <t xml:space="preserve">3、上位机上segment ID费率只能选择“sharp”。
5、步骤2-3中的配置更新保存成功。 </t>
  </si>
  <si>
    <t>Function_AcuRev4100_013_02_case7</t>
  </si>
  <si>
    <t xml:space="preserve">1、连接AcuRev4100电表到Acuview2上，连接状态为connected
2、上位机上tariff勾选“sharp、peak”
3、上位机上检查segment ID费率是否只能选择“sharp、peak”。
4、上位机上点击"Update"。
5、检查步骤2-3中的配置是否保存成功。 </t>
  </si>
  <si>
    <t>Function_AcuRev4100_013_02_case8</t>
  </si>
  <si>
    <t>配置tariff 为sharp、peak、valley、normal并update，检查創建segment ID時候，sharp、peak、valley、normal均可选择</t>
  </si>
  <si>
    <t xml:space="preserve">1、连接AcuRev4100电表到Acuview2上，连接状态为connected
2、上位机上tariff勾选“sharp、peak、valley、normal”。
3、上位机上检查segment ID费率是否只能选择“sharp、peak、valley、normal”。
4、上位机上点击"Update"。
5、检查步骤2-3中的配置是否保存成功。 </t>
  </si>
  <si>
    <t xml:space="preserve">3、上位机上segment ID费率只能选择“sharp、peak、valley、normal”。
5、步骤2-3中的配置更新保存成功。 </t>
  </si>
  <si>
    <t>Function_AcuRev4100_013_02_case9</t>
  </si>
  <si>
    <t xml:space="preserve">1、连接AcuRev4100电表到Acuview2上，连接状态为connected
2、上位机创建segment ID時选择sharp、peak、valley、normal并同步成功
3、上位机上tariff去勾选“normal”
4、上位机上点击"Update"。
5、检查步骤2-3中的配置是否保存成功。 </t>
  </si>
  <si>
    <t xml:space="preserve">3、去勾选时，上位机会提示has been used
5、步骤2-3中的配置更新保存提示失败。 </t>
    <phoneticPr fontId="10" type="noConversion"/>
  </si>
  <si>
    <t>Function_AcuRev4100_013_02_case9_1</t>
  </si>
  <si>
    <t>删除一个Segment，update 更新保存正常</t>
  </si>
  <si>
    <t>1、Acuview2上位机
2、网线/RTU串口线
3、AcuRev4100电表
4、已添加一个Segment</t>
  </si>
  <si>
    <t xml:space="preserve">1、连接AcuRev4100电表到Acuview2上，连接状态为connected
2、删除一个Segment
3、上位机上点击"Update"。
4、检查步骤2-3中的配置是否保存成功。 </t>
  </si>
  <si>
    <t>4、检查步骤2-3中的配置保存成功，删除1个Segment</t>
  </si>
  <si>
    <t>Function_AcuRev4100_013_02_case9_2</t>
  </si>
  <si>
    <t>删除一个全部Segment(3个)，update 更新保存正常</t>
  </si>
  <si>
    <t>1、Acuview2上位机
2、网线/RTU串口线
3、AcuRev4100电表
4、已添加3个Segment</t>
  </si>
  <si>
    <t xml:space="preserve">1、连接AcuRev4100电表到Acuview2上，连接状态为connected
2、删除3个Segment
3、上位机上点击"Update"。
4、检查步骤2-3中的配置是否保存成功。 </t>
  </si>
  <si>
    <t>4、检查步骤2-3中的配置保存成功，删除3个Tsegment</t>
  </si>
  <si>
    <t>Function_AcuRev4100_013_02_case10</t>
  </si>
  <si>
    <t>1、连接AcuRev4100电表到Acuview2上，连接状态为connected
2、打开“Enable TOU”开关。
3、上位机上点击"Update"。
4、检查步骤2-3中的配置是否保存成功。
5、关闭“Enable TOU”开关。
6、上位机上点击"Update"。
7、检查步骤5-6中的配置是否成功</t>
  </si>
  <si>
    <t>Function_AcuRev4100_013_02_case10_01</t>
  </si>
  <si>
    <t>1、连接AcuRev4100电表到Acuview2上，连接状态为connected
2、打开“Enable TOU”开关。
3、修改上位机TOU中各个参数
4、上位机上点击"Update"。
5、修改成功后掉电
6、上电，连接AcuRev4100电表到Acuview2上，连接状态为connected
7、查看tou中各个参数是否因掉电而变化</t>
  </si>
  <si>
    <t>Function_AcuRev4100_013_02_case10_02</t>
  </si>
  <si>
    <t>1、连接AcuRev4100电表到Acuview2上，连接状态为connected
2、打开“Enable TOU”开关。
3、修改上位机TOU中各个参数
4、上位机上点击"Update"。
5、修改完成后查看是否修改成功
6、点击tou恢复出厂设置
7、比对恢复后表计tou参数是否与tou default setting</t>
  </si>
  <si>
    <t>Function_AcuRev4100_013_02_case11</t>
  </si>
  <si>
    <t>上位机执行“Reset To Default”, TOU配置恢复到出厂设置</t>
  </si>
  <si>
    <t>1、Acuview2上位机
2、网线/RTU串口线
3、AcuRev4100电表
4、TOU Season数据不为初始值
5、TOU Schedule数据不为初始值
6、TOU Holidays数据不为初始值
8、TOU Weekends数据不为初始值</t>
  </si>
  <si>
    <t xml:space="preserve">1、连接AcuRev4100电表到Acuview2上，连接状态为connected
2、上位机上点"Reset To Defeault”
3、检查TOU Season、TOU Schedule、TOU Holidays、TOU Weekends 配置是否恢复默认值。
</t>
  </si>
  <si>
    <t>3、TOU Season、TOU Schedule、TOU Holidays、TOU Weekends 配置恢复默认值。
备注:   TOU的默认值需要带modbus表恢复以后，补充。</t>
  </si>
  <si>
    <t>Function_AcuRev4100_013_02_case12</t>
  </si>
  <si>
    <t xml:space="preserve">1、Acuview2上位机
2、网线/RTU串口线
3、AcuRev4100电表
4、Monthly Billing Mode 设置为 "End Of Month" </t>
  </si>
  <si>
    <t>1、连接AcuRev4100电表到Acuview2上，连接状态为connected。
2、记录上位机上当前月和前一个月的数据TOU电能数据。
3、TOU关闭，接入电压220V，电流4A，等待5分钟。
4、修改系统时间为下个月1号23:58分，触发TOU电能结算。
5、观察上位机上是否有当月和前一个月电能数据变化。</t>
  </si>
  <si>
    <t>Function_AcuRev4100_013_02_case13</t>
  </si>
  <si>
    <t>1、Acuview2上位机
2、网线/RTU串口线
3、AcuRev4100电表
4、Enable TOU打开</t>
  </si>
  <si>
    <t>1、连接AcuRev4100电表到Acuview2上，连接状态为connected。
2、记录上位机上当前月和前一个月的数据TOU电能数据。
3、添加season1(start time: 03-01)，关联Schedule1，Schedule1配置1个segment(07:00 peak)
4、接入电压220V，电流4A，等待5分钟。
5、观察上位机上当月累计peak电能和新增peak电能数据是否增加。</t>
  </si>
  <si>
    <t>Function_AcuRev4100_013_02_case14</t>
  </si>
  <si>
    <t>TOU打开，1个season配置1个Schedule Id，Schedule ID配置2个segment ID(07:00 peak，12:00 Valley),修改系统时间08:00接入电压电流5分钟，修改系统时间13:00接入电压电流5分钟，上位机TOU peak费率和Valley费率电能上报正常。</t>
  </si>
  <si>
    <t>1、连接AcuRev4100电表到Acuview2上，连接状态为connected。
2、记录上位机上当前月和前一个月的数据TOU电能数据。
3、添加season1(start time: 03-01)，关联Schedule1，Schedule1配置2个segment(07:00 peak，12:00 Valley)
4、修改系统时间03-01 08:00，接入电压220V，电流4A，等待5分钟
5、观察上位机上当月累计peak电能和新增peak电能数据是否增加。其他费率电能没有变化。
6、修改系统时间03-02 13:00，接入电压220V，电流4A，等待5分钟
7、观察上位机上当月累计Valley电能和新增Valley电能数据是否增加。其他费率电能没有变化。</t>
  </si>
  <si>
    <t>5、上位机上当月累计peak电能和新增peak电能数据增加，其他费率电能没有变化。
7、上位机上当月累计Valley电能和新增Valley电能数据增加，其他费率电能没有变化。</t>
  </si>
  <si>
    <t>Function_AcuRev4100_013_02_case15</t>
  </si>
  <si>
    <t>TOU打开，1个season配置1个Schedule Id，Schedule ID配置2个segment ID(07:00 peak，12:00 Valley),修改系统时间05:00接入电压电流5分钟,上位机TOU Valley费率电能上报正常。</t>
  </si>
  <si>
    <t>1、连接AcuRev4100电表到Acuview2上，连接状态为connected。
2、记录上位机上当前月和前一个月的数据TOU电能数据。
3、添加season1(start time: 03-01)，关联Schedule1，Schedule1配置2个segment(07:00 peak，12:00 Valley)
4、修改系统时间 03-02 05:00，接入电压220V，电流4A，等待5分钟
5、观察上位机上当月累计Valley电能和新增Valley电能数据是否增加。其他费率电能没有变化。</t>
  </si>
  <si>
    <t>5、观察上位机上当月累计Valley电能和新增Valley电能数据增加，其他费率电能没有变化。</t>
  </si>
  <si>
    <t>Function_AcuRev4100_013_02_case16</t>
  </si>
  <si>
    <t>1、连接AcuRev4100电表到Acuview2上，连接状态为connected。
2、记录上位机上当前月和前一个月的数据TOU电能数据。
3、添加season1(start time: 03-10)，关联Schedule1，Schedule1配置4个segment(07:00 peak，12:00 Valley，16:00 sharp，20:00 Normal)
4、修改系统时间03-01 08:00，接入电压220V，电流4A，等待2分钟
5、观察上位机上当月累计peak电能和新增peak电能数据是否增加。其他费率电能没有变化。
6、修改系统时间 03-1013:00，接入电压220V，电流4A，等待2分钟
7、观察上位机上当月累计Valley电能和新增Valley电能数据是否增加。其他费率电能没有变化。
8、修改系统时间03-15 17:00，接入电压220V，电流4A，等待2分钟
9、观察上位机上当月累计sharp电能和新增sharp电能数据是否增加。其他费率电能没有变化。
10、修改系统时间03-15 00:00，接入电压220V，电流4A，等待2分钟
11、观察上位机上当月累计Normal电能和新增Normal电能数据是否增加。其他费率电能没有变化。
备注: 压流角45°，产生EP_Imp 和Eq_Imp电能(modbus地址表中无Eq_Imp电能，故删除)   ---建议保留</t>
  </si>
  <si>
    <t>Function_AcuRev4100_013_02_case17</t>
  </si>
  <si>
    <t xml:space="preserve">1、连接AcuRev4100电表到Acuview2上，连接状态为connected。
2、记录上位机上当前月和前一个月的数据TOU电能数据。
3、添加season1(start time: 03-01)，关联Schedule1，Schedule1配置2个segment(07:00 peak，12:00 Valley)
3.1、添加season2(start time: 03-28)，关联Schedule2，Schedule1配置2个segment(16:00 sharp，20:00 Normal)
4、修改系统时间03-04 08:00，接入电压220V，电流4A，等待2分钟
5、观察上位机上当月累计peak电能和新增peak电能数据是否增加。其他费率电能没有变化。
6、修改系统时间03-04 05:00，接入电压220V，电流4A，等待2分钟
7、观察上位机上当月累计Valley电能和新增Valley电能数据是否增加。其他费率电能没有变化。
8、修改系统时间03-29 17:00，接入电压220V，电流4A，等待2分钟
9、观察上位机上当月累计sharp电能和新增sharp电能数据是否增加。其他费率电能没有变化。
10、修改系统时间03-29 20:00，接入电压220V，电流4A，等待2分钟
11、观察上位机上当月累计Normal电能和新增Normal电能数据是否增加。其他费率电能没有变化。
</t>
  </si>
  <si>
    <t>Function_AcuRev4100_013_02_case18</t>
  </si>
  <si>
    <t>TOU打开，配置两个season(03-02, 04-02)分别对应Schedule Id1(07:00 peak，12:00 Valley、16:00 sharp，20:00 Normal)和Schedule Id2(07:00  peak，12:00 Valley、16:00 sharp，20:00 Normal))，修改系统时间在03-04 08:00 、05:00、17:00 、20:00 接入源5分钟，修改时间结束3月电能结算。修改系统时间在04-29 08:00 、05:00、17:00 、20:00 接入源5分钟，上位机可观察到当月TOU(Valley、peak、sharp、Normal)电能 和上个月TOU电能上报。</t>
  </si>
  <si>
    <t>1、Acuview2上位机
2、网线/RTU串口线
3、AcuRev4100电表
4、Enable TOU打开</t>
    <phoneticPr fontId="10" type="noConversion"/>
  </si>
  <si>
    <t>1、连接AcuRev4100电表到Acuview2上，连接状态为connected。
2、记录上位机上当前月和前一个月的数据TOU电能数据。
3、添加season1(start time: 03-02)，关联Schedule1，Schedule1配置4个segment(07:00 peak，12:00 Valley，16:00 sharp，20:00 Normal)
3.1、添加season2(start time: 04-28)，关联Schedule2，Schedule2配置4个segment(07:00 peak，12:00 Valley，16:00 sharp，20:00 Normal)
4、修改系统时间03-01 08:00，接入电压220V，电流4A，等待2分钟
4.1、观察上位机上当月累计peak电能和新增peak电能数据是否增加。其他费率电能没有变化。
5、修改系统时间03-02 15:00，接入电压220V，电流4A，等待2分钟
5.1、观察上位机上当月累计Valley电能和新增Valley电能数据是否增加。其他费率电能没有变化。
6、修改系统时间03-29 17:00，接入电压220V，电流4A，等待2分钟
6.1、观察上位机上当月累计sharp电能和新增sharp电能数据是否增加。其他费率电能没有变化。
7、修改系统时间03-29 20:00，接入电压220V，电流4A，等待2分钟
7.1、观察上位机上当月累计Normal电能和新增Normal电能数据是否增加。其他费率电能没有变化。
8、修改系统时间04-01 08:00，接入电压220V，电流4A，等待2分钟
8.1、观察上位机上当月累计peak电能和新增peak电能数据是否增加。其他费率电能没有变化。
9、修改系统时间04-02 15:00，接入电压220V，电流4A，等待2分钟
9.1、观察上位机上当月累计Valley电能和新增Valley电能数据是否增加。其他费率电能没有变化。
10、修改系统时间03-29 17:00，接入电压220V，电流4A，等待2分钟
10.1、观察上位机上当月累计sharp电能和新增sharp电能数据是否增加。其他费率电能没有变化。
11、修改系统时间03-29 20:00，接入电压220V，电流4A，等待2分钟
11.1、观察上位机上当月累计Normal电能和新增Normal电能数据是否增加。其他费率电能没有变化。
备注: 压流角45°，产生EP_Imp 和Eq_Imp电能(modbus地址表中无Eq_Imp电能，故删除)</t>
  </si>
  <si>
    <t xml:space="preserve">
4.1、上位机上当月累计peak电能和新增peak电能数据增加, 其他费率电能没有变化。
5.1、上位机上当月累计Valley电能和新增Valley电能数据增加, 其他费率电能没有变化。
6.1、上位机上当月累计sharp电能和新增sharp电能数据增加, 其他费率电能没有变化。
7.1、上位机上当月累计Normal电能和新增Normal电能数据增加, 其他费率电能没有变化。
8.1、上位机上当月累计peak电能和新增peak电能数据增加, 其他费率电能没有变化。
9.1、上位机上当月累计Valley电能和新增Valley电能数据增加, 其他费率电能没有变化。
10.1、上位机上当月累计sharp电能和新增sharp电能数据增加, 其他费率电能没有变化。
11.1、上位机上当月累计Normal电能和新增Normal电能数据增加, 其他费率电能没有变化。</t>
  </si>
  <si>
    <t>Function_AcuRev4100_013_02_case19</t>
  </si>
  <si>
    <t xml:space="preserve">1、Acuview2上位机
2、网线/RTU串口线
3、AcuRev4100电表
4、Enable TOU打开
5、Monthly Billing Mode 设置为 "End Of Month" </t>
  </si>
  <si>
    <t xml:space="preserve">1、连接AcuRev4100电表到Acuview2上，连接状态为connected。
2、记录上位机上当前月和前一个月的数据TOU电能数据。
3、添加season1(start time: 03-02)，关联Schedule1，Schedule1配置2个segment(16:00 sharp，20:00 Normal)
3.1、添加season2(start time: 04-02)，关联Schedule2，Schedule2配置2个segment(16:00 sharp，20:00 Normal)
3.2、添加season3(start time: 05-02)，关联Schedule2，Schedule2配置2个segment(16:00 sharp，20:00 Normal)
4、修改系统时间03-04 17:00，接入电压220V，电流4A，等待2分钟
4.1、观察上位机上当月累计sharp电能和新增sharp电能数据是否增加。其他费率电能没有变化。
5、修改系统时间03-31 23:59，接入电压220V，电流4A，等待2分钟
5.1、观察上位机上当月累计sharp电能和新增sharp电能数据是否增加。其他费率电能没有变化，
5.2、观察上位机前一月累计sharp电能和新增sharp电能数据是否为累加3月份数据之后的电能数据。其他费率电能没有变化
6、修改系统时间04-30 23:59，接入电压220V，电流4A，等待2分钟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t>
  </si>
  <si>
    <t>Function_AcuRev4100_013_03_case1</t>
  </si>
  <si>
    <t>1、连接AcuRev4100电表到Acuview2上，连接状态为connected。
2、TOU Weekends栏，Weekend Selection勾选Sat、Sun
3、weekday Schedule配置已经添加的TOU scheduls之一
4、上位机上点击"Update"。
5、检查步骤2-3中的配置是否保存成功。</t>
  </si>
  <si>
    <t>Function_AcuRev4100_013_03_case2</t>
  </si>
  <si>
    <t>TOU Weekends栏，Weekend Selection勾选Mon、Tue、Wed、Thu、Fri、Sat、Sun，weekday Schedule配置已经添加的TOR Seasons 之一，配置成功</t>
  </si>
  <si>
    <t>1、连接AcuRev4100电表到Acuview2上，连接状态为connected。
2、TOU Weekends栏，Weekend Selection勾选Mon、Tue、Wed、Thu、Fri、Sat、Sun
3、weekday Schedule配置已经添加的TOU scheduls之一
4、上位机上点击"Update"。
5、检查步骤2-3中的配置是否保存成功。</t>
  </si>
  <si>
    <t>Function_AcuRev4100_013_03_case3</t>
  </si>
  <si>
    <t>Special Weekday Schedule栏，已存在season ID1配置Schedule ID1(勾选Sat、Sun）可配置成功，特殊周休配置开关开启和关闭正常</t>
  </si>
  <si>
    <t>1、Acuview2上位机
2、网线/RTU串口线
3、AcuRev4100电表
4、“Enable Special Weekday Schedule”关闭状态</t>
  </si>
  <si>
    <t>1、连接AcuRev4100电表到Acuview2上，连接状态为connected。
2、Special Weekday Schedule栏，已存在season1配置Schedule1(勾选Sat、Sun）
3、打开“Enable Special Weekday Schedule”
4、上位机上点击"Update"。
5、检查步骤2-3中的配置是否保存成功。
6、关闭“Enable Special Weekday Schedule”
7、上位机上点击"Update"。
8、检查步骤2-3中的配置是否保存成功。</t>
  </si>
  <si>
    <t>Function_AcuRev4100_013_03_case4</t>
  </si>
  <si>
    <t>1、连接AcuRev4100电表到Acuview2上，连接状态为connected。
2、Special Weekday Schedule栏，已存在season1配置Schedule1(勾选Mon、Tue、Wed、Thu、Fri、Sat Sun，Sat）
3、打开“Enable Special Weekday Schedule”
4、上位机上点击"Update"。
5、检查步骤2-3中的配置是否保存成功。
6、关闭“Enable Special Weekday Schedule”
7、上位机上点击"Update"。
8、检查步骤2-3中的配置是否保存成功。</t>
  </si>
  <si>
    <t>Function_AcuRev4100_013_03_case5</t>
  </si>
  <si>
    <t>1、连接AcuRev4100电表到Acuview2上，连接状态为connected。
2、Special Weekday Schedule栏，已存在season1配置Schedule2(勾选Mon、Tue、Wed、Thu、Fri、Sat Sun，Sat）
3、打开“Enable Special Weekday Schedule”
4、上位机上点击"Update"。
5、检查步骤2-3中的配置是否保存成功。
6、关闭“Enable Special Weekday Schedule”
7、上位机上点击"Update"。
8、检查步骤2-3中的配置是否保存成功。</t>
  </si>
  <si>
    <t>Function_AcuRev4100_013_03_case6</t>
  </si>
  <si>
    <t>Special Weekday Schedule栏，已存在season ID1配置Schedule ID1(勾选Mon、Tue）、Schedule ID2（勾选Wed、Thu、Fri）、Schedule ID3（勾选Sun，Sat）可配置成功，特殊周休配置开关开启和关闭正常</t>
  </si>
  <si>
    <t>1、连接AcuRev4100电表到Acuview2上，连接状态为connected。
2、Special Weekday Schedule栏，已存在season1配置Schedule2(勾选Mon、Tue）、Schedule ID2（勾选Wed、Thu、Fri）、Schedule ID3（勾选Sun，Sat）
3、打开“Enable Special Weekday Schedule”
4、上位机上点击"Update"。
5、检查步骤2-3中的配置是否保存成功。
6、关闭“Enable Special Weekday Schedule”
7、上位机上点击"Update"。
8、检查步骤2-3中的配置是否保存成功。</t>
  </si>
  <si>
    <t>Function_AcuRev4100_013_03_case7</t>
  </si>
  <si>
    <t>1、连接AcuRev4100电表到Acuview2上，连接状态为connected。
2、Special Weekday Schedule栏，已存在season ID1配置Schedule ID2勾选Mon、Tue、Wed、Thu、Fri、Sat Sun，Sat），已存在season ID2配置Schedule ID2(勾选Mon、Tue、Wed、Thu、Fri、Sat Sun，Sat）
3、打开“Enable Special Weekday Schedule”
4、上位机上点击"Update"。
5、检查步骤2-3中的配置是否保存成功。
6、打开“Enable Special Weekday Schedule”
7、上位机上点击"Update"。
8、检查步骤2-3中的配置是否保存成功。</t>
  </si>
  <si>
    <t>Function_AcuRev4100_013_03_case8</t>
  </si>
  <si>
    <t>1、连接AcuRev4100电表到Acuview2上，连接状态为connected。
2、Special Weekday Schedule栏，配置添加1个不存在的season
3、上位机上点击"Update"。
4、检查步骤2-3中的配置是否保存成功。</t>
  </si>
  <si>
    <t>Function_AcuRev4100_013_03_case9</t>
  </si>
  <si>
    <t>Special Weekday Schedule栏，删除一个已添加的season成功，update保存设置成功。</t>
  </si>
  <si>
    <t>1、连接AcuRev4100电表到Acuview2上，连接状态为connected。
2、Special Weekday Schedule栏，删除一个已添加的season
3、上位机上点击"Update"。
4、检查步骤2-3中的配置是否保存成功。</t>
  </si>
  <si>
    <t>Function_AcuRev4100_013_03_case10</t>
  </si>
  <si>
    <t>Special Weekday Schedule栏，删除2个已添加的season成功，update保存设置成功。</t>
  </si>
  <si>
    <t>1、连接AcuRev4100电表到Acuview2上，连接状态为connected。
2、Special Weekday Schedule栏，删除2个已添加的season
3、上位机上点击"Update"。
4、检查步骤2-3中的配置是否保存成功。</t>
  </si>
  <si>
    <t>Function_AcuRev4100_013_03_case11</t>
  </si>
  <si>
    <t>Special Weekday Schedule栏，删除所有已添加的season成功，update保存设置成功。</t>
  </si>
  <si>
    <t>1、连接AcuRev4100电表到Acuview2上，连接状态为connected。
2、Special Weekday Schedule栏，删除所有已添加的season
3、上位机上点击"Update"。
4、检查步骤2-3中的配置是否保存成功。</t>
  </si>
  <si>
    <t>Function_AcuRev4100_013_03_case12</t>
  </si>
  <si>
    <t xml:space="preserve">关闭“Special Weekday Schedule”,Weekday Schedule栏配置已存在Schedule DI1(勾选Sat、Sun),修改系统时间构造条件触发TOU电能结算，Season ID1和Season ID2的Sat、Sun上报TOU电能费率与Schedule DI1保持一致，Mon-Fri上报费率电能Season ID1和Season ID2各自配置的Schedule 保持一致。
</t>
  </si>
  <si>
    <t>1、Acuview2上位机
2、网线/RTU串口线
3、AcuRev4100电表
4、使能TOU Enable</t>
  </si>
  <si>
    <t>1、连接AcuRev4100电表到Acuview2上，连接状态为connected。
2、配置Season1(startDate：03-02)，关联Schedule1(Segment1 07:00 peak)
3、配置Season2(startDate：03-15)，关联Schedule2(Segment1 07:00 Sharp)
4、关闭“Special Weekday Schedule”
5、Weekday Schedule栏配置已存在Schedule1(勾选Sat、Sun)
6、修改系统时间为03-02 06:58，掉电到03-02 07：01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7.1、观察上位机上当月累计peak电能和新增peak电能数据是否增加。其他费率电能没有变化，
7.2、修改系统时间为03-21 08:00， 接入接入电压220V，电流4A，等待5分钟
7.3、观察上位机上当月累计Sharp电能和新增Sharp电能数据是否增加。其他费率电能没有变化，</t>
  </si>
  <si>
    <t>6.1、上位机上当月累计peak电能和新增peak电能数据增加。其他费率电能没有变化，
6.3、上位机上当月累计peak电能和新增peak电能数据增加。其他费率电能没有变化，
7.1、上位机上当月累计peak电能和新增peak电能数据增加。其他费率电能没有变化，
7.3、上位机上当月累计sharp电能和新增sharp电能数据增加，其他费率电能没有变化。</t>
  </si>
  <si>
    <t>Function_AcuRev4100_013_03_case13</t>
  </si>
  <si>
    <t>1、Acuview2上位机
2、网线/RTU串口线
3、AcuRev4100电表
4、未使能TOU Enable</t>
  </si>
  <si>
    <t xml:space="preserve">1、连接AcuRev4100电表到Acuview2上，连接状态为connected。
2、配置Season1(startDate：03-02)，关联Schedule1(Segment107:00 peak)
3、配置Season2(startDate：03-15)，关联Schedule2(Segment107:00 Sharp)
4、关闭“Special Weekday Schedule”
5、Weekday Schedule栏配置已存在Schedule1(勾选Sat、Sun)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</si>
  <si>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Function_AcuRev4100_013_03_case14</t>
  </si>
  <si>
    <t>1、连接AcuRev4100电表到Acuview2上，连接状态为connected。
2、配置Season1(startDate：03-02)，关联Schedule1(Segment107:00 peak)
3、配置Season2(startDate：03-15)，关联Schedule2(Segment107:00 Sharp)
4、关闭“Special Weekday Schedule”
5、Weekday Schedule栏配置已存在Schedule2(勾选Sat、Sun)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</si>
  <si>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t>Function_AcuRev4100_013_03_case15</t>
  </si>
  <si>
    <t xml:space="preserve">1、连接AcuRev4100电表到Acuview2上，连接状态为connected。
2、配置Season1(startDate：03-02)，关联Schedule1(Segment107:00 peak)
3、配置Season2(startDate：03-15)，关联Schedule2(Segment107:00 Sharp)
4、关闭“Special Weekday Schedule”
5、Weekday Schedule栏配置已存在Schedule2(勾选Sat、Sun、Mon、Tue、Wed、Tue、Thu、Fri)
6、修改系统时间为03-05 08:00， 接入接入电压220V，电流4A，等待5分钟
6.1、观察上位机上当月累计sharp电能和新增sharp电能数据是否增加。其他费率电能没有变化，
6.2、修改系统时间为03-07 08:00， 接入接入电压220V，电流4A，等待5分钟
6.3、观察上位机上当月累计sharp电能和新增sharp电能数据是否增加。其他费率电能没有变化，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压流角225°，产生EP_Exp 和Eq_Exp电能 </t>
  </si>
  <si>
    <t>Function_AcuRev4100_013_03_case16</t>
  </si>
  <si>
    <t>打开“Special Weekday Schedule”,Special Weekday Schedule栏Season1配置Schedule DI1(勾选Sat、Sun),修改系统时间构造条件触发Season ID1日期内上报费率电能与Schedule DI1 保持一致</t>
  </si>
  <si>
    <t>1、连接AcuRev4100电表到Acuview2上，连接状态为connected。
2、配置Season1(startDate：03-02)，关联Schedule1(Segment107:00 peak)
3、配置Season2(startDate：03-15)，关联Schedule2(Segment107:00 Sharp)
4、使能“Special Weekday Schedule"开关
5、Special Weekday Schedule栏Season1配置Schedule1(勾选Sat、Sun)。
6、修改系统时间为2025.03-05 08:00， 接入接入电压220V，电流4A，等待5分钟
6.1、观察上位机上当月累计peak电能和新增peak电能数据是否增加。其他费率电能没有变化，
6.2、修改系统时间为2025.03-07 08:00， 接入接入电压220V，电流4A，等待5分钟
6.3、观察上位机上当月累计peak电能和新增peak电能数据是否增加。其他费率电能没有变化，
7、修改系统时间为2025.03-16 07:58，掉电到2025 03-16 08:02上电， 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t>
  </si>
  <si>
    <t>6.1、上位机上当月累计peak电能和新增peak电能数据增加，其他费率电能没有变化。
6.3、上位机上当月累计peak电能和新增peak电能数据增加，其他费率电能没有变化。
7.1、上位机上当月累计sharp电能和新增sharp电能数据增加。其他费率电能没有变化。
7.3、上位机上当月累计Sharp电能和新增Sharp电能数据增加，其他费率电能没有变化。</t>
  </si>
  <si>
    <t>Function_AcuRev4100_013_03_case17</t>
  </si>
  <si>
    <t>1、连接AcuRev4100电表到Acuview2上，连接状态为connected。
2、配置Season1(startDate：03-02)，关联Schedule1(Segment107:00 peak)
3、配置Season2(startDate：03-15)，关联Schedule2(Segment107:00 Sharp)
4、使能“Special Weekday Schedule"开关
5、Special Weekday Schedule栏Season1配置Schedule2(勾选Sat、Sun)。
6、修改系统时间为03-05 08:00， 接入接入电压220V，电流4A，等待5分钟
6.1、观察上位机上当月累计peak电能和新增peak电能数据是否增加。其他费率电能没有变化，
6.2、修改系统时间为03-07 08:00， 接入接入电压220V，电流4A，等待5分钟
6.3、观察上位机上当月累计peak电能和新增peak电能数据是否增加。其他费率电能没有变化，
7、修改系统时间为03-16 08:00， 接入接入电压220V，电流4A，等待5分钟
7.1、观察上位机上当月累计Sharp电能和新增Sharp电能数据是否增加。其他费率电能没有变化，
7.2、修改系统时间为03-21 08:00， 接入接入电压220V，电流4A，等待5分钟
7.3、观察上位机上当月累计Sharp电能和新增Sharp电能数据是否增加。其他费率电能没有变化，
备注: 压流角45°，产生EP_Imp 和Eq_Imp电能</t>
  </si>
  <si>
    <t xml:space="preserve">Function_AcuRev4100_013_03_case18 </t>
  </si>
  <si>
    <t>1、连接AcuRev4100电表到Acuview2上，连接状态为connected。
2、配置Season1(startDate：03-02)，关联Schedule1(Segment10 7:00 peak)
3、配置Schedule2(Segment1 10:00 Sharp)、Schedule3(Segment11  5:00 Normal)
4、使能“Special Weekday Schedule"开关
5、Special Weekday Schedule栏Season1配置Schedule2(勾选Sat、Sun)、Schedule3(勾选Mon、Tue)。
6、修改系统时间为2024.03-05(Tue) 08:00， 接入接入电压220V，电流4A，等待5分钟
6.1、观察上位机上当月累计Normal电能和新增Normal电能数据是否增加。其他费率电能没有变化，
6.2、修改系统时间为2024.03-06(Wed) 08:00， 接入接入电压220V，电流4A，等待5分钟
6.3、观察上位机上当月累计peak电能和新增peak电能数据是否增加。其他费率电能没有变化，
7、修改系统时间为2024.03-09(Sat) 08:00， 接入接入电压220V，电流4A，等待5分钟
7.1、观察上位机上当月累计Sharp电能和新增Sharp电能数据是否增加。其他费率电能没有变化，
备注: 压流角45°，产生EP_Imp 和Eq_Imp电能</t>
  </si>
  <si>
    <t>Function_AcuRev4100_013_03_case19</t>
  </si>
  <si>
    <t>1、连接AcuRev4100电表到Acuview2上，连接状态为connected。
2、配置Season1(startDate：03-02)，关联Schedule1(Segment107:00 peak)
3、配置Schedule2(Segment1 10:00 Sharp)
4、不使能“Special Weekday Schedule"开关
5、Special Weekday Schedule栏Season1配置Schedule2(勾选Sat、Sun)
6、修改系统时间为2024.03-05(Tue) 08:00， 接入接入电压220V，电流4A，等待5分钟
6.1、观察上位机上当月累计peak电能和新增peak电能数据是否增加。其他费率电能没有变化，
7、修改系统时间为2024.03-09(Sat) 08:00， 接入接入电压220V，电流4A，等待5分钟
7.1、观察上位机上当月累计peak电能和新增peak电能数据是否增加。其他费率电能没有变化，
备注: 压流角45°，产生EP_Imp 和Eq_Imp电能</t>
  </si>
  <si>
    <t>Function_AcuRev4100_013_03_case20</t>
  </si>
  <si>
    <t xml:space="preserve">1、连接AcuRev4100电表到Acuview2上，连接状态为connected。
2、配置Season1(startDate：03-02)，关联Schedule1(Segment107:00 peak)
3、配置Schedule2(Segment1 10:00 Sharp)
4、使能“Special Weekday Schedule"开关
5、Special Weekday Schedule栏Season1配置Schedule2勾选Sat、Sun、Mon、Tue、Wed、Tue、Thu、Fri)
6、修改系统时间为2024.03-07(Tue) 08:00， 接入接入电压220V，电流4A，等待5分钟
6.1、观察上位机上当月累计Sharp电能和新增Sharp电能数据是否增加。其他费率电能没有变化，
7、修改系统时间为2024.03-09(Sat) 08:00， 接入接入电压220V，电流4A，等待5分钟
7.1、观察上位机上当月累计Sharp电能和新增Sharp电能数据是否增加。其他费率电能没有变化，
</t>
  </si>
  <si>
    <t>Function_AcuRev4100_013_03_case21</t>
  </si>
  <si>
    <t>打开“Special Weekday Schedule”,Special Weekday Schedule栏Season ID1配置Schedule DI2(勾选Sat、Sun)；Season ID2配置Schedule ID1(勾选Sat、Sun)，修改系统时间构造条件触发TOU电能结算，Season ID1的周六和周日上报TOU费率电能和Schedule DI2 保持一致，Season ID1周一~周五上报TOU费率电能和Schedule DI1保持一致，Season ID2的周六和周日上报TOU费率电能和Schedule DI1保持一致，Season ID2周一~周五上报TOU费率电能和Schedule DI2保持一致.</t>
  </si>
  <si>
    <t xml:space="preserve">1、连接AcuRev4100电表到Acuview2上，连接状态为connected。
2、配置Season1(startDate：03-02)，关联Schedule1(Segment10   7:00 peak)
3、配置Season2(startDate：03-15)，关联Schedule2(Segment10   7:00 Valley)
4、使能“Special Weekday Schedule"开关
5、Special Weekday Schedule栏Season1配置Schedule2(勾选Mon、Tue、Wed、Thu、Fri)；Season2配置Schedule1(勾选Mon、Tue、Wed、Thu、Fri)
6、修改系统时间为2024.03-05(Tue) 08:00， 接入接入电压220V，电流4A，等待5分钟
6.1、观察上位机上当月累计Valley电能和新增Valley电能数据是否增加。其他费率电能没有变化，
6.2、修改系统时间为2024.03-09(Sat) 08:00， 接入接入电压220V，电流4A，等待5分钟
6.3、观察上位机上当月累计peak电能和新增peak电能数据是否增加。其他费率电能没有变化
7、修改系统时间为2024.03-15(Fri) 08:00， 接入接入电压220V，电流4A，等待5分钟
7.1、观察上位机上当月累计peak电能和新增peak电能数据是否增加。其他费率电能没有变化，
7.2、修改系统时间为2024.03-16(Sat) 08:00， 接入接入电压220V，电流4A，等待5分钟
7.3、观察上位机上当月累计Valley电能和新增Valley电能数据是否增加。其他费率电能没有变化
备注: 压流角225°，产生EP_Exp 和Eq_Exp电能 </t>
  </si>
  <si>
    <t>6.1、遵循Schedule2规则，上位机上当月累计valley电能和新增valley电能数据增加，其他费率电能没有变化。
6.3、遵循Schedule1规则，上位机上当月累计peak电能和新增peak电能数据增加，其他费率电能没有变化。
7.1、遵循Schedule1规则，上位机上当月累计peak电能和新增peak电能数据增加。其他费率电能没有变化。
7.3、遵循Schedule2规则，上位机上当月累计valley电能和新增valley电能数据增加。其他费率电能没有变化。</t>
  </si>
  <si>
    <t>Function_AcuRev4100_013_04_case1</t>
  </si>
  <si>
    <t>1、Acuview2上位机
2、网线/RTU串口线
3、AcuRev4100电表
4、使能TOU Enable
5、使能Ten Years Holiday</t>
  </si>
  <si>
    <t>1、连接AcuRev4100电表到Acuview2上，连接状态为connected。
2、上位机设置Ten Years Holiday为disable
3、上位机上点击"Update"。
4、检查步骤2-3中的配置是否保存成功。
5、上位机设置Ten Years Holiday为Enable
6、上位机上点击"Update"。
7、检查步骤2-3中的配置是否保存成功。</t>
  </si>
  <si>
    <t>Function_AcuRev4100_013_04_case2</t>
  </si>
  <si>
    <t>Disable场景，添加&amp;删除1个节日，配置TOU Schedules中的任一Schedule ID， update保存配置成功。</t>
  </si>
  <si>
    <t>1、Acuview2上位机
2、网线/RTU串口线
3、AcuRev4100电表
4、使能TOU Enable
5、未使能Ten Years Holiday</t>
  </si>
  <si>
    <t>1、连接AcuRev4100电表到Acuview2上，连接状态为connected。
2、上位机TOU Holidays栏，添加Holiday1(05-10, Schedule1)
3、上位机上点击"Update"。
4、检查步骤2-3中的配置是否保存成功。
5、上位机TOU Holidays栏，删除Holiday1(05-10, Schedule1)
6、上位机上点击"Update"。
7、检查步骤2-3中的配置是否保存成功。</t>
  </si>
  <si>
    <t>Function_AcuRev4100_013_04_case3</t>
  </si>
  <si>
    <t>1、连接AcuRev4100电表到Acuview2上，连接状态为connected。
2、上位机TOU Holidays栏，添加Holiday1(05-10, Schedule1)，Holiday2(08-10, Schedule2)，
3、上位机上点击"Update"。
4、检查步骤2-3中的配置是否保存成功。
5、上位机TOU Holidays栏，删除Holiday1(05-10, Schedule1)，Holiday2(08-10, Schedule2)。
6、上位机上点击"Update"。
7、检查步骤2-3中的配置是否保存成功。</t>
  </si>
  <si>
    <t>Function_AcuRev4100_013_04_case4</t>
  </si>
  <si>
    <t>1、连接AcuRev4100电表到Acuview2上，连接状态为connected。
2、上位机TOU Holidays栏，添加Holiday1~30
2.1 上位机TOU Holidays栏，添加Holiday31
2.2  上位机是否提示添加Holiday31失败。
3、上位机上点击"Update"。
4、检查步骤2-3中的配置是否保存成功。
5、上位机TOU Holidays栏，删除Holiday1~31
6、上位机上点击"Update"。
7、检查步骤5中的配置是否保存成功。</t>
  </si>
  <si>
    <t>Function_AcuRev4100_013_04_case5</t>
  </si>
  <si>
    <t>1、连接AcuRev4100电表到Acuview2上，连接状态为connected。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6、修改系统时间为2024-04-04 23:55后掉电，掉电到2024-04-05 00：01再上电接入接入电压220V，电流4A，等待5分钟
6.1、观察上位机上当月累计sharp电能和新增sharp电能数据是否增加。其他费率电能没有变化。
7、修改系统时间为2024-04-06 03:00，接入接入电压220V，电流4A，等待5分钟
7.1、观察上位机上当月累计Normal电能和新增Normal电能数据是否增加。其他费率电能没有变化。
备注: 压流角45°，产生EP_Imp 和Eq_Imp电能</t>
  </si>
  <si>
    <t>Function_AcuRev4100_013_04_case6</t>
  </si>
  <si>
    <t>1、连接AcuRev4100电表到Acuview2上，连接状态为connected。
2、设置Season1(04-01)，关联Schedule1(00:00 Normal费率)
3、设置Season2(06-05)，关联Schedule2(00:00 sharp费率)
4、设置Season2(08-05)，关联Schedule3(00:00 Valley费率)
5、上位机TOU Holidays栏，添加Holiday1(04-05, Schedule3)
5.1、上位机TOU Holidays栏，添加Holiday2(06-07, Schedule1)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6.1、观察上位机上当月累计Valley电能和新增Valley电能数据是否增加。其他费率电能没有变化。
7、修改系统时间为2024-06-06 03:00，接入接入电压220V，电流4A，等待5分钟
7.1、观察上位机上当月累计sharp电能和新增sharp电能数据是否增加。其他费率电能没有变化。
8、修改系统时间为2024-06-07 03:00，接入接入电压220V，电流4A，等待5分钟
8.1、观察上位机上6月当月累计Normal电能和新增Normal电能数据是否增加。其他费率电能没有变化。
备注: 压流角45°，产生EP_Imp 和Eq_Imp电能</t>
  </si>
  <si>
    <t>Function_AcuRev4100_013_04_case7</t>
  </si>
  <si>
    <t xml:space="preserve">1、连接AcuRev4100电表到Acuview2上，连接状态为connected。
2、设置Season1(04-01)，关联Schedule1(00:00 Normal费率)
3、设置Season2(06-05)，关联Schedule2(00:00 sharp费率)
4、上位机TOU Holidays栏，添加Holiday1(04-05, Schedule2)
5、修改系统时间为2024-04-02 03:00，接入接入电压220V，电流4A，等待5分钟
5.1、观察上位机上当月累计Normal电能和新增Normal电能数据是否增加。其他费率电能没有变化。
6、修改系统时间为2024-04-05 03:00，接入接入电压220V，电流4A，等待5分钟
6.1、观察上位机上当月累计sharp电能和新增sharp电能数据是否增加。其他费率电能没有变化。
备注: 压流角225°，产生EP_Exp 和Eq_Exp电能 </t>
  </si>
  <si>
    <t>Function_AcuRev4100_013_04_case8</t>
  </si>
  <si>
    <t>Enable场景，第1年手动添加&amp;删除1个节日，配置TOU Schedules 中的任一Schedule ID， update保存配置成功。</t>
  </si>
  <si>
    <t>1、连接AcuRev4100电表到Acuview2上，连接状态为connected。
2、上位机上手动添加第一年Holiday1(06-01)，关联任一已创建Schedule
3、上位机上点击"Update"。
4、检查步骤2中的配置是否保存成功。
5、上位机上删除加第一年Holiday1
6、上位机上点击"Update"。
7、检查步骤5中的配置是否保存成功。</t>
  </si>
  <si>
    <t>Function_AcuRev4100_013_04_case9</t>
  </si>
  <si>
    <t>1、连接AcuRev4100电表到Acuview2上，连接状态为connected。
2、上位机上手动添加第一年Holiday1(06-01)，关联Schedule1，Holiday2(07-02)，关联Schedule2
3、上位机上点击"Update"。
4、检查步骤2中的配置是否保存成功。
5、上位机上删除加第一年Holiday1、Holiday2
6、上位机上点击"Update"。
7、检查步骤5中的配置是否保存成功。</t>
  </si>
  <si>
    <t>Function_AcuRev4100_013_04_case10</t>
  </si>
  <si>
    <t>1、连接AcuRev4100电表到Acuview2上，连接状态为connected。
2、上位机上手动添加第一年Holiday1~30，随机关联已存在Schedule。
2.1上位机上手动添加第一年Holiday31，是否添加失败，提示最大个数为30个Holiday。
3、上位机上点击"Update"。
4、检查步骤2中的配置是否保存成功。
5、上位机上删除加第一年Holiday1~30
6、上位机上点击"Update"。
7、检查步骤5中的配置是否保存成功。</t>
  </si>
  <si>
    <t>Function_AcuRev4100_013_04_case11</t>
  </si>
  <si>
    <t>1、连接AcuRev4100电表到Acuview2上，连接状态为connected。
2、第1和第2年，设置相同年份
3、上位机上点击"Update"。
4、检查上位机上是否提示无效设置， 或设置更新失败。</t>
  </si>
  <si>
    <t>Function_AcuRev4100_013_04_case12</t>
  </si>
  <si>
    <t>1、连接AcuRev4100电表到Acuview2上，连接状态为connected。
2、第1年设置2025， 第二年设置2024
3、上位机上点击"Update"。
4、检查配置是否保存成功。</t>
  </si>
  <si>
    <t>Function_AcuRev4100_013_04_case13</t>
    <phoneticPr fontId="10" type="noConversion"/>
  </si>
  <si>
    <t>1、连接AcuRev4100电表到Acuview2上，连接状态为connected。
2、上位机上手动添加第1年设置2025，配置TOU Schedules 之外的Schedule。
3、上位机上点击"Update"。
4、检查配置是否保存成功。</t>
  </si>
  <si>
    <t>Function_AcuRev4100_013_04_case14</t>
  </si>
  <si>
    <t>1、连接AcuRev4100电表到Acuview2上，连接状态为connected。
2、设置Season1(04-01)，关联Schedule1(00:00 Normal费率)
3、设置Season2(06-05)，关联Schedule2(00:00 sharp费率)
4、上位机上手动添加第一年Holiday1(2024 05-05)，关联Schedule2(00:00 sharp费率)
4.1、上位机上第二年无Holiday配置。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7、修改系统时间2024.05.06 08:00，接入接入电压220V，电流4A，等待5分钟
7.1、观察上位机上当月累计Normal电能和新增Normal电能数据是否增加。其他费率电能没有变化。
8、修改系统时间2025.05.05 08:00，接入接入电压220V，电流4A，等待5分钟
8.1、观察上位机上当月累计Normal电能和新增Normal电能数据是否增加。其他费率电能没有变化。
备注: 压流角45°，产生EP_Imp 和Eq_Imp电能</t>
  </si>
  <si>
    <t>Function_AcuRev4100_013_04_case15</t>
  </si>
  <si>
    <t xml:space="preserve">1、连接AcuRev4100电表到Acuview2上，连接状态为connected。
2、设置Season1(04-01)，关联Schedule1(00:00 Normal费率)
3、设置Season2(06-10)，关联Schedule2(00:00 sharp费率)
4、上位机上手动添加第二年Holiday1(2024 06-05)，关联Schedule2(00:00 sharp费率)
4.1、上位机上第三年无Holiday配置。
5、修改系统时间2024.05.04 08:00，接入接入电压220V，电流4A，等待5分钟
5.1、观察上位机上当月累计Normal电能和新增Normal电能数据是否增加。其他费率电能没有变化。
6、修改系统时间2024.06.05 08:00，接入接入电压220V，电流4A，等待5分钟
6.1、观察上位机上当月累计sharp电能和新增sharp电能数据是否增加。其他费率电能没有变化。
7、修改系统时间2025.06.06 08:00，接入接入电压220V，电流4A，等待5分钟
7.1、观察上位机上当月累计Normal电能和新增Normal电能数据是否增加。其他费率电能没有变化。
备注: 压流角225°，产生EP_Exp 和Eq_Exp电能 </t>
  </si>
  <si>
    <t>Function_AcuRev4100_013_04_case16</t>
  </si>
  <si>
    <t>1、连接AcuRev4100电表到Acuview2上，连接状态为connected。
2、设置Season1(04-01)，关联Schedule1(00:00 Normal费率)
3、设置Season2(06-10)，关联Schedule2(00:00 sharp费率)
4、上位机上手动添加第10年
Holiday1(2034 06-05)，关联Schedule2(00:00 sharp费率)，
Holiday2(2034 06-05)，关联Schedule3(00:00 Valley费率)
5.查看上位机能否设置成功
6.修改Holiday2(2034 06-06)，关联Schedule3(00:00 Valley费率)
7.设置电表时钟为2034-06-04 23：55接入电压电流走字，查看电表当前月新增tou电量是否在Normal费率中记录
8.等待5Min后查看表计当前月新增tou电量是否在sharp费率中记录
9.修改时钟到2034-06-05 23：55，查看5min后表计表当前月新增tou电量是否在Valley费率中记录</t>
  </si>
  <si>
    <t>Function_AcuRev4100_013_04_case17</t>
  </si>
  <si>
    <t>1、连接AcuRev4100电表到Acuview2上，连接状态为connected。
2、上位机上设置EndYear、StartYear， EndYear减去StartYear 等于9
3、上位机上点击"Update"。
4、检查配置是否保存成功。</t>
  </si>
  <si>
    <t>Function_AcuRev4100_013_04_case18</t>
  </si>
  <si>
    <t>1、连接AcuRev4100电表到Acuview2上，连接状态为connected。
2、上位机上设置EndYear、StartYear， EndYear减去StartYear 等于10
3、上位机上点击"Update"。
4、检查配置是否保存成功。</t>
  </si>
  <si>
    <t>Function_AcuRev4100_013_04_case19</t>
  </si>
  <si>
    <t>当EndYear减去StartYear 等于3，上位机上设置EndYear和StartYear，update保存设置成功</t>
  </si>
  <si>
    <t>1、连接AcuRev4100电表到Acuview2上，连接状态为connected。
2、上位机上设置EndYear、StartYear， EndYear减去StartYear 等于3
3、上位机上点击"Update"。
4、检查配置是否保存成功。</t>
  </si>
  <si>
    <t>Function_AcuRev4100_013_04_case20</t>
  </si>
  <si>
    <t>1、连接AcuRev4100电表到Acuview2上，连接状态为connected。
2、上位机上使用“Generate Holidays”给10年每年添加1个节日
3、上位机上点击"Update"。
4、检查是否每年1个Holiday配置且保存成功。</t>
  </si>
  <si>
    <t>Function_AcuRev4100_013_04_case21</t>
  </si>
  <si>
    <t>Enable场景，使用“Generate Holidays”给10年每年添加2个节日，配置TOU Schedules 中任两个Schedule ID，update保存配置成功。</t>
  </si>
  <si>
    <t>1、连接AcuRev4100电表到Acuview2上，连接状态为connected。
2、上位机上使用“Generate Holidays”给10年每年添加2个节日
3、上位机上点击"Update"。
4、检查是否每年2个Holiday配置且保存成功。</t>
  </si>
  <si>
    <t>4、每年2个Holiday配置且保存成功。</t>
  </si>
  <si>
    <t>Function_AcuRev4100_013_04_case22</t>
  </si>
  <si>
    <t>1、连接AcuRev4100电表到Acuview2上，连接状态为connected。
2、上位机上使用“Generate Holidays”给10年每年添加30个节日
2.1 上位机上使用“Generate Holidays”给10年每年添加31个节日， 是否添加失败。
3、上位机上点击"Update"。
4、检查是否每年30个Holiday配置且保存成功。</t>
  </si>
  <si>
    <t>Function_AcuRev4100_013_04_case23</t>
  </si>
  <si>
    <t>1、连接AcuRev4100电表到Acuview2上，连接状态为connected。
2、上位机上使用“Generate Holidays”给10年每年添加7个节日， “Holiday codeexplanation”依次配置0~6
3、上位机上点击"Update"。
4、检查是否每年7个Holiday配置且保存成功。
5、检查设定节日日期设置满足0~6的解释设定。</t>
  </si>
  <si>
    <t>Function_AcuRev4100_013_04_case24</t>
  </si>
  <si>
    <t>1、连接AcuRev4100电表到Acuview2上，连接状态为connected。
2、设置Season1(04-01)，关联Schedule1(00:00 Normal费率)
4、上位机上使用“Generate Holidays”给10年每年添加1个节日Holiday1【05-05，Schedule2(Segment：00:00 sharp)】
5、修改系统时间2024.05.04 08:00，接入接入电压220V，电流4A，等待5分钟。 
5.1、观察上位机上当月累计Normal电能和新增Normal电能数据是否增加。其他费率电能没有变化。
6、修改系统时间2024.05.04 23:55后掉电，掉电到2024-05-05 00：01再上电接入电压220V，电流4A，等待5分钟
6.1、观察上位机上当月累计sharp电能和新增sharp电能数据是否增加。其他费率电能没有变化。
9、修改系统时间2024.09.5 08:00，接入接入电压220V，电流4A，等待5分钟
9.1、观察上位机上当月累计Normal电能和新增Normal电能数据是否增加。其他费率电能没有变化。
备注: 压流角45°，产生EP_Imp 和Eq_Imp电能</t>
  </si>
  <si>
    <t>Function_AcuRev4100_013_04_case25</t>
  </si>
  <si>
    <t>Enable场景，使用“Generate Holidays”给10年每年添加1个节日Holiday1【05-05，Schedule2(Segment：00:00 Valley)】， 则第一年和第二年节日当月新增和累计电能费率上报正常。</t>
  </si>
  <si>
    <t>1、连接AcuRev4100电表到Acuview2上，连接状态为connected。
2、设置Season1(04-01)，关联Schedule1(00:00 Normal费率)
4、上位机上使用“Generate Holidays”给10年每年添加1个节日Holiday1【05-05，Schedule2(Segment：00:00 Valley)】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6.1、观察上位机上当月累计Valley电能和新增Valley电能数据是否增加。其他费率电能没有变化。
9、修改系统时间2025.05.5 08:00，接入接入电压220V，电流4A，等待5分钟
9.1、观察上位机上当月累计Valley电能和新增Valley电能数据是否增加。其他费率电能没有变化。
备注: 压流角45°，产生EP_Imp 和Eq_Imp电能</t>
  </si>
  <si>
    <t>5.1、遵循Schedule1规则，上位机上当月累计Normal电能和新增Normal电能数据增加。其他费率电能没有变化。
6.1、遵循Schedule2规则，上位机上当月累计Valley电能和新增Valley电能数据增加。其他费率电能没有变化。
9.1、遵循Schedule2规则，上位机上当月累计Valley电能和新增Valley电能数据增加。其他费率电能没有变化。</t>
  </si>
  <si>
    <t>Function_AcuRev4100_013_04_case26</t>
  </si>
  <si>
    <t xml:space="preserve">1、连接AcuRev4100电表到Acuview2上，连接状态为connected。
2、设置Season1(04-01)，关联Schedule1(00:00 Normal费率)
4、上位机上使用“Generate Holidays”给10年每年添加3个节日Holiday1【05-05，Schedule2(Segment：00:00 sharp)】，【Holiday2(07-01，Schedule2（00:00 Valley)】，【Holiday3(08-05，Schedule2（00:00 peak)】
5、修改系统时间2024.05.04 08:00，接入接入电压220V，电流4A，等待5分钟
5.1、观察上位机上当月累计Normal电能和新增Normal电能数据是否增加。其他费率电能没有变化。
6、修改系统时间2024.05.05 08:00，接入接入电压220V，电流4A，等待5分钟
6.1、观察上位机上当月累计sharp电能和新增sharp电能数据是否增加。其他费率电能没有变化。
7、修改系统时间2024.07.01 08:00，接入接入电压220V，电流4A，等待5分钟
7.1、观察上位机上当月累计Valley电能和新增Valley电能数据是否增加。其他费率电能没有变化。
8、修改系统时间2024.08.05 08:00，接入接入电压220V，电流4A，等待5分钟
8.1、观察上位机上当月累计peak电能和新增peak电能数据是否增加。其他费率电能没有变化。
9、修改系统时间2024.09.5 08:00，接入接入电压220V，电流4A，等待5分钟
9.1、观察上位机上当月累计Normal电能和新增Normal电能数据是否增加。其他费率电能没有变化。
备注: 压流角225°，产生EP_Exp 和Eq_Exp电能 </t>
  </si>
  <si>
    <t>Function_AcuRev4100_013_04_case27</t>
  </si>
  <si>
    <t>1、连接AcuRev4100电表到Acuview2上，连接状态为connected。
2、设置Season1(04-01)，关联Schedule1(00:00 Normal费率)
4、上位机上手动添加1个节日Holiday1【05-08，Schedule2(Segment：00:00 sharp)】
4.1 上位机设置TOU Weekends：Weekend Selection为Mon~Friday，Weekend Schedule为1。
5、修改系统时间2024.05.04 08:00，接入接入电压220V，电流4A，等待5分钟
5.1、观察上位机上当月累计Normal电能和新增Normal电能数据是否增加。其他费率电能没有变化。
6、修改系统时间2024.05.08 08:00，接入接入电压220V，电流4A，等待5分钟
6.1、观察上位机上当月累计sharp电能和新增sharp电能数据是否增加。其他费率电能没有变化。</t>
  </si>
  <si>
    <t>Function_AcuRev4100_013_06_case1</t>
  </si>
  <si>
    <t>1、连接AcuRev4100电表到Acuview2上，连接状态为connected。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13、观察上位机上当月(7月份)新增Valley电能数为0
14、观察上位机上前一个月(6月份)累计Valley电能为5月份累计的Valley电能加上6月份累计电能之和(P_import _累计约0.1466KWH)，前一个月(6月份)新增Valley电能没有改变(P_import _累计约0.0733KWH)</t>
  </si>
  <si>
    <t>Function_AcuRev4100_013_06_case1_01</t>
  </si>
  <si>
    <t>1、连接AcuRev4100电表到Acuview2上，连接状态为connected。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
5、去掉电流，读表计各个tou电量寄存器数据
6、修改时钟到2025-01-31 23：58：00后掉电
7、掉电5min后上电，查看表计各个tou电量寄存器数据</t>
  </si>
  <si>
    <t>1、连接AcuRev4100电表到Acuview2上，连接状态为connected。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01：00，持续走电量20min后去掉电量
5、去掉电流，读表计各个tou电量寄存器数据
6、修改时钟到2025-01-20 13：58：00后掉电
7、掉电15天后后上电（2025-02-04 00：10：00），查看表计各个tou电量寄存器数据</t>
  </si>
  <si>
    <t>Function_AcuRev4100_013_06_case2</t>
  </si>
  <si>
    <t>Monthly Billing Mode设置为"End Of Month" ，修改系统时间为下个月1号23:58分，上位机TOU reading界面在每月1号00:00更新上个月累计Sharp、Peak、Valley、Normal电能和新增电能数据</t>
  </si>
  <si>
    <t>1、连接AcuRev4100电表到Acuview2上，连接状态为connected。
2、Monthly Billing Mode 设置为 ""End Of Month""
3、设置TOU Season1(04-02), 关联Schedule1(Segment 08:00 Normal)
3.1、设置TOU Weekends(Weekend Selection: Thu Fri Sat Sun)，关联Schedule2(Segment1 08:00 Sharp;Segment2 00:00 Valley),  Special Weekday Schedule关闭
3.2、设置Holiday1(04-15)&amp;Holiday1(05-15)，均关联Schedule3(Segment 00:00 Peak)
4、清除系统上电能数据。
5、修改系统时间2024-04-03 00:00，接入接入电压220V，电流4A，等待5分钟， 断开输入源
6、观察上位机上当月累计Normal电能和新增Normal电能数据是否增加。其他费率电能没有变化。
7、修改系统时间2024-04-06 07:00，接入接入电压220V，电流4A，等待5分钟， 断开输入源
8、观察上位机上当月累计Valley电能和新增Valley电能数据是否增加。其他费率电能没有变化。
9、修改系统时间2024-04-06 15:00，接入接入电压220V，电流4A，等待5分钟， 断开输入源
10、观察上位机上当月累计Sharp电能和新增Sharp电能数据是否增加。其他费率电能没有变化。
11、修改系统时间2024-04-15 15:00，接入接入电压220V，电流4A，等待5分钟， 断开输入源
12、观察上位机上当月累计Peak电能和新增Peak电能数据是否增加。其他费率电能没有变化。
13、修改系统时间2024-05-01 00:00
14、观察上位机当月(5月份)累计电能和新增电能数据均为0。 覆盖Sharp、Peak、Valley、Normal费率
15、观察上位机前一个月(4月份)累计电能和新增电能数据均为(P_import 约0.0733KWH)。 覆盖Sharp、Peak、Valley、Normal费率
16、修改系统时间2024-05-03 00:00，接入接入电压220V，电流4A，等待5分钟， 断开输入源
17、观察上位机上当月累计Valley电能和新增Valley电能数据是否增加。其他费率电能没有变化。
18、修改系统时间2024-05-03 08:00，接入接入电压220V，电流4A，等待5分钟， 断开输入源
19、观察上位机上当月累计sharp电能和新增sharp电能数据是否增加。其他费率电能没有变化。
20、修改系统时间2024-05-03 15:00，接入接入电压220V，电流4A，等待5分钟， 断开输入源
21、观察上位机上当月累计Sharp电能和新增Sharp电能数据是否增加。其他费率电能没有变化。
22、修改系统时间2024-05-15 15:00，接入接入电压220V，电流4A，等待5分钟， 断开输入源
23、观察上位机上当月累计Peak电能和新增Peak电能数据是否增加。其他费率电能没有变化。
24、修改系统时间2024-06-01 00:00
25、观察上位机当月(6月份)累计电能和新增电能数据均为0。 覆盖Sharp、Peak、Valley、Normal费率
26、观察上位机前一个月(5月份)累计电能数据均为(P_import _累计约0.1466KWH)。 前一个月(5月份)新增Valley电能没有改变(P_import _累计约0.0733KWH)。 覆盖Sharp、Peak、Valley、Normal费率</t>
  </si>
  <si>
    <t>6、上位机上当月累计Normal电能和新增Normal电能数据增加。其他费率电能没有变化。
8、上位机上当月累计Valley电能和新增Valley电能数据增加。其他费率电能没有变化。
10、上位机上当月累计Sharp电能和新增Sharp电能数据增加。其他费率电能没有变化。
12、上位机上当月累计Peak电能和新增Peak电能数据增加。其他费率电能没有变化。
14、上位机当月(5月份)累计电能和新增电能数据均为0。 覆盖Sharp、Peak、Valley、Normal费率
15、上位机前一个月(4月份)累计电能和新增电能数据均为(P_import 约0.0733KWH)。 覆盖Sharp、Peak、Valley、Normal费率
17、上位机上当月累计valley电能和新增valley电能数据增加。其他费率电能没有变化。
19、上位机上当月累计sharp电能和新增sharp电能数据增加。其他费率电能没有变化。
21、上位机上当月累计Sharp电能和新增Sharp电能数据增加。其他费率电能没有变化。
23、上位机上当月累计Peak电能和新增Peak电能数据增加。其他费率电能没有变化。
25、上位机当月(6月份)累计电能和新增电能数据均为0。 覆盖Sharp、Peak、Valley、Normal费率
26、上位机前一个月(5月份)累计电能数据均为(P_import _累计约0.1466KWH)。 前一个月(5月份)新增Valley电能没有改变(P_import _累计约0.0733KWH)。 覆盖Sharp、Peak、Valley、Normal费率</t>
  </si>
  <si>
    <t>Function_AcuRev4100_013_06_case3</t>
  </si>
  <si>
    <t>1、连接AcuRev4100电表到Acuview2上，连接状态为connected。
2、Monthly Billing Mode 设置为 "Assign"，At time设置为“01 00:00:00"
3、设置TOU Season1(04-02), 关联Schedule1(Segment 08:00 Valley)
4、清除TOU Weekends 日期配置 和 TOU Holiday 日期配置， 清除系统上电能数据。
5、修改系统时间2024-05-31 23:50，接入接入电压220V，电流4A，等待5分钟， 断开输入源
6、观察上位机上当月累计Valley电能和新增Valley电能数据是否增加。其他费率电能没有变化。
7、修改系统时间2024-05-31 23:59 等待1分钟
8、观察上位机上当月(6月份)新增Valley电能数为0,累计当月累计Valley电能为多少
9、观察上位机上前一个月(5月份)累计Valley电能和新增Valley电能数为5月份新增和累计的电能(P_import 约0.0733KWH)</t>
  </si>
  <si>
    <t>Function_AcuRev4100_013_06_case4</t>
  </si>
  <si>
    <t>1、连接AcuRev4100电表到Acuview2上，连接状态为connected。
2、Monthly Billing Mode 设置为 "Assign"，At time设置为“25 00:00:00"
3、设置TOU Season1(04-02), 关联Schedule1(Segment 08:00 Peak)
4、清除TOU Weekends 日期配置 和 TOU Holiday 日期配置， 清除系统上电能数据。
5、修改系统时间2024-05-03 00:00，接入接入电压220V，电流4A，等待5分钟， 断开输入源
6、观察上位机上当月累计Peak电能和新增Peak电能数据是否增加。其他费率电能没有变化。
7、修改系统时间2024-05-24 23:55， 等待5分钟
8、观察上位机上当月(5月份)新增Peak电能数为0，累计Peak电能为多少；上月(5月份)新增Peak电能数为0.0733
10、接入接入电压220V，电流4A，等待5分钟，断开输入源
11、观察上位机上当月累计Peak电能和新增Peak电能数据是否增加((P_import 约0.0733KWH)。其他费率电能没有变化。
12、修改系统时间2024-06-24 23:55， 等待5分钟
13、观察上位机上当月(6月份)新增Peak电能数为0
14、观察上位机上前一个月(5月份)累计Peak电能为4月份累计的Peak电能加上5月份累计电能之和(P_import _累计约0.1466KWH)，前一个月(5月份)新增Peak电能没有改变(P_import _累计约0.0733KWH)</t>
  </si>
  <si>
    <t>Function_AcuRev4100_013_06_case5</t>
  </si>
  <si>
    <t>Monthly Billing Mode设置为"Assign" ，At time设置为“31 00:00:00” ，系统加载输入源5分钟，修改系统时间下个月31号23:58分(31号存在)，上位机TOU reading界面在每月31号00:00更新上个月累计电能和新增电能数据</t>
    <phoneticPr fontId="10" type="noConversion"/>
  </si>
  <si>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5、修改系统时间2024-05-31 00:00，接入接入电压220V，电流4A，等待5分钟， 断开输入源
6、观察上位机上当月累计Sharp电能和新增Sharp电能数据是否增加。其他费率电能没有变化。
7、修改系统时间2024-05-31 23:55， 等待5分钟
8、观察上位机上当月(5月份)新增Sharp电能数是否为0，累计Sharp电能和是多少
9.观察上位机上一月累计Sharp电能和是多少，上一月新增Sharp电能是多少</t>
  </si>
  <si>
    <t>Function_AcuRev4100_013_06_case6</t>
  </si>
  <si>
    <t>1、连接AcuRev4100电表到Acuview2上，连接状态为connected。
2、Monthly Billing Mode 设置为 "Assign"，At time设置为“31 00:00:00"
3、设置TOU Season1(04-02), 关联Schedule1(Segment 08:00 Sharp)
4、清除TOU Weekends 日期配置 和 TOU Holiday 日期配置， 清除系统上电能数据。
5、修改系统时间2024-05-03 00:00 2024-06-03 00:00，接入接入电压220V，电流4A，等待5分钟， 断开输入源
6、观察上位机上当月累计Sharp电能和新增Sharp电能数据是否增加。其他费率电能没有变化。
7、修改系统时间2024-06-30 23:55， 等待5分钟
8、观察上位机上当月累计Sharp电能和新增Sharp电能数是否没有变化
9、观察上位机上前一个月累计Sharp电能和新增Sharp电能数是否没有变化。</t>
  </si>
  <si>
    <t>Function_AcuRev4100_013_06_case7</t>
  </si>
  <si>
    <t>1、连接AcuRev4100电表到Acuview2上，连接状态为connected。
2、Monthly Billing Mode 设置为 "Assign"，At time设置为“29 00:00:00"
3、设置TOU Season1(04-02), 关联Schedule1(Segment 08:00 Sharp)
4、清除TOU Weekends 日期配置 和 TOU Holiday 日期配置， 清除系统上电能数据。
5、修改系统时间2025-01-30 00:00 2025-02-3 00:00，接入接入电压220V，电流4A，等待5分钟， 断开输入源
6、观察上位机上当月累计Sharp电能和新增Sharp电能数据是否增加。其他费率电能没有变化。
7、修改系统时间2025-02-28 23:55， 等待5分钟
8、观察上位机上当月累计Sharp电能和新增Sharp电能数是否没有变化
9、观察上位机上前一个月累计Sharp电能和新增Sharp电能数是否没有变化。</t>
  </si>
  <si>
    <t>Function_AcuRev4100_013_06_case7_01</t>
  </si>
  <si>
    <t>1、连接AcuRev4100电表到Acuview2上，连接状态为connected。
2、设置tou schedules如下：
schedules id=1 （01：00  sharp）
schedules id=2 （01：00  peak）
schedules id=3（01：00  Normal ）
schedules id=4（01：00  Valley ）
3、设置season如下：
season id=1 （01-01 schedules id=1 sharp）
season id=2  （09-01 schedules id=1 peak）
4、weekday设置如下：
thu  : schedules id=3（01：00  Normal ）
5、special weekday设置如下：
thu ：schedules id=2 （01：00  peak）
6、节假日设置如下：
05-01 schedules id=4（01：00  Valley ）
10-01 schedules id=3（01：00  Normal ）
7、修改时钟到2025-05-01 02：00 加电压电流进行走电流，查看tou电能量在哪个费率下累加
8、继续修改时钟到2025-05-08 02：00加电压电流进行走电流，查看tou电能量在哪个费率下累加
9、判断优先级大小</t>
  </si>
  <si>
    <t>Function_AcuRev4100_013_06_case7_02</t>
  </si>
  <si>
    <t>1、连接AcuRev4100电表到Acuview2上，连接状态为connected。
2、Monthly Billing Mode 设置为 ""End Of Month""
3、设置TOU Season1(04-01), 关联Schedule1(Segment 00:00 sharp)，
TOU Season1(10-01), 关联Schedule2(Segment 00:00 normal)；
4、设置夏令时进入时间为04-01，00：00，adjust time：60min;退出时间为10-01，00：00，adjust time：60min;
5.清除tou电量
6.修改电脑时间为2025-03-31 23：55：00，给表施加220V,10A进行走字，查看此时表计是否在normal下正常累加电量
7.持续走字5min后，检查表计时钟，检查表计tou电量当前在哪个费率下走字
8.修改电脑时间为2025-09-30 23：55：00，继续给表施加220V,10A进行走字，查看此时表计是否在sharp下正常累加电量
9.持续走字5min后，检查表计时钟，检查表计tou电量是否被清零，当前在哪个费率下走字，1h后检查表计tou电量是否被清零，当前在哪个费率下走字.</t>
  </si>
  <si>
    <t>Function_AcuRev4100_014_01_case1</t>
  </si>
  <si>
    <t>1、连接AcuRev4100电表到Acuview2上，连接状态为connected。
2、使用电能质量测试仪构造条件触发电能质量事件，并记录触发的顺序
3、观察是Event log是否最大值200，超过200条后，满足先进先出存储规则。</t>
  </si>
  <si>
    <t>Function_AcuRev4100_014_01_case1_01</t>
  </si>
  <si>
    <t>1、连接AcuRev4100电表到Acuview2上，连接状态为connected。
2、使用电能质量测试仪构造条件触发电能质量事件多条
3.点击save to file保存数据
4.比对保存的数据与页面展示数据是否一致</t>
  </si>
  <si>
    <t>Function_AcuRev4100_014_01_case1_02</t>
  </si>
  <si>
    <t>1、连接AcuRev4100电表到Acuview2上，连接状态为connected。
2、使用电能质量测试仪构造条件触发电能质量事件多条并记录
3.上位机选择读最近20条数据
4.查看数据是否准确
5.上位机选择读最近60条数据
6.查看数据是否准确
7上位机选择读200条数据
8.查看数据是否准确</t>
  </si>
  <si>
    <t>Function_AcuRev4100_014_01_case1_03</t>
  </si>
  <si>
    <t>1、连接AcuRev4100电表到Acuview2上，连接状态为connected。
2、使用电能质量测试仪构造条件触发电能质量事件多条
3.上位机读所产生的所有数据
4.HMI点击logs查看event log数据
5.比对上位机与电表HMI中event log条数与内容是否一致</t>
  </si>
  <si>
    <t>Function_AcuRev4100_014_01_case1_04</t>
  </si>
  <si>
    <t>1、连接AcuRev4100电表到Acuview2上，连接状态为connected。
2、使用电能质量测试仪构造条件触发电能质量事件多条并记录
3.上位机、HMI点击清除event log
4.读记录的事件条数及内容是否均被清掉</t>
  </si>
  <si>
    <t>Function_AcuRev4100_014_01_case1_05</t>
  </si>
  <si>
    <t>1、连接AcuRev4100电表到Acuview2上，连接状态为connected。
2、修改电压骤降、骤升、中断、电流骤升、录波等参数
3.修改后查看是否能立即生效</t>
  </si>
  <si>
    <t>Function_AcuRev4100_014_01_case1_06</t>
  </si>
  <si>
    <t>Function_AcuRev4100_014_01_case2</t>
  </si>
  <si>
    <t>1、连接AcuRev4100电表到Acuview2上，连接状态为connected。
2、配置阈值和抖动参数(阈值：10%，抖动：1%), 额定电压设置230V
3、使用电能质量仪触发电压骤降(Voltage Sag), U小于(10%-1%)*230V
4、检查上位机上是否会出现电压骤降(Voltage Sag)的Event log。
5、使用电能质量仪触发电压骤降(Voltage Sag), U大于(10%+1%)*230V
6、检查上位机上是否会出现电压骤降(Voltage Sag)的结束的Event log。</t>
  </si>
  <si>
    <t>Function_AcuRev4100_014_01_case3</t>
  </si>
  <si>
    <t>1、连接AcuRev4100电表到Acuview2上，连接状态为connected。
2、配置阈值和抖动参数(阈值：90%，抖动：10%), 额定电压设置230V
3、使用电能质量仪触发电压骤降(Voltage Sag), U小于(90%-10%)*230V
4、检查上位机上是否会出现电压骤降(Voltage Sag)的Event log。
5、使用电能质量仪触发电压骤降(Voltage Sag), U大于(90%+10%)*230V
6、检查上位机上是否会出现电压骤降(Voltage Sag)的结束的Event log。</t>
  </si>
  <si>
    <t>Function_AcuRev4100_014_01_case4</t>
  </si>
  <si>
    <t>电压骤降(Voltage Sag)，配置阈值和抖动参数(阈值：50%，抖动：5%)，触发&amp;结束事件成功，记录事件成功(时间戳，持续时间，事件类型，用户通道各相的最大值，最小值)。</t>
  </si>
  <si>
    <t>1、连接AcuRev4100电表到Acuview2上，连接状态为connected。
2、配置阈值和抖动参数(阈值：50%，抖动：5%), 额定电压设置230V
3、使用电能质量仪触发电压骤降(Voltage Sag), U小于(50%-5%)*230V
4、检查上位机上是否会出现电压骤降(Voltage Sag)的Event log。
5、使用电能质量仪触发电压骤降(Voltage Sag), U大于(50%+5%)*230V
6、检查上位机上是否会出现电压骤降(Voltage Sag)的结束的Event log。</t>
  </si>
  <si>
    <t>Function_AcuRev4100_014_01_case5</t>
  </si>
  <si>
    <t>1、连接AcuRev4100电表到Acuview2上，连接状态为connected。
2、配置阈值和抖动参数(阈值：50%，抖动：10%), 额定电压设置230V
3、使用电能质量仪触发电压骤降(Voltage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</si>
  <si>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Function_AcuRev4100_014_01_case5_01</t>
  </si>
  <si>
    <t>1、连接AcuRev4100电表到Acuview2上，连接状态为connected。
2、配置阈值和抖动参数(阈值：50%，抖动：10%), 额定电压设置230V
3、使用电能质量仪触发A相电压骤降(Voltage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</si>
  <si>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Function_AcuRev4100_014_01_case5_02</t>
  </si>
  <si>
    <t>1、连接AcuRev4100电表到Acuview2上，连接状态为connected。
2、配置阈值和抖动参数(阈值：50%，抖动：10%), 额定电压设置230V
3、使用电能质量仪触发B相电压骤降(Voltage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</si>
  <si>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Function_AcuRev4100_014_01_case5_03</t>
  </si>
  <si>
    <t>1、连接AcuRev4100电表到Acuview2上，连接状态为connected。
2、配置阈值和抖动参数(阈值：50%，抖动：10%), 额定电压设置230V
3、使用电能质量仪触发C相电压骤降(Voltage Sag), U小于(50%-10%)*230V
4、检查上位机上是否会出现电压骤降(Voltage Sag)的Event log。
5、使用电能质量仪触发电压骤降(Voltage Sag), U大于(50%+10%)*230V
6、检查上位机上是否会出现电压骤降(Voltage Sag)的结束的Event log。</t>
  </si>
  <si>
    <t>Function_AcuRev4100_014_01_case5_04</t>
  </si>
  <si>
    <t>1、连接AcuRev4100电表到Acuview2上，连接状态为connected。
2、配置阈值和抖动参数(阈值：50%，抖动：10%), 额定电压设置230V
3、使用电能质量仪触发ACB相电压骤降(Voltage Sag), U小于(50%-10%)*230V
4、检查上位机上是否会出现电压骤降(Voltage Sag)的Event log。
5、使用电能质量仪触发B相电压骤降(Voltage Sag), U大于(50%+10%)*230V
6、检查上位机上是否会出现电压骤降(Voltage Sag)的结束的Event log。
7、使用电能质量仪触发ABC相电压骤降(Voltage Sag), U小于(50%-10%)*230V
8、检查上位机上是否会出现电压骤降(Voltage Sag)的Event log。
9、使用电能质量仪触发B、C相电压骤降(Voltage Sag), U大于(50%+10%)*230V
10、检查上位机上是否会出现电压骤降(Voltage Sag)的结束的Event log。</t>
  </si>
  <si>
    <t>Function_AcuRev4100_014_01_case5_05</t>
  </si>
  <si>
    <t>1、连接AcuRev4100电表到Acuview2上，连接状态为connected。
2、配置阈值和抖动参数(阈值：50%，抖动：10%), 额定电压设置230V
3、使用电能质量仪触发三相电压骤降(Voltage Sag), U小于(50%-10%)*230V，90V
4、检查上位机上是否会出现电压骤降(Voltage Sag)的Event log。
5.将表计电压降为0V，一段时间后将电压升高到200V
6、检查上位机上是否会出现电压骤降(Voltage Sag)的结束的Event log。
7.检查结束事件中事件持续时间与理论值（事件结束时间戳-事件开始时间戳）是否相等</t>
  </si>
  <si>
    <t>Function_AcuRev4100_014_01_case6</t>
  </si>
  <si>
    <t>1、连接AcuRev4100电表到Acuview2上，连接状态为connected。
2、配置电压骤降(Voltage Sag)阈值参数分别为0%、5%、9%、91%、100%, 额定电压设置400V
3、检查上位机是否可以配置并保存成功
5、配置电压骤降(Voltage Sag)抖动参数分别为0%、11%、20%、91%、100%
6、检查上位机是否可以配置并保存成功</t>
  </si>
  <si>
    <t>Function_AcuRev4100_014_01_case7</t>
  </si>
  <si>
    <t>电压骤升(Voltage Swell)，配置阈值和抖动参数(阈值：110%，抖动：1%)，触发&amp;结束事件成功，记录事件成功(时间戳，持续时间，事件类型，用户通道各相的最大值，最小值)。</t>
  </si>
  <si>
    <t>1、连接AcuRev4100电表到Acuview2上，连接状态为connected。
2、配置阈值和抖动参数(阈值：110%，抖动：1%), 额定电压设置220V
3、使用电能质量仪触发电压骤升(Voltage Swell), U大于(110%+1%)*220
4、检查上位机上是否会出现电压骤升(Voltage Swell)的Event log。
5、使用电能质量仪触发电压骤升(Voltage Swell), U大于(110%-1%)*220
6、检查上位机上是否会出现电压骤升(Voltage Swell)的结束的Event log。</t>
  </si>
  <si>
    <t>Function_AcuRev4100_014_01_case8</t>
  </si>
  <si>
    <t>1、连接AcuRev4100电表到Acuview2上，连接状态为connected。
2、配置阈值和抖动参数(阈值：150%，抖动：10%), 额定电压设置69V
3、使用电能质量仪触发电压骤升(Voltage Swell), U大于(150%+10%)*69
4、检查上位机上是否会出现电压骤升(Voltage Swell)的Event log。
5、使用电能质量仪触发电压骤升(Voltage Swell), U小于(150%-10%)*69
6、检查上位机上是否会出现电压骤升(Voltage Swell)的结束的Event log。</t>
  </si>
  <si>
    <t>Function_AcuRev4100_014_01_case9</t>
  </si>
  <si>
    <t>1、连接AcuRev4100电表到Acuview2上，连接状态为connected。
2、配置阈值和抖动参数(阈值：110%，抖动：10%), 额定电压设置69V
3、使用电能质量仪触发电压骤升(Voltage Swell), U大于(110%+10%)*69
4、检查上位机上是否会出现电压骤升(Voltage Swell)的Event log。
5、使用电能质量仪触发电压骤升(Voltage Swell), U小于(110%-10%)*69
6、检查上位机上是否会出现电压骤升(Voltage Swell)的结束的Event log。</t>
  </si>
  <si>
    <t>Function_AcuRev4100_014_01_case9_01</t>
  </si>
  <si>
    <t>1、连接AcuRev4100电表到Acuview2上，连接状态为connected。
2、配置阈值和抖动参数(阈值：110%，抖动：10%), 额定电压设置69V
3、使用电能质量仪触发A相电压骤升(Voltage Swell), U大于(110%+10%)*69
4、检查上位机上是否会出现电压骤升(Voltage Swell)的Event log。
5、使用电能质量仪触发三相电压骤升(Voltage Swell)结束, U小于(110%-10%)*69
6、检查上位机上是否会出现电压骤升(Voltage Swell)的结束的Event log。</t>
  </si>
  <si>
    <t>Function_AcuRev4100_014_01_case9_02</t>
  </si>
  <si>
    <t>1、连接AcuRev4100电表到Acuview2上，连接状态为connected。
2、配置阈值和抖动参数(阈值：110%，抖动：10%), 额定电压设置69V
3、使用电能质量仪触发B相电压骤升(Voltage Swell), U大于(110%+10%)*69
4、检查上位机上是否会出现电压骤升(Voltage Swell)的Event log。
5、使用电能质量仪触发三相电压骤升(Voltage Swell)结束, U小于(110%-10%)*69
6、检查上位机上是否会出现电压骤升(Voltage Swell)的结束的Event log。</t>
  </si>
  <si>
    <t>Function_AcuRev4100_014_01_case9_03</t>
  </si>
  <si>
    <t>1、连接AcuRev4100电表到Acuview2上，连接状态为connected。
2、配置阈值和抖动参数(阈值：110%，抖动：10%), 额定电压设置69
3、使用电能质量仪触发C相电压骤升(Voltage Swell), U大于(110%+10%)*69
4、检查上位机上是否会出现电压骤升(Voltage Swell)的Event log。
5、使用电能质量仪触发三相电压骤升(Voltage Swell)结束, U小于(110%-10%)*69
6、检查上位机上是否会出现电压骤升(Voltage Swell)的结束的Event log。</t>
  </si>
  <si>
    <t>Function_AcuRev4100_014_01_case9_04</t>
  </si>
  <si>
    <t>1、连接AcuRev4100电表到Acuview2上，连接状态为connected。
2、配置阈值和抖动参数(阈值：110%，抖动：10%), 额定电压设置69
3、使用电能质量仪触发ABC相电压骤升(Voltage Swell), U大于(110%+10%)*69
4、检查上位机上是否会出现电压骤升(Voltage Swell)的Event log。
5、使用电能质量仪触发B相电压骤升结束(Voltage Swell), U小于(110%-10%)*69
6、检查上位机上是否会出现电压骤升(Voltage Swell）的结束的Event log。
7、使用电能质量仪触发ABC相电压骤升(Voltage Swell), U大于(110%-10%)*69
8、检查上位机上是否会出现电压骤升(Voltage Swell)的Event log。
9、使用电能质量仪触发B、C相电压骤升(Voltage Swell),  U小于(110%+10%)*69
10、检查上位机上是否会出现电压骤升(Voltage Swell)的结束的Event log。</t>
  </si>
  <si>
    <t>Function_AcuRev4100_014_01_case10</t>
  </si>
  <si>
    <t>1、连接AcuRev4100电表到Acuview2上，连接状态为connected。
2、配置阈值和抖动参数(阈值：120%，抖动：5%), 额定电压设置69
3、使用电能质量仪触发电压骤升(Voltage Swell), U大于(120%+5%)*69
4、检查上位机上是否会出现电压骤升(Voltage Swell)的Event log。
5、使用电能质量仪触发电压骤升(Voltage Swell), U大于(120%-5%)*69
6、检查上位机上是否会出现电压骤升(Voltage Swell)的结束的Event log。</t>
  </si>
  <si>
    <t>Function_AcuRev4100_014_01_case11</t>
  </si>
  <si>
    <t>1、连接AcuRev4100电表到Acuview2上，连接状态为connected。
2、配置电压骤升(Voltage Swell)阈值参数分别为0%、100%、109%、151%、160% 额定电压设置220V
3、检查上位机是否可以配置并保存成功
5、配置电压骤升(Voltage Swell)抖动参数分别为0%、0.5%、11%、100%
6、检查上位机是否可以配置并保存成功</t>
  </si>
  <si>
    <t>Function_AcuRev4100_014_01_case12</t>
  </si>
  <si>
    <t>1、连接AcuRev4100电表到Acuview2上，连接状态为connected。
2、配置阈值和抖动参数(阈值：5%，抖动：1%), 额定电压设置220V
3、使用电能质量仪触发电压中断(Voltage Interruption),  三相电压均小于(5%-1%)*220
4、检查上位机上是否会出现电压骤升(Voltage Interruption)的Event log。
5、使用电能质量仪触发电压中断(Voltage Interruption), 三相电压有一个等于于(5%+1%)*220
6、检查上位机上是否会出现电压骤升(Voltage Interruption)的结束的Event log。</t>
  </si>
  <si>
    <t>Function_AcuRev4100_014_01_case13</t>
  </si>
  <si>
    <t>1、连接AcuRev4100电表到Acuview2上，连接状态为connected。
2、配置阈值和抖动参数(阈值：20%，抖动：10%), 额定电压设置220V
3、使用电能质量仪触发电压中断(Voltage Interruption), 三相电压均小于(20%-10%)*220V, 
4、检查上位机上是否会出现电压中断(Voltage Interruption)的Event log。
5、使用电能质量仪触发电压中断(Voltage Interruption), 三相电压有一个大于(20%+10%)*220,  
6、检查上位机上是否会出现电压骤升(Voltage Interruption)的结束的Event log。</t>
  </si>
  <si>
    <t>Function_AcuRev4100_014_01_case14</t>
  </si>
  <si>
    <t>电压中断(Voltage Interruption),配置阈值和抖动参数(阈值：10%，抖动：1%)，触发&amp;结束事件成功，记录事件成功(时间戳，持续时间，事件类型，用户通道各相的最大值，最小值)。</t>
  </si>
  <si>
    <t>1、连接AcuRev4100电表到Acuview2上，连接状态为connected。
2、配置阈值和抖动参数(阈值：10%，抖动：1%), 额定电压设置220V
3、使用电能质量仪触发电压中断(Voltage Interruption), 三相电压均小于(10%-1%)*220
4、检查上位机上是否会出现电压中断(Voltage Interruption)的Event log。
5、使用电能质量仪触发电压中断(Voltage Interruption), 三相电压均大于(10%+1%)*220
6、检查上位机上是否会出现电压骤升(Voltage Interruption)的结束的Event log。</t>
  </si>
  <si>
    <t>Function_AcuRev4100_014_01_case14_01</t>
  </si>
  <si>
    <t>1、连接AcuRev4100电表到Acuview2上，连接状态为connected。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A相电压大于(20%+1%)*220
6、检查上位机上是否会出现电压骤升(Voltage Interruption)的结束的Event log。</t>
  </si>
  <si>
    <t>Function_AcuRev4100_014_01_case14_02</t>
  </si>
  <si>
    <t>1、连接AcuRev4100电表到Acuview2上，连接状态为connected。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B电压大于(20%+1%)*220
6、检查上位机上是否会出现电压骤升(Voltage Interruption)的结束的Event log。</t>
  </si>
  <si>
    <t>Function_AcuRev4100_014_01_case14_03</t>
  </si>
  <si>
    <t>1、连接AcuRev4100电表到Acuview2上，连接状态为connected。
2、配置阈值和抖动参数(阈值：20%，抖动：1%), 额定电压设置220V
3、使用电能质量仪触发电压中断(Voltage Interruption),ABC相电压小于(20%-1%)*220
4、检查上位机上是否会出现电压骤升(Voltage Interruption)的Event log。
5、使用电能质量仪触发电压中断(Voltage Interruption), C相电压大于(20%+1%)*220
6、检查上位机上是否会出现电压骤升(Voltage Interruption)的结束的Event log。</t>
  </si>
  <si>
    <t>Function_AcuRev4100_014_01_case14_04</t>
  </si>
  <si>
    <t>1、连接AcuRev4100电表到Acuview2上，连接状态为connected。
2、配置阈值和抖动参数(阈值：20%，抖动：1%), 额定电压设置220V
3、使用电能质量仪触发电压中断(Voltage Interruption), A相电压小于(20%-1%)*220，BC相正常施加220V
4、检查上位机上是否会出现电压骤升(Voltage Interruption)的Event log。
5、使用电能质量仪触发电压中断(Voltage Interruption), A电压大于(20%+1%)*220
6、检查上位机上是否会出现电压骤升(Voltage Interruption)的结束的Event log。</t>
  </si>
  <si>
    <t>Function_AcuRev4100_014_01_case15</t>
  </si>
  <si>
    <t>1、连接AcuRev4100电表到Acuview2上，连接状态为connected。
2、配置阈值和抖动参数(阈值：10%，抖动：5%), 额定电压设置220V
3、使用电能质量仪触发电压中断(Voltage Interruption), 三相电压均小于(10%-5%)*220
4、检查上位机上是否会出现电压骤升(Voltage Interruption)的Event log。
5、使用电能质量仪触发电压中断(Voltage Interruption), 三相电压三个大于(10%+5%)*220
6、检查上位机上是否会出现电压骤升(Voltage Interruption)的结束的Event log。</t>
  </si>
  <si>
    <t>Function_AcuRev4100_014_01_case15_1</t>
  </si>
  <si>
    <t>1、连接AcuRev4100电表到Acuview2上，连接状态为connected。
2、配置阈值和抖动参数(阈值：10%，抖动：5%), 额定电压设置220V
3、使用电能质量仪触发电压中断(Voltage Interruption), 单相电压小于(10%-5%)*220
4、检查上位机上是否会出现电压骤升(Voltage Interruption)的Event log。
5、使用电能质量仪触发电压中断(Voltage Interruption), 三相电压大于(10%+5%)*220
6、检查上位机上是否会出现电压骤升(Voltage Interruption)的结束的Event log。</t>
  </si>
  <si>
    <t>Function_AcuRev4100_014_01_case16</t>
  </si>
  <si>
    <t xml:space="preserve">1、连接AcuRev4100电表到Acuview2上，连接状态为connected。
2、配置阈值和抖动参数(阈值：5%，抖动：5%), 额定电压设置220V, 
3、检查配置是否无法配置或者保存失败
</t>
  </si>
  <si>
    <t>Function_AcuRev4100_014_01_case17</t>
  </si>
  <si>
    <t xml:space="preserve">1、连接AcuRev4100电表到Acuview2上，连接状态为connected。
2、配置阈值和抖动参数(阈值：5%，抖动：10%), 额定电压设置220V, 
3、检查配置是否无法配置或者保存失败
</t>
  </si>
  <si>
    <t>Function_AcuRev4100_014_01_case18</t>
  </si>
  <si>
    <t>1、连接AcuRev4100电表到Acuview2上，连接状态为connected。
2、配置电压中断(Voltage Interruption)阈值参数分别为0%、3%、4%、21%、50% 额定电压设置220V
3、检查上位机是否可以配置并保存成功
5、配置电压中断(Voltage Interruption)抖动参数分别为0%、0.5%、11%、50%
6、检查上位机是否可以配置并保存成功</t>
  </si>
  <si>
    <t>Function_AcuRev4100_014_01_case18_01</t>
  </si>
  <si>
    <t>Function_AcuRev4100_014_01_case19</t>
  </si>
  <si>
    <t>电流骤升(Current Swell), 配置阈值和抖动参数(阈值：110%，抖动：1%)，触发&amp;结束事件成功，记录事件成功(时间戳，持续时间，事件类型，用户通道各相的最大值，最小值)。</t>
  </si>
  <si>
    <t>1、连接AcuRev4100电表到Acuview2上，连接状态为connected。
2、配置阈值和抖动参数(阈值：110%，抖动：1%), 额定电压设置2A
3、使用电能质量仪触发电流骤升(Current Swell), I大于(110%+1%)*2A
4、检查上位机上是否会出现电流骤升(Current Swell)的Event log。
5、使用电能质量仪触发电流骤升(Current Swell), 三路I均小于(110%-1%)*2A
6、检查上位机上是否会出现电流骤升(Current Swell)的结束的Event log。</t>
  </si>
  <si>
    <t>Function_AcuRev4100_014_01_case20</t>
  </si>
  <si>
    <t>1、连接AcuRev4100电表到Acuview2上，连接状态为connected。
2、配置阈值和抖动参数(阈值：150%，抖动：10%), 额定电压设置3A
3、使用电能质量仪触发电流骤升(Current Swell), I大于(150%+10%)*3A
4、检查上位机上是否会出现电流骤升(Current Swell)的Event log。
5、使用电能质量仪触发电流骤升(Current Swell), 三路I均小于(150%-10%)*3A
6、检查上位机上是否会出现电流骤升(Current Swell)的结束的Event log。</t>
  </si>
  <si>
    <t>Function_AcuRev4100_014_01_case21</t>
  </si>
  <si>
    <t>1、连接AcuRev4100电表到Acuview2上，连接状态为connected。
2、配置阈值和抖动参数(阈值：110%，抖动：10%), 额定电压设置3A
3、使用电能质量仪触发电流骤升(Current Swell), I大于(110%+10%)*3A
4、检查上位机上是否会出现电流骤升(Current Swell)的Event log。
5、使用电能质量仪触发电流骤升(Current Swell), 三路I均小于(110%-10%)*3A
6、检查上位机上是否会出现电流骤升(Current Swell)的结束的Event log。</t>
  </si>
  <si>
    <t>Function_AcuRev4100_014_01_case22</t>
  </si>
  <si>
    <t>1、连接AcuRev4100电表到Acuview2上，连接状态为connected。
2、配置阈值和抖动参数(阈值：120%，抖动：5%), 额定电压设置3A
3、使用电能质量仪触发电流骤升(Current Swell),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</si>
  <si>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Function_AcuRev4100_014_01_case22_01</t>
  </si>
  <si>
    <t>1、连接AcuRev4100电表到Acuview2上，连接状态为connected。
2、配置阈值和抖动参数(阈值：120%，抖动：5%), 额定电压设置3A
3、使用电能质量仪触发电流骤升(Current Swell),第一路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</si>
  <si>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Function_AcuRev4100_014_01_case22_02</t>
  </si>
  <si>
    <t>1、连接AcuRev4100电表到Acuview2上，连接状态为connected。
2、配置阈值和抖动参数(阈值：120%，抖动：5%), 额定电压设置3A
3、使用电能质量仪触发电流骤升(Current Swell),第二路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</si>
  <si>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Function_AcuRev4100_014_01_case22_03</t>
  </si>
  <si>
    <t>1、连接AcuRev4100电表到Acuview2上，连接状态为connected。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三路I均小于小于(120%-5%)*3A
6、检查上位机上是否会出现电流骤升(Current Swell)的结束的Event log。</t>
  </si>
  <si>
    <t>Function_AcuRev4100_014_01_case22_04</t>
  </si>
  <si>
    <t>1、连接AcuRev4100电表到Acuview2上，连接状态为connected。
2、配置阈值和抖动参数(阈值：120%，抖动：5%), 额定电压设置3A
3、使用电能质量仪触发电流骤升(Current Swell),第三路 I大于(120%+5%)*3A
4、检查上位机上是否会出现电流骤升(Current Swell)的Event log。
5、使用电能质量仪触发电流骤升(Current Swell), 第一、二路I均小于小于(120%-5%)*3A
6、检查上位机上是否会出现电流骤升(Current Swell)的结束的Event log。</t>
  </si>
  <si>
    <t>Function_AcuRev4100_014_01_case23</t>
    <phoneticPr fontId="10" type="noConversion"/>
  </si>
  <si>
    <t>1、连接AcuRev4100电表到Acuview2上，连接状态为connected。
2、配置电流骤升(Current Swell)阈值参数分别为0%、100%、109%、151%、160% 额定电压设置220V
3、检查上位机是否可以配置并保存成功
5、配置电压骤升(Current Swell)抖动参数分别为0%、0.5%、11%、100%
6、检查上位机是否可以配置并保存成功</t>
  </si>
  <si>
    <t>Function_AcuRev4100_014_01_case23_01</t>
  </si>
  <si>
    <t>接线方式选为三相四线Y，input channel1~24中每三个对应1个用户（user1~user8），且表计接入8个用户，查看pq event记录中8个用户对应的user channel</t>
  </si>
  <si>
    <t xml:space="preserve">1.表计接线方式选为三相四线Y，input channel1~24中每三个对应1个用户（user1~user8），且表计接入8个用户
2.打开表计电流骤升PQ EVENT使能
3.模拟表计电流骤升，查看pq event记录中8个用户对应的user channel
4.查看pq event记录中8个用户对应的电流骤升数据是否正常
</t>
  </si>
  <si>
    <t xml:space="preserve">
3.查看pq event记录中8个用户对应的user channel为1~8
4.查看pq event记录中8个用户对应的电流骤升数据正常</t>
  </si>
  <si>
    <t>Function_AcuRev4100_014_01_case23_01-1</t>
  </si>
  <si>
    <t>接线方式选择1e2w，input channel1~24各自独立，查看pq event记录中24个input channel对应的user channel</t>
  </si>
  <si>
    <t>1.接线方式选择1e2w，input channel1~24各自独立，分别给表接入24路电流
2.打开表计电流骤升PQ EVENT使能
3.模拟表计电流骤升，查看pq event记录中24个input channel对应的user channel</t>
  </si>
  <si>
    <t>3.pq event记录中24个input channel对应的user channel为1~24
4.查看pq event记录中24个input channel对应的数据正常</t>
  </si>
  <si>
    <t>Function_AcuRev4100_014_01_case23_01-2</t>
  </si>
  <si>
    <t>接线方式选择2e3w1phase，input channel，input channel1~24中每两个对应1个用户（user1~user12），且表计接入12个用户，查看pq event记录中12个用户对应的user channel</t>
  </si>
  <si>
    <t>1.接线方式选择2e3w1phase，input channel，input channel1~24中每两个对应1个用户（user1~user12），且表计接入12个用户，分别给表接入24路电流
2.打开表计电流骤升PQ EVENT使能
3.模拟表计电流骤升，查看pq event记录中12个用户对应的user channel</t>
  </si>
  <si>
    <t>3.查看pq event记录中8个用户对应的user channel为1~12
4.查看pq event记录中12个用户对应的电流骤升数据正常</t>
  </si>
  <si>
    <t>Function_AcuRev4100_014_01_case23_01-3</t>
  </si>
  <si>
    <t>接线方式选择2e3w v，input channel，input channel1~24中每两个对应1个用户（user1~user12），且表计接入12个用户，查看pq event记录中12个用户对应的user channel</t>
  </si>
  <si>
    <t>1.接线方式选择2e3w v，input channel，input channel1~24中每两个对应1个用户（user1~user12），且表计接入12个用户，分别给表接入24路电流
2.打开表计电流骤升PQ EVENT使能
3.模拟表计电流骤升，查看pq event记录中12个用户对应的user channel</t>
  </si>
  <si>
    <t>Function_AcuRev4100_014_01_case23_01-4</t>
  </si>
  <si>
    <t>接线方式选择2e3w network input channel，input channel1~24中每两个对应1个用户（user1~user12），且表计接入12个用户，查看pq event记录中12个用户对应的user channel</t>
  </si>
  <si>
    <t>1.接线方式选择2e3w network ，input channel，input channel1~24中每两个对应1个用户（user1~user12），且表计接入12个用户，分别给表接入24路电流
2.打开表计电流骤升PQ EVENT使能
3.模拟表计电流骤升，查看pq event记录中12个用户对应的user channel</t>
  </si>
  <si>
    <t>Function_AcuRev4100_014_01_case23_01-5</t>
  </si>
  <si>
    <t>接线方式选择1e2w,,分别模拟电压骤降，终端，骤升事件，查看记录是否正常</t>
  </si>
  <si>
    <t>1.接线方式选择1e2w，给表接入A、B、C三相电压
2.打开表计电流骤升PQ EVENT使能
3.模拟表计电压UA 骤降、中断、骤升事件，查看pq event记录
4.模拟表计电压UB和UC 骤降、中断、骤升事件，查看pq event记录</t>
  </si>
  <si>
    <t>3、查看pq event 记录中存在对应的电压骤降、中断、骤升事件，读取对应的waveform log，绘制三相电压的波形图
4、 不触发电压骤降、中断、骤升事件</t>
  </si>
  <si>
    <t>Function_AcuRev4100_014_01_case23_01-6</t>
  </si>
  <si>
    <t>接线方式选择2e3w1phase，分别模拟电压骤降，终端，骤升事件，查看记录是否正常</t>
  </si>
  <si>
    <t>1.接线方式选择2e3w1phase，给表接入A、B、C三相电压
2.打开表计电流骤升PQ EVENT使能
3.模拟表计电压UA、UC 骤降、中断、骤升事件，查看pq event记录
4.模拟表计电压UB 骤降、中断、骤升事件，查看pq event记录</t>
  </si>
  <si>
    <t>Function_AcuRev4100_014_01_case23_01-7</t>
  </si>
  <si>
    <t>接线方式选择2e3w1 delta，分别模拟电压骤降，终端，骤升事件，查看记录是否正常</t>
  </si>
  <si>
    <t>1.接线方式选择2e3w1 delta，给表接入A、B、C三相电压，其中B相电压接入电表的N相
2.打开表计电流骤升PQ EVENT使能
3.模拟表计电压UAB、UBC、UCA骤降、中断、骤升事件，查看pq event记录</t>
  </si>
  <si>
    <t>3、查看pq event 记录中存在对应的电压骤降、中断、骤升事件，读取对应的waveform log，绘制三相电压的波形图</t>
  </si>
  <si>
    <t>Function_AcuRev4100_014_01_case23_01-8</t>
  </si>
  <si>
    <t>接线方式选择2e3w1 network，分别模拟电压骤降，终端，骤升事件，查看记录是否正常</t>
  </si>
  <si>
    <t>1.接线方式选择2e3w1 network，给表接入A、B、C三相电压
2.打开表计电流骤升PQ EVENT使能
3.模拟表计电压UA、UB、UC骤降、中断、骤升事件，查看pq event记录</t>
  </si>
  <si>
    <t>Function_AcuRev4100_014_01_case24</t>
  </si>
  <si>
    <t>电能质量事件触发触发DO、RO
电压骤降事件发生触发DO1,RO1</t>
  </si>
  <si>
    <t>1、连接AcuRev4100电表到Acuview2上，连接状态为connected。
2、配置阈值和抖动参数(阈值：50%，抖动：10%), 额定电压设置230V
3、配置电压骤降事件发生触发DO1,RO1
4、使用电能质量仪触发三相电压骤降(Voltage Sag), U小于(50%-10%)*230V
5、检查上位机上是否会出现电压骤降(Voltage Sag)的Event log。
6、检测DO1,RO1口是否有高电平产生
7、使用电能质量仪触发三相电压骤降(Voltage Sag), U大于(50%+10%)*230V
8、检查上位机上是否会出现电压骤降(Voltage Sag)的结束的Event log。
9、检测DO1,RO1口是否变为低电平</t>
  </si>
  <si>
    <t>6、检测DO1,RO1有高电平产生
9、检测DO1,RO1变为低电平</t>
  </si>
  <si>
    <t>Function_AcuRev4100_014_01_case24_01</t>
  </si>
  <si>
    <t>电能质量事件触发触发DO、RO
电压骤降事件发生触发DO8,RO2</t>
  </si>
  <si>
    <t>1、连接AcuRev4100电表到Acuview2上，连接状态为connected。
2、配置阈值和抖动参数(阈值：50%，抖动：10%), 额定电压设置230V
3、配置电压骤降事件发生触发DO8,RO2
4、使用电能质量仪触发三相电压骤降(Voltage Sag), U小于(50%-10%)*230V
5、检查上位机上是否会出现电压骤降(Voltage Sag)的Event log。
6、检测DO8,RO2口是否有高电平产生
7、使用电能质量仪触发三相电压骤降(Voltage Sag), U大于(50%+10%)*230V
8、检查上位机上是否会出现电压骤降(Voltage Sag)的结束的Event log。
9、检测DO8,RO2口是否变为低电平</t>
  </si>
  <si>
    <t>6、检测DO8,RO2有高电平产生
9、检测DO8,RO2变为低电平</t>
  </si>
  <si>
    <t>Function_AcuRev4100_014_01_case25</t>
  </si>
  <si>
    <t>电能质量事件触发触发DO、RO
电压骤升事件发生触发DO2,RO1</t>
  </si>
  <si>
    <t>1、连接AcuRev4100电表到Acuview2上，连接状态为connected。
2、配置阈值和抖动参数(阈值：120%，抖动：10%), 额定电压设置69V
3、配置电压骤降事件发生触发DO2,RO1
4、使用电能质量仪触发三相电压骤降(Voltage Sag), U大于(120%+10%)*69V
5、检查上位机上是否会出现电压骤降(Voltage Sag)的Event log。
6、检测DO2,RO1口是否有高电平产生
7、使用电能质量仪触发三相电压骤降(Voltage Sag), U小于(120%-10%)*69V
8、检查上位机上是否会出现电压骤降(Voltage Sag)的结束的Event log。
9、检测DO2,RO1口是否变为低电平</t>
  </si>
  <si>
    <t>6、检测DO2,RO1有高电平产生
9、检测DO2,RO1变为低电平</t>
  </si>
  <si>
    <t>Function_AcuRev4100_014_01_case25_01</t>
  </si>
  <si>
    <t>电能质量事件触发触发DO、RO
电压骤升事件发生触发DO7,RO2</t>
  </si>
  <si>
    <t>1、连接AcuRev4100电表到Acuview2上，连接状态为connected。
2、配置阈值和抖动参数(阈值：120%，抖动：10%), 额定电压设置69V
3、配置电压骤降事件发生触发DO7,RO2
4、使用电能质量仪触发三相电压骤降(Voltage Sag), U大于(120%+10%)*69V
5、检查上位机上是否会出现电压骤降(Voltage Sag)的Event log。
6、检测DO7,RO2口是否有高电平产生
7、使用电能质量仪触发三相电压骤降(Voltage Sag), U小于(120%-10%)*69V
8、检查上位机上是否会出现电压骤降(Voltage Sag)的结束的Event log。
9、检测DO7,RO2口是否变为低电平</t>
  </si>
  <si>
    <t>6、检测DO7,RO2有高电平产生
9、检测DO7,RO2变为低电平</t>
  </si>
  <si>
    <t>Function_AcuRev4100_014_01_case26</t>
  </si>
  <si>
    <t>电能质量事件触发触发DO、RO
电压中断事件发生触发DO3,RO1</t>
  </si>
  <si>
    <t>1、连接AcuRev4100电表到Acuview2上，连接状态为connected。
2、配置阈值和抖动参数(阈值：10%，抖动：5%), 额定电压设置230V
3、配置电压中断事件发生触发DO3,RO1
4、使用电能质量仪触发三相电压中断(Voltage Sag), U小于(10%-5%)*230V
5、检查上位机上是否会出现电压中断(Voltage Sag)的Event log。
6、检测DO3,RO1口是否有高电平产生
7、使用电能质量仪触发三相电压中断(Voltage Sag), U大于(10%+5%)*230V
8、检查上位机上是否会出现电压中断(Voltage Sag)的结束的Event log。
9、检测DO3,RO1口是否变为低电平</t>
  </si>
  <si>
    <t>6、检测DO3,RO1有高电平产生
9、检测DO3,RO1变为低电平</t>
  </si>
  <si>
    <t>Function_AcuRev4100_014_01_case26_01</t>
  </si>
  <si>
    <t>电能质量事件触发触发DO、RO
电压中断事件发生触发DO6,RO2</t>
  </si>
  <si>
    <t>1、连接AcuRev4100电表到Acuview2上，连接状态为connected。
2、配置阈值和抖动参数(阈值：10%，抖动：5%), 额定电压设置230V
3、配置电压骤降事件发生触发DO6,RO2
4、使用电能质量仪触发三相电压中断(Voltage Sag), U小于(10%-5%)*230V
5、检查上位机上是否会出现电压中断(Voltage Sag)的Event log。
6、检测DO6,RO2口是否有高电平产生
7、使用电能质量仪触发三相电压中断(Voltage Sag), U大于(10%+5%)*230V
8、检查上位机上是否会出现电压中断(Voltage Sag)的结束的Event log。
9、检测DO6,RO2口是否变为低电平</t>
  </si>
  <si>
    <t>6、检测DO6,RO2有高电平产生
9、检测DO6,RO2变为低电平</t>
  </si>
  <si>
    <t>Function_AcuRev4100_014_01_case27</t>
  </si>
  <si>
    <t>电能质量事件触发触发DO、RO
电流骤升事件发生触发DO4,RO1</t>
  </si>
  <si>
    <t>1、连接AcuRev4100电表到Acuview2上，连接状态为connected。
2、配置阈值和抖动参数(阈值：110%，抖动：10%), 额定电压设置3A
3、配置电流骤升事件发生触发DO4,RO1
4、使用电能质量仪触发三相电流骤升(Voltage Sag), U大于(110%+10%)*3A
5、检查上位机上是否会出现电流骤升(Voltage Sag)的Event log。
6、检测DO4,RO1口是否有高电平产生
7、使用电能质量仪触发三相电流骤升(Voltage Sag), U小于(110%-10%)*3A
8、检查上位机上是否会出现电流骤升(Voltage Sag)的结束的Event log。
9、检测DO4,RO1口是否变为低电平</t>
  </si>
  <si>
    <t>6、检测DO4,RO1有高电平产生
9、检测DO4,RO1变为低电平</t>
  </si>
  <si>
    <t>Function_AcuRev4100_014_01_case27_01</t>
  </si>
  <si>
    <t>电能质量事件触发触发DO、RO
电流骤升事件发生触发DO5,RO2</t>
  </si>
  <si>
    <t>1、连接AcuRev4100电表到Acuview2上，连接状态为connected。
2、配置阈值和抖动参数(阈值：110%，抖动：10%), 额定电压设置3A
3、配置电流骤升事件发生触发DO5,RO2
4、使用电能质量仪触发三相电流骤升(Voltage Sag), U大于(110%+10%)*3A
5、检查上位机上是否会出现电流骤升(Voltage Sag)的Event log。
6、检测DO5,RO2口是否有高电平产生
7、使用电能质量仪触发三相电流骤升Voltage Sag), U小于(110%-10%)*3A
8、检查上位机上是否会出现电流骤升(Voltage Sag)的结束的Event log。
9、检测DO5,RO2口是否变为低电平</t>
  </si>
  <si>
    <t>6、检测DO5,RO2有高电平产生
9、检测DO5,RO2变为低电平</t>
  </si>
  <si>
    <t>Function_AcuRev4100_014_01_case27_02</t>
  </si>
  <si>
    <t>告警事件与pq event事件同时产生，共同配置相同DO\RO，同时触发告警、pq event事件产生，查看DO\RO情况，结束其中一个事件，查看DO\RO情况，同时结束两种事件，查看DO\RO情况</t>
  </si>
  <si>
    <t>1、连接AcuRev4100电表到Acuview2上，连接状态为connected。
2、配置阈值和抖动参数(阈值：110%，抖动：10%), 额定电压设置3A
2.1配置电流骤升事件发生触发DO5,RO2
3.配置告警通道1中参数1.2逻辑与关系，参数分别为电压A,电压B，规则均为大于120V事件触发；小于110V，事件结束；
3.1配置通道1关联DO5,RO2打开
4、使用电能质量仪给表三相施加130V,4A；
5、检查上位机上是否会出现电流骤升的Event log及通道1的告警
5.1、检测DO5,RO2口是否有高电平产生
6、使用电能质量仪给表三相电流降低到2.5A，电压保持130V
7、检查上位机上是否会出现电流骤升结束的Event log。
8、检测DO5,RO2口是否变为低电平
9.使用电能质量仪给表三相电压降低到100V,电流保持2.5A
10.检测DO5,RO2口是否变为低电平
11.给表施加三相电流4A,电压100V
12.检测DO5,RO2口是否变为高电平</t>
  </si>
  <si>
    <t>5.均有事件产生
5.1、DO5,RO2口均有高电平产生
7.有电流骤升结束事件产生
8.DO5,RO2口均保持高电平输出
10.DO5,RO2口均变为低电平
12.DO5,RO2口均变为高电平</t>
  </si>
  <si>
    <t>Function_AcuRev4100_014_01_case28</t>
  </si>
  <si>
    <t>Function_AcuRev4100_014_01_case29</t>
  </si>
  <si>
    <t>Function_AcuRev4100_014_02_case1</t>
  </si>
  <si>
    <t>采样点个数最长不超过2560个</t>
  </si>
  <si>
    <t>1、连接AcuRev4100电表到Acuview2上，连接状态为connected。
2、设置录波采样类型"Waveform Sampling Type" 是否最大设置128 points
2.1 检查事件前波形个数(Number of recorded waves before the event occurred)与事件后的波形个数(Number of recorded waves after the event occurred)之和是否小于等于20.
3、配置阈值和抖动参数(阈值：120%，抖动：5%), 额定电压设置220V
4、使用电能质量仪触发电压骤升, U大于(120%+5%)*220
5、检查上位机上是否会出现电压骤升的Event log。
6、上位机上检查录波采样点数是否最多为2560个</t>
  </si>
  <si>
    <t>Function_AcuRev4100_014_02_case2</t>
  </si>
  <si>
    <t>1、连接AcuRev4100电表到Acuview2上，连接状态为connected。
1.1、设置录波采样类型"Waveform Sampling Type" 设置16 points
1.2、设置事件前波形个数(Number of recorded waves before the event occurred)为1与事件后的波形个数(Number of recorded waves after the event occurred)为159
2、配置阈值和抖动参数(阈值：50%，抖动：5%), 额定电压设置230V
3、使用电能质量仪触发电压骤降(Voltage Sag), U小于(50%-5%)*230
4、检查上位机上是否会出现电压骤降(Voltage Sag)的Event log。
5、点击Voltage Sag生成的Event log是否生成对应录波
6、上位机上检查录波采样点数是否为2560个(excel导出采样点，记录统计采样个数)</t>
  </si>
  <si>
    <t>Function_AcuRev4100_014_02_case3</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</si>
  <si>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6、上位机上检查录波采样点数是否为640个(excel导出采样点，记录统计采样个数)</t>
  </si>
  <si>
    <t>Function_AcuRev4100_014_02_case4</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</si>
  <si>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6、上位机上检查录波采样点数是否为1280个(excel导出采样点，记录统计采样个数)</t>
  </si>
  <si>
    <t>Function_AcuRev4100_014_02_case5</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</si>
  <si>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2、配置阈值和抖动参数(阈值：50%，抖动：10%), 额定电压设置230V
3、使用电能质量仪触发电压骤降(Voltage Sag), U小于(50%-10%)*230
4、检查上位机上是否会出现电压骤降(Voltage Sag)的Event log。
5、点击Voltage Sag生成的Event log是否生成对应录波
6、上位机上检查录波采样点数是否为2560个(excel导出采样点，记录统计采样个数)</t>
  </si>
  <si>
    <t>Function_AcuRev4100_014_02_case6</t>
  </si>
  <si>
    <t>1、连接AcuRev4100电表到Acuview2上，连接状态为connected。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额定电压设置69V
3、使用电能质量仪触发电压骤升(Voltage Swell), U大于(120%+10%)*69V
4、检查上位机上是否会出现电压骤升(Voltage Swell)的Event log。
5、点击Voltage Swell生成的Event log是否生成对应录波
6、上位机上检查录波采样点数是否为320个(excel导出采样点，记录统计采样个数)</t>
  </si>
  <si>
    <t>Function_AcuRev4100_014_02_case7</t>
  </si>
  <si>
    <t>1、连接AcuRev4100电表到Acuview2上，连接状态为connected。
1.1、设置录波采样类型"Waveform Sampling Type" 设置32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6、上位机上检查录波采样点数是否为640个(excel导出采样点，记录统计采样个数)</t>
  </si>
  <si>
    <t>Function_AcuRev4100_014_02_case8</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</si>
  <si>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U大于(120%+10%)*220
4、检查上位机上是否会出现电压骤升(Voltage Swell)的Event log。
5、点击Voltage Swell生成的Event log是否生成对应录波
6、上位机上检查录波采样点数是否为1280个(excel导出采样点，记录统计采样个数)</t>
  </si>
  <si>
    <t>Function_AcuRev4100_014_02_case9</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</si>
  <si>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t>
  </si>
  <si>
    <t>Function_AcuRev4100_014_02_case10</t>
  </si>
  <si>
    <t>1、连接AcuRev4100电表到Acuview2上，连接状态为connected。
1.1、设置录波采样类型"Waveform Sampling Type" 设置 16points
1.2、设置事件前波形个数(Number of recorded waves before the event occurred)为10与事件后的波形个数(Number of recorded waves after the event occurred)为10
2、配置阈值和抖动参数(阈值：20%，抖动：10%), 额定电压设置220V
3、使用电能质量仪触发电压中断(Voltage Interruption), U小于(20%-10%)*220
4、检查上位机上是否会出现电压骤升(Voltage Interruption)的Event log。
5、点击Voltage Interruption生成的Event log是否生成对应录波
6、上位机上检查录波采样点数是否为320(excel导出采样点，记录统计采样个数)</t>
  </si>
  <si>
    <t>Function_AcuRev4100_014_02_case11</t>
  </si>
  <si>
    <t>1、连接AcuRev4100电表到Acuview2上，连接状态为connected。
1.1、设置录波采样类型"Waveform Sampling Type" 设置32 points
1.2、设置事件前波形个数(Number of recorded waves before the event occurred)为60与事件后的波形个数(Number of recorded waves after the event occurred)为20
2、配置阈值和抖动参数(阈值：20%，抖动：10%), 额定电压设置220V
3、使用电能质量仪触发电压中断(Voltage Interruption), U大于(20%-10%)*230
4、检查上位机上是否会出现电压骤升(Voltage Interruption)的Event log。
5、点击Voltage Interruption生成的Event log是否生成对应录波
6、上位机上检查录波采样点数是否为640个(excel导出采样点，记录统计采样个数)</t>
  </si>
  <si>
    <t>Function_AcuRev4100_014_02_case12</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</si>
  <si>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2、配置阈值和抖动参数(阈值：20%，抖动：10%), 额定电压设置230V
3、使用电能质量仪触发电压中断(Voltage Interruption), U小于(20%-10%)*230
4、检查上位机上是否会出现电压中断(Voltage Interruption)的Event log。
5、点击Voltage Interruption生成的Event log是否生成对应录波
6、上位机上检查录波采样点数是否为1280个(excel导出采样点，记录统计采样个数)</t>
  </si>
  <si>
    <t>Function_AcuRev4100_014_02_case13</t>
  </si>
  <si>
    <t>1、连接AcuRev4100电表到Acuview2上，连接状态为connected。
1.1、设置录波采样类型"Waveform Sampling Type" 设置128 points
1.2、设置事件前波形个数(Number of recorded waves before the event occurred)为10与事件后的波形个数(Number of recorded waves after the event occurred)为10
2、配置阈值和抖动参数(阈值：10%，抖动：5%), 额定电压设置220V
3、使用电能质量仪触发电压中断(Voltage Interruption), U大于(10%-5%)*220
4、检查上位机上是否会出现电压骤升(Voltage Interruption)的Event log。
5、点击Voltage Interruption生成的Event log是否生成对应录波
6、上位机上检查录波采样点数是否为2560个(excel导出采样点，记录统计采样个数)</t>
  </si>
  <si>
    <t>Function_AcuRev4100_014_02_case14</t>
  </si>
  <si>
    <t>1、连接AcuRev4100电表到Acuview2上，连接状态为connected。
1.1、设置录波采样类型"Waveform Sampling Type" 设置16 points
1.2、设置事件前波形个数(Number of recorded waves before the event occurred)为10与事件后的波形个数(Number of recorded waves after the event occurred)为10
2、配置阈值和抖动参数(阈值：120%，抖动：10%), 额定电流设置3A
3、使用电能质量仪触发电流骤升(Current Swell), U大于(120%+10%)*3A
4、检查上位机上是否会出现电流骤升(Current Swell)的Event log。
5、点击Current Swell生成的Event log是否生成对应录波
6、上位机上检查录波采样点数是否为320个(excel导出采样点，记录统计采样个数)</t>
  </si>
  <si>
    <t>Function_AcuRev4100_014_02_case15</t>
  </si>
  <si>
    <t>1、连接AcuRev4100电表到Acuview2上，连接状态为connected。
1.1、设置录波采样类型"Waveform Sampling Type" 设置32 points
1.2、设置事件前波形个数(Number of recorded waves before the event occurred)为20与事件后的波形个数(Number of recorded waves after the event occurred)为20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6、上位机上检查录波采样点数是否为640个(excel导出采样点，记录统计采样个数)</t>
  </si>
  <si>
    <t>Function_AcuRev4100_014_02_case16</t>
  </si>
  <si>
    <t>1、连接AcuRev4100电表到Acuview2上，连接状态为connected。
1.1、设置录波采样类型"Waveform Sampling Type" 设置64 points
1.2、设置事件前波形个数(Number of recorded waves before the event occurred)为10与事件后的波形个数(Number of recorded waves after the event occurred)为10
2、配置阈值和抖动参数(阈值：110%，抖动：10%), 额定电压设置3A
3、使用电能质量仪触发电流骤升(Current Swell), U大于(110%+10%)*3
4、检查上位机上是否会出现电流骤升(Current Swell)的Event log。
5、点击Current Swell生成的Event log是否生成对应录波
6、上位机上检查录波采样点数是否为1280个(excel导出采样点，记录统计采样个数)</t>
  </si>
  <si>
    <t>Function_AcuRev4100_014_02_case17</t>
  </si>
  <si>
    <t>1、连接AcuRev4100电表到Acuview2上，连接状态为connected。
1.1、设置录波采样类型"Waveform Sampling Type" 设置128 points
2、配置阈值和抖动参数(阈值：110%，抖动：10%), 额定电压设置4A
3、使用电能质量仪触发电流骤升(Current Swell), U大于(110%+10%)*4
4、检查上位机上是否会出现电流骤升(Current Swell)的Event log。
5、点击Current Swell生成的Event log是否生成对应录波
6、上位机上检查录波采样点数是否为2560个(excel导出采样点，记录统计采样个数)</t>
  </si>
  <si>
    <t>Function_AcuRev4100_014_02_case17_01</t>
  </si>
  <si>
    <t>1、连接AcuRev4100电表到Acuview2上，连接状态为connected。
2、打开录波，使用电能质量测试仪构造条件触发waveform log多条
3.点击save to file保存数据
4.比对保存的数据与页面展示数据是否一致</t>
  </si>
  <si>
    <t>Function_AcuRev4100_014_02_case17_02</t>
  </si>
  <si>
    <t>1、连接AcuRev4100电表到Acuview2上，连接状态为connected。
2、打开录波，使用电能质量测试仪构造条件触发waveform log多条
3.上位机选择读最近20条数据
4.查看数据是否准确
5.上位机选择读最近60条数据
6.查看数据是否准确
7上位机选择读200条数据
8.查看数据是否准确</t>
  </si>
  <si>
    <t>Function_AcuRev4100_014_02_case17_03</t>
  </si>
  <si>
    <t>1、连接AcuRev4100电表到Acuview2上，连接状态为connected。
2、打开录波，使用电能质量测试仪构造条件触发waveform log多条
3.上位机读所产生的所有数据
4.HMI点击logs查看waveform log数据
5.比对上位机与电表HMI中waveform log条数与内容是否一致</t>
  </si>
  <si>
    <t>Function_AcuRev4100_014_02_case17_04</t>
  </si>
  <si>
    <t>1、连接AcuRev4100电表到Acuview2上，连接状态为connected。
2、打开录波，使用电能质量测试仪构造条件触发waveform log多条
3.上位机点击清除waveform log
4.读记录的事件条数及内容是否均被清掉</t>
  </si>
  <si>
    <t>Function_AcuRev4100_014_02_case17_05</t>
  </si>
  <si>
    <t>1、连接AcuRev4100电表到Acuview2上，连接状态为connected。
2、生成waveform log 超过200个
3、 随机选取任意waveform log读取录波，平均每100条覆盖读取3个waveform log</t>
  </si>
  <si>
    <t>Function_AcuRev4100_014_02_case18</t>
  </si>
  <si>
    <t>上位机“DI Trigger Waveform Capture”栏， 设置DI1 Trigger 、DI2 Trigger、DI3Trigger、DI4Trigger为0，mannul Trigger 为0</t>
  </si>
  <si>
    <t xml:space="preserve">1、连接AcuRev4100电表到Acuview2上，连接状态为connected。
1.1、设置录波采样类型"Waveform Sampling Type" 设置64 points，num of rec before、num of rec after分别为20
2、上位机“DI1 Trigger Waveform Capture”栏， 设置DI1 Trigger 、DI2 Trigger、DI3Trigger、DI4Trigger为0，mannul Trigger 为0
3.表计分别模拟DI1、DI2、DI3、DI4事件录波
4、检查上位机上是否会出现DI状态变化的waveform log。
5、点击waveform log，录波界面是否对应录波生成
</t>
  </si>
  <si>
    <t>Function_AcuRev4100_014_02_case19</t>
  </si>
  <si>
    <t>上位机“DI Trigger Waveform Capture”栏， 设置DI1 Trigger 为1、DI2 Trigger、DI3 Trigger、DI4 Trigger为0，mannul Trigger 为0</t>
  </si>
  <si>
    <t xml:space="preserve">1、连接AcuRev4100电表到Acuview2上，连接状态为connected。
1.1、设置录波采样类型"Waveform Sampling Type" 设置64 points，num of rec before、num of rec after分别为10
2、上位机“DI1 Trigger Waveform Capture”栏， 设置DI1 Trigger 为1、DI2 Trigger、DI3 Trigger、DI4 Trigger为0，mannul Trigger 为0
3.表计模拟DI1事件录波
4、检查上位机上是否会出现DI状态变化的waveform log。
5、点击waveform log，录波界面是否对应录波生成
</t>
  </si>
  <si>
    <t>Function_AcuRev4100_014_02_case20</t>
  </si>
  <si>
    <t>上位机“DI Trigger Waveform Capture”栏， 设置DI2 Trigger 为1、DI1Trigger、DI3 Trigger、DI4 Trigger为0，mannul Trigger 为0</t>
  </si>
  <si>
    <t>1、连接AcuRev4100电表到Acuview2上，连接状态为connected。
1.1、设置录波采样类型"Waveform Sampling Type" 设置32 points，num of rec before、num of rec after分别为15
2、上位机“DI2 Trigger Waveform Capture”栏， 设置DI2 Trigger 为1、DI1Trigger、DI3 Trigger、DI4 Trigger为0，mannul Trigger 为0
3.表计模拟DI2事件录波
4、检查上位机上是否会出现DI状态变化的waveform log。
5、点击waveform log，录波界面是否对应录波生成</t>
  </si>
  <si>
    <t>Function_AcuRev4100_014_02_case21</t>
  </si>
  <si>
    <t>上位机“DI Trigger Waveform Capture”栏， 设置DI3 Trigger 为1、DI1Trigger、DI2 Trigger、DI4 Trigger为0，mannul Trigger 为0</t>
  </si>
  <si>
    <t>1、连接AcuRev4100电表到Acuview2上，连接状态为connected。
1.1、设置录波采样类型"Waveform Sampling Type" 设置16 points，num of rec before、num of rec after分别为10
2、上位机“DI3 Trigger Waveform Capture”栏， 设置DI3 Trigger 为1、DI1Trigger、DI2 Trigger、DI4 Trigger为0，mannul Trigger 为0
3.表计模拟DI3事件录波
4、检查上位机上是否会出现DI状态变化的waveform log。
5、点击waveform log，录波界面是否对应录波生成</t>
  </si>
  <si>
    <t>Function_AcuRev4100_014_02_case22</t>
  </si>
  <si>
    <t>上位机“DI Trigger Waveform Capture”栏，设置DI4 Trigger 为1、DI1Trigger、DI2 Trigger、DI3 Trigger为0，mannul Trigger 为0</t>
  </si>
  <si>
    <t>1、连接AcuRev4100电表到Acuview2上，连接状态为connected。
1.1、设置录波采样类型"Waveform Sampling Type" 设置128 points，num of rec before、num of rec after分别为10
2、上位机“DI4 Trigger Waveform Capture”栏， 设置DI4 Trigger 为1、DI1Trigger、DI2 Trigger、DI3 Trigger为0，mannul Trigger 为0
3.表计模拟DI4事件录波
4、检查上位机上是否会出现DI状态变化的waveform log。
5、点击waveform log，录波界面是否对应录波生成</t>
  </si>
  <si>
    <t>Function_AcuRev4100_014_02_case22_01</t>
  </si>
  <si>
    <t>1、连接AcuRev4100电表到Acuview2上，连接状态为connected。
1.1、设置录波采样类型"Waveform Sampling Type" 设置16 points，num of rec before、num of rec after分别为10
2、上位机“mannul Trigger”栏， 设置DI1Trigger、DI2 Trigger、DI3 Trigger、DI4 Trigger 为0，mannul Trigger 为1
3、检查上位机上是否会出现mannul Trigger状态变化的waveform log。
4、点击waveform log，录波界面是否对应录波生成</t>
  </si>
  <si>
    <t>Function_AcuRev4100_014_02_case22_02</t>
  </si>
  <si>
    <t>上位机“DI Trigger Waveform Capture”栏，设置mannul Trigger 为1（打开手动Trigger ）、DI1Trigger为1</t>
  </si>
  <si>
    <t>1、连接AcuRev4100电表到Acuview2上，连接状态为connected。
1.1、设置录波采样类型"Waveform Sampling Type" 设置32 points，num of rec before、num of rec after分别为10
2、上位机“mannul Trigger”栏， 设置DI1Trigger为1、DI2 Trigger、DI3 Trigger、DI4 Trigger 为0，mannul Trigger 为1
3、表计模拟DI1事件录波3次
4、检查上位机上是否会出现mannul Trigger、DI1Trigger状态变化的waveform log。
5、点击waveform log，录波界面是否对应录波生成</t>
  </si>
  <si>
    <t>Function_AcuRev4100_014_02_case22_03</t>
  </si>
  <si>
    <t>上位机“DI Trigger Waveform Capture”栏，设置mannul Trigger 为1（打开手动Trigger ）、DI 4Trigger为1</t>
  </si>
  <si>
    <t>1、连接AcuRev4100电表到Acuview2上，连接状态为connected。
1.1、设置录波采样类型"Waveform Sampling Type" 设置32 points，num of rec before、num of rec after分别为10
2、上位机“mannul Trigger”栏， 设置DI1Trigger、DI2 Trigger、DI3 Trigger分别为0、DI4 Trigger 为1，mannul Trigger 为1
3、表计模拟DI4事件录波3次
4、检查上位机上是否会出现mannul Trigger、DI4Trigger状态变化的waveform log。
5、点击waveform log，录波界面是否对应录波生成</t>
  </si>
  <si>
    <t>4、检查上位机上会出现mannul Trigger、DI4 Trigger状态变化的waveform log。
5、点击waveform log，mannul Trigger、DI4 Trigger录波界面有对应录波生成</t>
  </si>
  <si>
    <t>Function_AcuRev4100_014_02_case22_04</t>
  </si>
  <si>
    <t xml:space="preserve">1、连接AcuRev4100电表到Acuview2上，连接状态为connected。
1.1、设置录波采样类型"Waveform Sampling Type" 设置32 points，num of rec before、num of rec after分别为10
2.表计连续触发3~4次手动录波，读录波内容
</t>
  </si>
  <si>
    <t>Function_AcuRev4100_015_01_case1</t>
  </si>
  <si>
    <t>上位机最多配置20个Alarm monitors，告警功能均正常</t>
  </si>
  <si>
    <t>1、连接AcuRev4100电表到Acuview2上，连接状态为connected。
2、检查上位机配置20条Alarm monitors，点击“update， 
3、检查上位机告警配置是否成功，且无弹窗报错。</t>
  </si>
  <si>
    <t>Function_AcuRev4100_015_01_case1_01</t>
  </si>
  <si>
    <t>1、连接AcuRev4100电表到Acuview2上，连接状态为connected。
2、设置告警条件，使用电能质量测试仪构造条件触发alarm log多条
3.点击save to file保存数据
4.比对保存的数据与页面展示数据是否一致</t>
  </si>
  <si>
    <t>Function_AcuRev4100_015_01_case1_02</t>
  </si>
  <si>
    <t>alarm log数据读取范围</t>
  </si>
  <si>
    <t>1、连接AcuRev4100电表到Acuview2上，连接状态为connected。
2、设置告警条件，使用电能质量测试仪构造条件触发alarm log多条
3.上位机选择读最近20条数据
4.查看数据是否准确
5.上位机选择读最近60条数据
6.查看数据是否准确
7上位机选择读200条数据
8.查看数据是否准确</t>
  </si>
  <si>
    <t>Function_AcuRev4100_015_01_case1_03</t>
  </si>
  <si>
    <t>HMI上读alarm log数据</t>
  </si>
  <si>
    <t>1、连接AcuRev4100电表到Acuview2上，连接状态为connected。
2、设置告警条件，使用电能质量测试仪构造条件触发alarm log多条
3.上位机读所产生的所有数据
4.HMI点击logs查看alarm log数据
5.比对上位机与电表HMI中alarm log条数与内容是否一致</t>
  </si>
  <si>
    <t>Function_AcuRev4100_015_01_case1_04</t>
  </si>
  <si>
    <t>alarm  log数据清除功能</t>
  </si>
  <si>
    <t>1、连接AcuRev4100电表到Acuview2上，连接状态为connected。
2、设置告警条件，使用电能质量测试仪构造条件触发alarm log多条
3.上位机、HMI点击清除alarm log
4.读记录的事件条数及内容是否均被清掉</t>
  </si>
  <si>
    <t>Function_AcuRev4100_015_01_case1_05</t>
  </si>
  <si>
    <t>alarm  log修改告警参数</t>
  </si>
  <si>
    <t>1、连接AcuRev4100电表到Acuview2上，连接状态为connected。
2、设置一条告警
3.模拟产生该告警对应的告警事件，未结束
4.修改该告警</t>
  </si>
  <si>
    <t>Function_AcuRev4100_015_01_case2</t>
  </si>
  <si>
    <t>打开Alarm使能，参数选Van、Vbn，逻辑“大于&amp;“AND”，配置启动值120V，启动延迟0ms，释放值115V，释放延迟0ms，满足告警阈值，触发和消除告警正常</t>
  </si>
  <si>
    <t>1、连接AcuRev4100电表到Acuview2上，连接状态为connected。
2、配置Alarm使能，参数选Van、Vbn，逻辑：“大于、“AND”，启动值120V，启动延迟0ms，释放值115V，检查配置是否成功。
3、电源输入Van电压121V，电源输入Vbn电压119V
4、检查上位机告警界面和HMI告警界面，触发的告警是否被正确记录(状态:“end”)
5、电源输入Van、Vbn电压121V
6、检查上位机告警界面和HMI告警界面，触发的告警是否被正确记录(状态:“start”)
7、电源输入Van、Vbn电压115V
8、检查上位机告警界面和HMI告警界面，是否新增一条触发的告警(状态:“end”)</t>
  </si>
  <si>
    <t>Function_AcuRev4100_015_01_case3</t>
  </si>
  <si>
    <t>打开Alarm使能，参数选Ia、Ib，逻辑“小于&amp;“or”，配置启动值3A，启动延迟30000ms，释放值3.5A，释放延迟0ms，满足告警阈值，触发和消除告警正常</t>
  </si>
  <si>
    <t>1、连接AcuRev4100电表到Acuview2上，连接状态为connected。
2、配置Alarm使能，参数选Ia、Ib，逻辑：“小于、“or”，配置启动值3A，启动延迟30000ms，释放值3.5A，释放延迟0ms，检查配置是否成功。
3、电源输入Ia、Ib电压4A
4、检查上位机告警界面和HMI告警界面，触发的告警是否被正确记录(状态:“end”)
5、电源输入Ia电压2.5A，Ib电压4A
6、检查上位机告警界面和HMI告警界面，是否新增一条触发的告警(状态:“start”)
7、电源输入Ia电压4A，Ib电压4A
8、检查上位机告警界面和HMI告警界面，是否新增一条触发的告警(状态:“end”)
9、电源输入Ia电压2.5A，Ib电压2.5A
10、检查上位机告警界面和HMI告警界面，是否新增一条触发的告警(状态:“start”)
11、电源输入Ia电压4A，Ib电压4A
12、检查上位机告警界面和HMI告警界面，是否新增一条触发的告警(状态:“end”)</t>
  </si>
  <si>
    <t>Function_AcuRev4100_015_01_case3_1</t>
  </si>
  <si>
    <t>打开Alarm使能，参数选Van、Vbn，逻辑”小于“&amp;“or”，参数一：Van配置启动值115V，启动延迟0ms，释放值120V，释放延迟0ms，参数二：Vbn配置启动值115V，启动延迟0ms，释放值120V，释放延迟0ms， 满足告警阈值，触发和消除告警正常</t>
  </si>
  <si>
    <t>1、连接AcuRev4100电表到Acuview2上，连接状态为connected。
2、配置Alarm使能，参数选Van、Vbn，逻辑”小于“、“or”，参数一：Van配置启动值115V，启动延迟0ms，释放值120V，释放延迟0ms，
参数二：Vbn配置启动值115V，启动延迟0ms，释放值120V，释放延迟0ms，检查配置是否成功。
3、电源输入Van、Vbn电压105V、120V
4、检查上位机告警界面和HMI告警界面，触发的告警是否被正确记录(状态:“start”)
5、电源输入Van、Vbn电压105V、105V
6、检查上位机告警界面和HMI告警界面，触发的告警是否被正确记录(状态:“start”)
7、电源输入Van、Vbn电压122V
8、检查上位机告警界面和HMI告警界面，是否新增一条触发的告警(状态:“end”)</t>
  </si>
  <si>
    <t>Function_AcuRev4100_015_01_case4</t>
  </si>
  <si>
    <t>打开Alarm使能，参数选Van、Vbn，验证逻辑不能选择"="</t>
  </si>
  <si>
    <t>1、连接AcuRev4100电表到Acuview2上，连接状态为connected。
2、配置Alarm使能，参数选Van、Vbn，逻辑“=、“AND”，配置启动值120V，释放值125V,启动延迟5000ms,释放延迟5000ms，检查配置是否成功。</t>
  </si>
  <si>
    <t>Function_AcuRev4100_015_01_case5</t>
  </si>
  <si>
    <t>打开Alarm使能，参数选Ia、Ib，验证逻辑不能选择"="</t>
  </si>
  <si>
    <t>1、连接AcuRev4100电表到Acuview2上，连接状态为connected。
2、配置Alarm使能，参数选Ia、Ib，逻辑“=、“or”，配置启动值3A，释放值4A,启动延迟10000ms,释放延迟10000ms，检查配置是否成功。</t>
  </si>
  <si>
    <t>Function_AcuRev4100_015_01_case6</t>
  </si>
  <si>
    <t>关闭Alarm使能，满足超过告警门限值和不满足条件，均不会产生告警。</t>
  </si>
  <si>
    <t>1、连接AcuRev4100电表到Acuview2上，连接状态为connected。
2、配置Alarm未使能，参数选Van、Vbn，逻辑”小于“、“or”，参数一：Van配置启动值115V，启动延迟0ms，释放值120V，释放延迟0ms，
3、电源输入Van、Vbn电压125V
4、检查上位机告警界面和HMI告警界面，触发的告警是否被正确记录
5、电源输入Van、Vbn电压100V
6、检查上位机告警界面和HMI告警界面，是否新增一条触发的告警</t>
  </si>
  <si>
    <t>Function_AcuRev4100_015_01_case7</t>
  </si>
  <si>
    <t>打开Alarm使能，参数选Van、Vbn，逻辑“大于&amp;“AND”，配置启动值120V，释放值125V,启动延迟0ms,释放延迟0ms，配置失败，提示“逻辑“&gt;”,pickup value需要大于dropout value”</t>
  </si>
  <si>
    <t xml:space="preserve">1、连接AcuRev4100电表到Acuview2上，连接状态为connected。
2、配置打开Alarm使能，参数选Van、Vbn，逻辑“大于、“AND”，配置启动值120V，释放值125V,启动延迟0ms,释放延迟0ms，点击“update”
3、检查配置是否成功。
</t>
  </si>
  <si>
    <t>Function_AcuRev4100_015_01_case8</t>
  </si>
  <si>
    <t>打开Alarm使能，参数选Ia、Ib，逻辑“小于&amp;“or”，配置启动值3A，启动延迟30000ms，释放值2.5A，释放延迟0ms，配置失败，提示“逻辑“&lt;”,pickup value需要小于dropout value”</t>
  </si>
  <si>
    <t xml:space="preserve">1、连接AcuRev4100电表到Acuview2上，连接状态为connected。
2、配置Alarm使能，参数选Ia、Ib，逻辑“小于、“or”，配置启动值3A，启动延迟30000ms，释放值2.5A，释放延迟0ms，点击“update”
3、检查配置是否成功。
</t>
  </si>
  <si>
    <t>Function_AcuRev4100_015_01_case9</t>
  </si>
  <si>
    <t>打开Alarm使能，参数选Va、Vb，逻辑“等于“&amp;“or”，配置启动值120V，释放值120V,启动延迟0ms,释放延迟0ms，  配置失败，提示“逻辑“=”,pickup value不能等于dropout value”</t>
  </si>
  <si>
    <t xml:space="preserve">1、连接AcuRev4100电表到Acuview2上，连接状态为connected。
2、配置打开Alarm使能，参数选Va、Vb，逻辑“&gt;“、“or”，配置启动值120V，释放值120V,启动延迟0ms,释放延迟0ms，点击“update”
3、检查配置是否成功。
</t>
  </si>
  <si>
    <t>Function_AcuRev4100_015_01_case10</t>
  </si>
  <si>
    <t>打开Alarm使能，参数选Van、Vbn，逻辑“大于&amp;“AND”，配置启动值120V，启动延迟20000ms，释放值115V，释放延迟20000ms，DO2~3为enable，I/O模块DOSetting配置Alarm，满足告警阈值，触发和消除DO产生高电平正常</t>
  </si>
  <si>
    <t>1、连接AcuRev4100电表到Acuview2上，连接状态为connected。
2、配置Alarm使能，参数选Van、Vbn，逻辑“大于、“AND”，配置启动值120V，启动延迟20000ms，释放值115V，释放延迟20000ms，检查配置是否成功。
2.1、DO1为enable，I/O模块DOSetting配置Alarm，检查配置是否成功。
3、电源输入Van电压121V，电源输入Vbn电压121V
4、检查上位机告警界面和HMI告警界面，触发的告警是否被正确记录(状态:“start”)
4.1、检查DO1是否产生高电平
5、电源输入Van、Vbn电压113V
6、检查上位机告警界面和HMI告警界面，是否新增一条触发的告警(状态:“end”)
6.1 检查DO1是否产生低电平</t>
  </si>
  <si>
    <t>Function_AcuRev4100_015_01_case11</t>
  </si>
  <si>
    <t>打开Alarm使能，参数选Van、Vbn，逻辑“大于&amp;“AND”，配置启动值120V，启动延迟20000ms，释放值115V，释放延迟20000ms，DO1~8为enable，I/O模块DOSetting配置Alarm，满足告警阈值，触发和消除DO产生高电平正常</t>
  </si>
  <si>
    <t>1、连接AcuRev4100电表到Acuview2上，连接状态为connected。
2、配置Alarm使能，参数选Van、Vbn，逻辑“大于、“AND”，配置启动值120V，启动延迟20000ms，释放值115V，释放延迟20000ms，检查配置是否成功。
2.1、DO1~8为enable，I/O模块DOSetting配置Alarm，检查配置是否成功。
3、电源输入Van电压121V，电源输入Van电压121V
4、检查上位机告警界面和HMI告警界面，触发的告警是否被正确记录(状态:“start”)
4.1、检查DO1~8是否产生高电平
5、电源输入Van、Vbn电压115V
6、检查上位机告警界面和HMI告警界面，是否新增一条触发的告警(状态:“end”)
6.1 检查DO1~8是否产生低电平</t>
  </si>
  <si>
    <t>2、配置成功。
2.1、配置成功。
4、检查上位机告警界面和HMI告警界面，20s后新增一条对应告警记录(状态:“start”)
4.1、DO1~8产生高电平
6、检查上位机告警界面和HMI告警界面，20s后新增一条对应告警被正确记录(状态:“end”)
6.1、DO1~8产生低电平</t>
  </si>
  <si>
    <t>Function_AcuRev4100_015_01_case12</t>
  </si>
  <si>
    <t>打开Alarm使能，参数选Van、Vbn，逻辑“大于&amp;“AND”，配置启动值120V，启动延迟20000ms，释放值115V，释放延迟20000ms，DO1~8为disable，I/O模块DOSetting配置Alarm，满足告警阈值，不会触发DO1~8高电平</t>
  </si>
  <si>
    <t>1、连接AcuRev4100电表到Acuview2上，连接状态为connected。
2、配置Alarm使能，参数选Van、Vbn，逻辑“大于、“AND”，配置启动值120V，启动延迟20000ms，释放值115V，释放延迟20000ms，检查配置是否成功。
2.1、DO1~8为disable，I/O模块DOSetting配置Alarm，检查配置是否成功。
3、电源输入Van电压121V，电源输入Van电压121V
4、检查上位机告警界面和HMI告警界面，触发的告警是否被正确记录(状态:“end”)
4.1、检查DO1~8是否产生高电平</t>
  </si>
  <si>
    <t xml:space="preserve">2、配置成功。
2.1、配置成功。
4、检查上位机告警界面和HMI告警界面，20s后不会新增一条对应告警记录(状态:“end”)
4.1、DO1~8不会产生高电平
</t>
  </si>
  <si>
    <t>Function_AcuRev4100_015_01_case14</t>
  </si>
  <si>
    <t>打开Alarm使能，参数选Ia、Ib，逻辑“小于&amp;“or”，配置启动值3A，启动延迟10000ms，释放值3.5A，释放延迟10000ms，配置RO1~2，I/O模块ROSetting配置Alarm，满足告警阈值，触发RO闭合(Latch)正常</t>
  </si>
  <si>
    <t>1、连接AcuRev4100电表到Acuview2上，连接状态为connected。
2、配置Alarm使能，参数选Ia、Ib，逻辑“小于&amp;“or”，配置启动值3A，启动延迟10000ms，释放值3.5A，释放延迟10000ms，检查配置是否成功。
2.1、RO1~2为enable，I/O模块ROSetting配置Alarm，RO闭合动作设置为Latch，检查配置是否成功。
3、电源输入Ia电压2.5A，Ib电压4A
4、检查上位机告警界面和HMI告警界面，是否新增一条触发的告警(状态:“OUT”)
4.1、是否触发RO闭合
5、电源输入Ia电压4A，Ib电压4A
6、检查上位机告警界面和HMI告警界面，是否新增一条触发的告警(状态:“in”)
6.2、是否触发RO断开</t>
  </si>
  <si>
    <t>2、配置成功。
2.1、配置成功。
4、检查上位机告警界面和HMI告警界面，10s后新增对应告警记录(状态:“OUT”)
4.1、触发RO闭合
6、检查上位机告警界面和HMI告警界面，10s后新增一条对应的告警(状态:“in”)
6.2、触发RO断开
备注: Latch时候， 触发了闭合， 告警状态变化会触发断开。</t>
  </si>
  <si>
    <t>Function_AcuRev4100_015_01_case15</t>
  </si>
  <si>
    <t>打开Alarm使能，参数选Ia、Ib，逻辑“小于&amp;“or”，配置启动值3A，启动延迟10000ms，释放值3.5A，释放延迟10000ms，配置Relay，I/O模块ROSetting配置Alarm，满足告警阈值，不会触发RO闭合或RO断开</t>
  </si>
  <si>
    <t>1、连接AcuRev4100电表到Acuview2上，连接状态为connected。
2、配置Alarm使能，参数选Ia、Ib，逻辑“小于&amp;“or”，配置启动值3A，启动延迟10000ms，释放值3.5A，释放延迟10000ms，检查配置是否成功。
2.1、RO1~2为Relay，I/O模块ROSetting配置Alarm，RO闭合动作设置为Latch，检查配置是否成功。
3、电源输入Ia电压2.5A，Ib电压4A
4、检查上位机告警界面和HMI告警界面，是否新增一条触发的告警(状态:“OUT”)
4.1、是否触发RO闭合
5、电源输入Ia电压4A，Ib电压4A
6、检查上位机告警界面和HMI告警界面，是否新增一条触发的告警(状态:“in”)
6.2、RO开合状态是否发生变化</t>
  </si>
  <si>
    <t>2、配置成功。
2.1、配置成功。
4、检查上位机告警界面和HMI告警界面，10s后新增对应告警记录(状态:“OUT”)
4.1、没有触发RO闭合
6、检查上位机告警界面和HMI告警界面，10s后新增一条对应的告警(状态:“in”)
6.2、RO开合状态没有发生变化
备注: Latch时候， 触发了闭合， 告警状态变化会触发断开。</t>
  </si>
  <si>
    <t>Function_AcuRev4100_015_02_case1</t>
  </si>
  <si>
    <t>循环记录最多 200个告警日志</t>
  </si>
  <si>
    <t>1、Acuview2上位机
2、网线/RTU串口线
3、AcuRev4100电表
4、HMI和上位机上，可观察到告警记录200条。</t>
  </si>
  <si>
    <t>1、连接AcuRev4100电表到Acuview2上，连接状态为connected。
2、构造告警产生条件，触发第201条告警
3、上位机告警界面和HMI高级界面，第201条告警是否被正确记录
4、上位机告警界面和HMI高级界面第一条告警是否被删除， 满足告警先进先出记录原则</t>
  </si>
  <si>
    <t>Function_AcuRev4100_015_02_case2</t>
  </si>
  <si>
    <t>告警内容完整，备注: 时间戳：时间戳格式为年-月-日 时:分:秒:毫秒； 持续时间：持续时间是告警启动和释放之间的时间（ms）</t>
  </si>
  <si>
    <t>1、连接AcuRev4100电表到Acuview2上，连接状态为connected。
2、配置Alarm使能，参数选Van、Vbn，逻辑“大于、“AND”，启动值120V，启动延迟0ms，释放值115V，检查配置是否成功。
3、电源输入Van、Vbn电压121V
4、检查上位机告警界面和HMI告警界面，触发的告警是否被正确记录(状态:“start”)
5、检查时间戳格式为年-月-日 时:分:秒:毫秒
6、检查告警持续时间是否为告警启动和释放之间的时间（ms）</t>
  </si>
  <si>
    <t>Function_AcuRev4100_015_02_case3</t>
  </si>
  <si>
    <t>用户可以通过 Modbus 命令删除所有告警日志。</t>
  </si>
  <si>
    <t>1、连接AcuRev4100电表到Acuview2上，连接状态为connected。
2、上位机reading界面点击“Clear Alarm log”
3、检查上位上log是否被清除
4、断开上位机， 重新连接上位机
5、检查上位上log是否被清除，且没有恢复。</t>
  </si>
  <si>
    <t>Function_AcuRev4100_015_03_case1</t>
  </si>
  <si>
    <t>打开Alarm使能，参数选Frequency，逻辑“&lt;”&amp;“None”，配置启动48HZ，启动延迟0ms，释放值50HZ，释放延迟0ms，满足告警阈值，触发和消除告警正常</t>
  </si>
  <si>
    <t>1、连接AcuRev4100电表到Acuview2上，连接状态为connected。
2、配置Alarm使能，参数选Frequency，逻辑“&lt;”、“None”，配置启动48HZ，启动延迟1000ms，释放值50HZ，释放延迟1000ms。
3、电源输入Frequency 为51HZ
4、检查上位机告警界面和HMI告警界面，触发的告警是否被正确记录(状态:“end”)
5、电源输入Frequency 为47HZ
6、检查上位机告警界面和HMI告警界面，触发的告警是否被正确记录(状态:“start”)
7、电源输入Frequency 为51HZ
8、检查上位机告警界面和HMI告警界面，触发的告警是否被正确记录(状态:“end”)
备注:告警逻辑关系为NULL时，只执行第一条告警</t>
  </si>
  <si>
    <t>Function_AcuRev4100_015_03_case2</t>
  </si>
  <si>
    <t>打开Alarm使能，参数选Frequency，逻辑“&gt;”&amp;“None”，配置启动62HZ，启动延迟0ms，释放值60HZ，释放延迟0ms，满足告警阈值，触发和消除告警正常</t>
  </si>
  <si>
    <t>1、连接AcuRev4100电表到Acuview2上，连接状态为connected。
2、配置Alarm使能，参数选Frequency，逻辑“&gt;”、“None”，配置启动62HZ，启动延迟0ms，释放值60HZ，释放延迟0ms。
3、电源输入Frequency 为60HZ
4、检查上位机告警界面和HMI告警界面，触发的告警是否被正确记录(状态:“end”)
5、电源输入Frequency 为63HZ
6、检查上位机告警界面和HMI告警界面，触发的告警是否被正确记录(状态:“start”)
7、电源输入Frequency 为59HZ
8、检查上位机告警界面和HMI告警界面，触发的告警是否被正确记录(状态:“end”)
备注:告警逻辑关系为NULL时，只执行第一条告警</t>
  </si>
  <si>
    <t>Function_AcuRev4100_015_03_case3</t>
  </si>
  <si>
    <t>1、连接AcuRev4100电表到Acuview2上，连接状态为connected。
2、配置Alarm使能，参数选Frequency，逻辑“=”、“None”，配置启动65HZ，启动延迟10000ms，释放值60HZ，释放延迟10000ms。</t>
  </si>
  <si>
    <t>Function_AcuRev4100_015_03_case4</t>
  </si>
  <si>
    <t>1、连接AcuRev4100电表到Acuview2上，连接状态为connected。
2、配置Alarm使能，参数选Vbn&amp;Vca，逻辑“&lt;”、“or”，配置启动120V，启动延迟0ms，释放值150V，释放延迟0ms。
3、电源输入Vbn为115V，Vca 为125V
4、检查上位机告警界面和HMI告警界面，触发的告警是否被正确记录(状态:“end”)
5、电源输入Vbn&amp;Vca 为151V
6、检查上位机告警界面和HMI告警界面，触发的告警是否被正确记录(状态:“start”)
备注:告警逻辑关系为NULL时，只执行第一条告警</t>
  </si>
  <si>
    <t>Function_AcuRev4100_015_03_case5</t>
  </si>
  <si>
    <t>1、连接AcuRev4100电表到Acuview2上，连接状态为connected。
2、配置Alarm使能，参数选Vlnavg，逻辑“&gt;”、“none”，配置启动值120V，启动延迟10000ms，释放值100V，释放延迟10000ms.
3、电源输入Vlnavg为100V
4、检查上位机告警界面和HMI告警界面，触发的告警是否被正确记录(状态:“end”)
5、电源输入Vlnavg为122V
6、检查上位机告警界面和HMI告警界面，触发的告警是否被正确记录(状态:“start”)
7、电源输入Vlnavg 为98V
8、检查上位机告警界面和HMI告警界面，触发的告警是否被正确记录(状态:“end”)
备注:告警逻辑关系为NULL时，只执行第一条告警</t>
  </si>
  <si>
    <t>Function_AcuRev4100_015_03_case6</t>
  </si>
  <si>
    <t>1、连接AcuRev4100电表到Acuview2上，连接状态为connected。
2、配置Alarm使能，参数选Vab，逻辑“&gt;”&amp;“none”，配置启动值207.84V，启动延迟10000ms，释放值173.2V，释放延迟10000ms.
3、电源输入Vab为173.2V
4、检查上位机告警界面和HMI告警界面，触发的告警是否被正确记录
5、电源输入Vab为207.84V
6、检查上位机告警界面和HMI告警界面，触发的告警是否被正确记录(状态:“OUT”)
7、电源输入Vab 为173.2V
8、检查上位机告警界面和HMI告警界面，触发的告警是否被正确记录(状态:“in”)
备注:告警逻辑关系为NULL时，只执行第一条告警</t>
  </si>
  <si>
    <t>4、检查上位机告警界面和HMI告警界面，沒有立即新增一条对应的告警记录(状态:“OUT”)
6、检查上位机告警界面和HMI告警界面，10s后立即新增一条对应的告警记录(状态:“OUT”)
8、检查上位机告警界面和HMI告警界面，10s后立即新增一条对应的告警记录(状态:“in”)</t>
  </si>
  <si>
    <t>Function_AcuRev4100_015_03_case7</t>
  </si>
  <si>
    <t>1、连接AcuRev4100电表到Acuview2上，连接状态为connected。
2、配置Alarm使能，参数选Vbc&amp;Vbn，逻辑“&gt;”、“and”，配置启动值207.84V，启动延迟0ms，释放值173.2V，释放延迟0ms
3、电源输入Vbc&amp;Vbn为173.2V
4、检查上位机告警界面和HMI告警界面，触发的告警是否被正确记录(状态:“end”)
5、电源输入Vbc&amp;Vbn为大于207.84V
6、检查上位机告警界面和HMI告警界面，触发的告警是否被正确记录(状态:“start”)
7、电源输入Vbc&amp;Vbn 为小于173.2V
8、检查上位机告警界面和HMI告警界面，触发的告警是否被正确记录(状态:“end”)
备注:告警逻辑关系为NULL时，只执行第一条告警</t>
  </si>
  <si>
    <t>Function_AcuRev4100_015_03_case8</t>
  </si>
  <si>
    <t>1、连接AcuRev4100电表到Acuview2上，连接状态为connected。
2、配置Alarm使能，参数选Vbc&amp;Vbn，逻辑“&lt;”、“or”，配置启动207.84V，启动延迟0ms，释放值259.8V，释放延迟0ms
3、电源输入Vbn为220V
4、检查上位机告警界面和HMI告警界面，触发的告警是否被正确记录(状态:“end”)
5、电源输入Vbn为122V，Vbc为211.304V
6、检查上位机告警界面和HMI告警界面，触发的告警是否被正确记录(状态:“start”)
7、电源输入Vbn为220V，Vbc为220V
8、检查上位机告警界面和HMI告警界面，触发的告警是否被正确记录</t>
  </si>
  <si>
    <t>Function_AcuRev4100_015_03_case9</t>
  </si>
  <si>
    <t>1、连接AcuRev4100电表到Acuview2上，连接状态为connected。
2、配置Alarm使能，参数选Vllavg，逻辑“&gt;”&amp;“none”，配置启动值207V，启动延迟10000ms，释放值173V，释放延迟10000ms
3、电源输入Vllavg为165V
4、检查上位机告警界面和HMI告警界面，触发的告警是否被正确记录(状态:“end”)
5、电源输入Vllavg为220V
6、检查上位机告警界面和HMI告警界面，触发的告警是否被正确记录(状态:“start”)
7、电源输入Vllavg为170V
8、检查上位机告警界面和HMI告警界面，触发的告警是否被正确记录(状态:“end”)</t>
  </si>
  <si>
    <t>Function_AcuRev4100_015_03_case9_01</t>
  </si>
  <si>
    <t>1、连接AcuRev4100电表到Acuview2上，连接状态为connected。
2、配置Alarm使能，参数选Vllavg，逻辑“=”&amp;“none”，配置启动值207.84V，启动延迟10000ms，释放值173.2V，释放延迟10000ms</t>
  </si>
  <si>
    <t>Function_AcuRev4100_015_03_case10</t>
  </si>
  <si>
    <t>1、连接AcuRev4100电表到Acuview2上，连接状态为connected。
2、配置Alarm使能，参数选Ib&amp;Ic，逻辑“&gt;”、“and”，配置启动值3A，启动延迟0ms，释放值2A，释放延迟0ms
3、电源输入Ib&amp;Ic为2A
4、检查上位机告警界面和HMI告警界面，触发的告警是否被正确记录(状态:“end”)
5、电源输入Ib&amp;Ic为3.5A
6、检查上位机告警界面和HMI告警界面，触发的告警是否被正确记录(状态:“start”)
7、电源输入Ib&amp;Ic为2A
8、检查上位机告警界面和HMI告警界面，触发的告警是否被正确记录(状态:“end”)</t>
  </si>
  <si>
    <t>Function_AcuRev4100_015_03_case11</t>
  </si>
  <si>
    <t>1、连接AcuRev4100电表到Acuview2上，连接状态为connected。
2、配置Alarm使能，参数选I_sysavag，逻辑“&lt;”、“none”，配置启动值2A，启动延迟10000ms，释放值3A，释放延迟10000ms
3、电源输入I_sysavag为2A
4、检查上位机告警界面和HMI告警界面，触发的告警是否被正确记录(状态:“start”)
5、电源输入I_sysavag为3A
6、检查上位机告警界面和HMI告警界面，触发的告警是否被正确记录(状态:“end”)
7、电源输入I_sysavag为2A
8、检查上位机告警界面和HMI告警界面，触发的告警是否被正确记录(状态:“start”)</t>
  </si>
  <si>
    <t>Function_AcuRev4100_015_03_case12</t>
  </si>
  <si>
    <t>1、连接AcuRev4100电表到Acuview2上，连接状态为connected。
2、配置Alarm使能，参数选Pa，逻辑“&lt;”、“none”，配置启动值1kw，启动延迟10000ms，释放值1.5kw，释放延迟10000ms
3、电源输入Pa为2.0kw
4、检查上位机告警界面和HMI告警界面，触发的告警是否被正确记录(状态:“OUT”)
5、电源输入Pa为0.5kw
6、检查上位机告警界面和HMI告警界面，触发的告警是否被正确记录(状态:“OUT”)
7、电源输入Pa为1.8kw
8、检查上位机告警界面和HMI告警界面，触发的告警是否被正确记录(状态:“in”)</t>
  </si>
  <si>
    <t>Function_AcuRev4100_015_03_case12_01</t>
  </si>
  <si>
    <t>1、连接AcuRev4100电表到Acuview2上，连接状态为connected。
2、配置Alarm使能，参数选Pa，逻辑“=”、“none”，配置启动值1kw，启动延迟10000ms，释放值0.5kw，释放延迟10000ms</t>
  </si>
  <si>
    <t>Function_AcuRev4100_015_03_case13</t>
  </si>
  <si>
    <t>1、连接AcuRev4100电表到Acuview2上，连接状态为connected。
2、配置Alarm使能，参数选Pb&amp;Pc，逻辑“&gt;”、“and”，配置启动值1kw，启动延迟0ms，释放值0.5kw，释放延迟0ms
3、电源输入Pb&amp;Pc为0.5kw
4、检查上位机告警界面和HMI告警界面，触发的告警是否被正确记录(状态:“end”)
5、电源输入Pb&amp;Pc为1.5kw
6、检查上位机告警界面和HMI告警界面，触发的告警是否被正确记录(状态:“start”)
7、电源输入Pb&amp;Pc为0.5kw
8、检查上位机告警界面和HMI告警界面，触发的告警是否被正确记录(状态:“end”)</t>
  </si>
  <si>
    <t>Function_AcuRev4100_015_03_case14</t>
  </si>
  <si>
    <t>1、连接AcuRev4100电表到Acuview2上，连接状态为connected。
2、配置Alarm使能，参数选Pb&amp;Pc，逻辑“&lt;”、“or”，配置启动1kw，启动延迟0ms，释放值1.5kw，释放延迟0ms
3、电源输入Pb&amp;Pc为1.5kw
4、检查上位机告警界面和HMI告警界面，触发的告警是否被正确记录(状态:“end”)
5、电源输入Pb&amp;Pc为0.5kw
6、检查上位机告警界面和HMI告警界面，触发的告警是否被正确记录(状态:“start”)
7、电源输入Pb&amp;Pc为2kw
8、检查上位机告警界面和HMI告警界面，触发的告警是否被正确记录(状态:“end”)</t>
  </si>
  <si>
    <t>Function_AcuRev4100_015_03_case15</t>
  </si>
  <si>
    <t>1、连接AcuRev4100电表到Acuview2上，连接状态为connected。
2、配置Alarm使能，参数选P_sys，逻辑“&gt;”、“none”，配置启动值3kw，启动延迟0ms，释放值0.5kw，释放延迟0ms
3、电源输入P_sys为0.5kw
4、检查上位机告警界面和HMI告警界面，触发的告警是否被正确记录(状态:“end”)
5、电源输入P_sys为4kw
6、检查上位机告警界面和HMI告警界面，触发的告警是否被正确记录(状态:“start”)
7、电源输入P_sys为0.5kw
8、检查上位机告警界面和HMI告警界面，触发的告警是否被正确记录(状态:“end”)</t>
  </si>
  <si>
    <t>Function_AcuRev4100_015_03_case16</t>
  </si>
  <si>
    <t>1、连接AcuRev4100电表到Acuview2上，连接状态为connected。
2、配置Alarm使能，参数选Qa，逻辑“&gt;”&amp;“none”，配置启动值1kvar，启动延迟10000ms，释放值0.5kvar，释放延迟10000ms
3、电源输入Qa为0.4kvar
4、检查上位机告警界面和HMI告警界面，触发的告警是否被正确记录(状态:“OUT”)
5、电源输入Qa为1.2kvar
6、检查上位机告警界面和HMI告警界面，触发的告警是否被正确记录(状态:“OUT”)
7、电源输入Qa为0.3kvar
8、检查上位机告警界面和HMI告警界面，触发的告警是否被正确记录(状态:“in”)</t>
  </si>
  <si>
    <t>Function_AcuRev4100_015_03_case16_01</t>
  </si>
  <si>
    <t>1、连接AcuRev4100电表到Acuview2上，连接状态为connected。
2、配置Alarm使能，参数选Qa，逻辑“=”&amp;“none”，配置启动值1kvar，启动延迟10000ms，释放值0.5kvar，释放延迟10000ms</t>
  </si>
  <si>
    <t>Function_AcuRev4100_015_03_case17</t>
  </si>
  <si>
    <t>1、连接AcuRev4100电表到Acuview2上，连接状态为connected。
2、配置Alarm使能，参数选Qb&amp;Qc，逻辑“&gt;”、“and”，配置启动值1kvar，启动延迟0ms，释放值0.5kvar，释放延迟0ms
3、电源输入Qb&amp;Qc为0.5kvar
4、检查上位机告警界面和HMI告警界面，触发的告警是否被正确记录(状态:“end”)
5、电源输入Qb&amp;Qc为2.5kvar
6、检查上位机告警界面和HMI告警界面，触发的告警是否被正确记录(状态:“start”)
7、电源输入Qb&amp;Qc为0.5kvar
8、检查上位机告警界面和HMI告警界面，触发的告警是否被正确记录(状态:“end”)</t>
  </si>
  <si>
    <t>Function_AcuRev4100_015_03_case18</t>
  </si>
  <si>
    <t>1、连接AcuRev4100电表到Acuview2上，连接状态为connected。
2、配置Alarm使能，参数选Qb&amp;Qc，逻辑“&lt;”、“or”，配置启动1kvar，启动延迟0ms，释放值1.5kvar，释放延迟0ms
3、电源输入Qb&amp;Qc为1.5kvar
4、检查上位机告警界面和HMI告警界面，触发的告警是否被正确记录(状态:“end”)
5、电源输入Qb为0.5kvar, Qc为1.5kvar
6、检查上位机告警界面和HMI告警界面，触发的告警是否被正确记录(状态:“start”)
7、电源输入Qb&amp;Qc为1.5kvar
8、检查上位机告警界面和HMI告警界面，触发的告警是否被正确记录(状态:“end”)</t>
  </si>
  <si>
    <t>Function_AcuRev4100_015_03_case19</t>
  </si>
  <si>
    <t>1、连接AcuRev4100电表到Acuview2上，连接状态为connected。
2、配置Alarm使能，参数选Q_sys，逻辑“&gt;”、“none”，配置启动值2.5kvar，启动延迟2000ms，释放值0.8kvar，释放延迟2000ms
3、电源输入Q_sys为1kvar
4、检查上位机告警界面和HMI告警界面，触发的告警是否被正确记录(状态:“end”)
5、电源输入Q_sys为3kvar，持续10S
6、检查上位机告警界面和HMI告警界面，触发的告警是否被正确记录(状态:“start”)
7、电源输入Q_sys为0.5kvar ,持续10S
8、检查上位机告警界面和HMI告警界面，触发的告警是否被正确记录(状态:“end”)</t>
  </si>
  <si>
    <t>Function_AcuRev4100_015_03_case20</t>
  </si>
  <si>
    <t>1、连接AcuRev4100电表到Acuview2上，连接状态为connected。
2、配置Alarm使能，参数选Sa，逻辑“&gt;”&amp;“none”，配置启动值1kVA，启动延迟10000ms，释放值0.5kVA，释放延迟10000ms
3、电源输入Sa为0.5kVA
4、检查上位机告警界面和HMI告警界面，触发的告警是否被正确记录(状态:“end”)
5、电源输入Sa为1.5kVA
6、检查上位机告警界面和HMI告警界面，触发的告警是否被正确记录(状态:“start”)
7、电源输入Sa为0.5kVA
8、检查上位机告警界面和HMI告警界面，触发的告警是否被正确记录(状态:“end”)</t>
  </si>
  <si>
    <t>Function_AcuRev4100_015_03_case21</t>
  </si>
  <si>
    <t>1、连接AcuRev4100电表到Acuview2上，连接状态为connected。
2、配置Alarm使能，参数选Sb&amp;Sc，逻辑“&gt;”、“and”，配置启动值1kVA，启动延迟0ms，释放值0.5kVA，释放延迟0ms
3、电源输入Sb&amp;Sc为0.5kVA
4、检查上位机告警界面和HMI告警界面，触发的告警是否被正确记录(状态:“end”)
5、电源输入Sb&amp;Sc为3kVA
6、检查上位机告警界面和HMI告警界面，触发的告警是否被正确记录(状态:“start”)
7、电源输入Sb&amp;Sc为0.5kVA
8、检查上位机告警界面和HMI告警界面，触发的告警是否被正确记录(状态:“end”)</t>
  </si>
  <si>
    <t>Function_AcuRev4100_015_03_case22</t>
  </si>
  <si>
    <t>1、连接AcuRev4100电表到Acuview2上，连接状态为connected。
2、配置Alarm使能，参数选Sb&amp;Sc,逻辑“&lt;”、“or”，配置启动1kVA，启动延迟0ms，释放值2kVA，释放延迟0ms
3、电源输入Sb&amp;Sc为1.5kVA
4、检查上位机告警界面和HMI告警界面，触发的告警是否被正确记录(状态:“end”)
5、电源输入Sb&amp;Sc为0.5kVA
6、检查上位机告警界面和HMI告警界面，触发的告警是否被正确记录(状态:“start”)
7、电源输入Sb&amp;Sc为2.5kVA
8、检查上位机告警界面和HMI告警界面，触发的告警是否被正确记录(状态:“end”)</t>
  </si>
  <si>
    <t>Function_AcuRev4100_015_03_case23</t>
  </si>
  <si>
    <t>1、连接AcuRev4100电表到Acuview2上，连接状态为connected。
2、配置Alarm使能，参数选Sb&amp;Sc，逻辑“&gt;”、“and”，配置启动值3kVA，启动延迟0ms，释放值2kVA，释放延迟0ms，
3、电源输入Sb&amp;Sc为1.5kVA
4、检查上位机告警界面和HMI告警界面，触发的告警是否被正确记录(状态:“end”)
5、电源输入Sb&amp;Sc为3.5kVA
6、检查上位机告警界面和HMI告警界面，触发的告警是否被正确记录(状态:“start”)
7、电源输入Sb&amp;Sc为1.5kVA
8、检查上位机告警界面和HMI告警界面，触发的告警是否被正确记录(状态:“end”)</t>
  </si>
  <si>
    <t>Function_AcuRev4100_015_03_case28</t>
    <phoneticPr fontId="10" type="noConversion"/>
  </si>
  <si>
    <t>1、连接AcuRev4100电表到Acuview2上，连接状态为connected。
2、配置Alarm使能，参数选PF_a，逻辑“=”&amp;“none”，配置启动值0.5，启动延迟10000ms，释放值1，释放延迟10000ms</t>
  </si>
  <si>
    <t>Function_AcuRev4100_015_03_case29</t>
  </si>
  <si>
    <t>1、连接AcuRev4100电表到Acuview2上，连接状态为connected。
2、配置Alarm使能，参数选PF_b&amp;PF_c，逻辑“&gt;”、“and”，配置启动值0.8，启动延迟0ms，释放值0.7，释放延迟0ms
3、电源输入PF_b和PF_c为0.5
4、检查上位机告警界面和HMI告警界面，触发的告警是否被正确记录(状态:“end”)
5、电源输入PF_b和PF_c为1
6、检查上位机告警界面和HMI告警界面，触发的告警是否被正确记录(状态:“start”)
7、电源输入PF_b和PF_c为0.5
8、检查上位机告警界面和HMI告警界面，触发的告警是否被正确记录(状态:“end”)</t>
  </si>
  <si>
    <t>Function_AcuRev4100_015_03_case30</t>
  </si>
  <si>
    <t>1、连接AcuRev4100电表到Acuview2上，连接状态为connected。
2、配置Alarm使能，参数选PF_a&amp;PF_c，逻辑“&lt;”、“or”，配置启动0.7，启动延迟0ms，释放值0.9，释放延迟0ms
3、电源输入PF_b&amp;PF_c为1
4、检查上位机告警界面和HMI告警界面，触发的告警是否被正确记录(状态:“end”)
5、电源输入PF_b为0.5,   PF_c为1
6、检查上位机告警界面和HMI告警界面，触发的告警是否被正确记录(状态:“start”)
7、电源输入PF_b&amp;PF_c为1
8、检查上位机告警界面和HMI告警界面，触发的告警是否被正确记录(状态:“end”)</t>
  </si>
  <si>
    <t>Function_AcuRev4100_015_03_case31</t>
  </si>
  <si>
    <t>1、连接AcuRev4100电表到Acuview2上，连接状态为connected。
2、配置Alarm使能，参数选PF_sys，逻辑“＞”&amp;“none”，配置启动值0.9，启动延迟10000ms，释放值0.5，释放延迟10000ms
3、电源输入PF_sys为1
4、检查上位机告警界面和HMI告警界面，触发的告警是否被正确记录(状态:“start”)
5、电源输入PF_sys为0.5
6、检查上位机告警界面和HMI告警界面，触发的告警是否被正确记录(状态:“end”)
7、电源输入PF_sys为1
8、检查上位机告警界面和HMI告警界面，触发的告警是否被正确记录(状态:“start”)</t>
  </si>
  <si>
    <t>Function_AcuRev4100_015_03_case32</t>
  </si>
  <si>
    <t>1、连接AcuRev4100电表到Acuview2上，连接状态为connected。
2、配置Alarm使能，参数选PhaseAngle_Vb，逻辑“&gt;”、“none”，配置启动值245°，启动延迟0ms，释放值242°，释放延迟0ms
3、电源输入PhaseAngle_Vb为240°
4、检查上位机告警界面和HMI告警界面，触发的告警是否被正确记录(状态:“OUT”)
5、电源输入PhaseAngle_Vb为250°
6、检查上位机告警界面和HMI告警界面，触发的告警是否被正确记录(状态:“OUT”)
7、电源输入PhaseAngle_Vb为240°
8、检查上位机告警界面和HMI告警界面，触发的告警是否被正确记录(状态:“in”)</t>
  </si>
  <si>
    <t>Function_AcuRev4100_015_03_case33</t>
  </si>
  <si>
    <t>1、连接AcuRev4100电表到Acuview2上，连接状态为connected。
2、配置Alarm使能，参数选PhaseAngle_Vc，逻辑“&lt;”、“none”，配置启动115°，启动延迟0ms，释放值118°，释放延迟0ms
3、电源输入PhaseAngle_Vc为120°
4、检查上位机告警界面和HMI告警界面，触发的告警是否被正确记录(状态:“OUT”)
5、电源输入PhaseAngle_Vc为110°
6、检查上位机告警界面和HMI告警界面，触发的告警是否被正确记录(状态:“OUT”)
7、电源输入PhaseAngle_Vc为120°
8、检查上位机告警界面和HMI告警界面，触发的告警是否被正确记录(状态:“in”)</t>
  </si>
  <si>
    <t>Function_AcuRev4100_015_03_case34</t>
  </si>
  <si>
    <t>1、连接AcuRev4100电表到Acuview2上，连接状态为connected。
2、配置Alarm使能，参数选I_input1，逻辑“&gt;”&amp;“none”，配置启动值3A，启动延迟0ms，释放值2A，释放延迟0ms
3、电源输入I_input1为2A
4、检查上位机告警界面和HMI告警界面，触发的告警是否被正确记录(状态:“OUT”)
5、电源输入I_input1为4A
6、检查上位机告警界面和HMI告警界面，触发的告警是否被正确记录(状态:“in”)
7、电源输入I_input1为1A
8、检查上位机告警界面和HMI告警界面，触发的告警是否被正确记录(状态:“OUT”)</t>
  </si>
  <si>
    <t>Function_AcuRev4100_015_03_case35</t>
  </si>
  <si>
    <t>1、连接AcuRev4100电表到Acuview2上，连接状态为connected。
2、配置Alarm使能，参数选P_input1，逻辑“&gt;”&amp;“none”，配置启动值2kw，启动延迟0ms，释放值1kw，释放延迟0ms
3、电源输入P_input1为1KW
4、检查上位机告警界面和HMI告警界面，触发的告警是否被正确记录(状态:“OUT”)
5、电源输入P_input1为3KW
6、检查上位机告警界面和HMI告警界面，触发的告警是否被正确记录(状态:“in”)
7、电源输入P_input1为0.5KW
8、检查上位机告警界面和HMI告警界面，触发的告警是否被正确记录(状态:“OUT”)</t>
  </si>
  <si>
    <t>Function_AcuRev4100_015_03_case36</t>
  </si>
  <si>
    <t>1、连接AcuRev4100电表到Acuview2上，连接状态为connected。
2、配置Alarm使能，参数选Q_input1，逻辑“&gt;”&amp;“none”，配置启动值2kvar，启动延迟0ms，释放值1kvar，释放延迟0ms，
3、电源输入Q_input1为1kvar
4、检查上位机告警界面和HMI告警界面，触发的告警是否被正确记录(状态:“OUT”)
5、电源输入Q_input1为3kvar
6、检查上位机告警界面和HMI告警界面，触发的告警是否被正确记录(状态:“in”)
7、电源输入Q_input1为0.5kvar
8、检查上位机告警界面和HMI告警界面，触发的告警是否被正确记录(状态:“OUT”)</t>
  </si>
  <si>
    <t>Function_AcuRev4100_015_03_case37</t>
  </si>
  <si>
    <t>1、连接AcuRev4100电表到Acuview2上，连接状态为connected。
2、配置Alarm使能，参数选S_input1，逻辑“&lt;”&amp;“none”，配置启动1kVA，启动延迟0ms，释放值2kVA，释放延迟0ms
3、电源输入S_input1为2kVA
4、检查上位机告警界面和HMI告警界面，触发的告警是否被正确记录(状态:“OUT”)
5、电源输入S_input1为0.5kVA
6、检查上位机告警界面和HMI告警界面，触发的告警是否被正确记录(状态:“in”)
7、电源输入S_input1为3kVA
8、检查上位机告警界面和HMI告警界面，触发的告警是否被正确记录(状态:“OUT”)</t>
  </si>
  <si>
    <t>Function_AcuRev4100_015_03_case38</t>
  </si>
  <si>
    <t xml:space="preserve">1、连接AcuRev4100电表到Acuview2上，连接状态为connected。
2、配置Alarm使能，参数选input1角度，逻辑“&lt;”&amp;“and”&amp;“&gt;”，配置启动条件一 “小于”355°，启动延迟0ms，释放值359°，释放延迟0ms，配置启动条件二 “大于” 5°，启动延迟0ms，释放值1°，释放延迟0ms
3、电源输入input1角度为1°
4、检查上位机告警界面和HMI告警界面，触发的告警是否被正确记录(状态:“start”)
5、电源输入input1角度为6°
6、检查上位机告警界面和HMI告警界面，触发的告警是否被正确记录(状态:“start”)
7、电源输入input1角度为354°
8、检查上位机告警界面和HMI告警界面，触发的告警是否被正确记录(状态:“start”)
9、电源输入input1角度为0°(360°)
10、检查上位机告警界面和HMI告警界面，触发的告警是否被正确记录(状态:“end”)
</t>
  </si>
  <si>
    <t>Function_AcuRev4100_015_03_case39</t>
  </si>
  <si>
    <t>打开Alarm使能，参数选I_input24，逻辑“&gt;”&amp;“none”，配置启动值3A，启动延迟0ms，释放值2A，释放延迟0ms，满足告警阈值，触发和消除告警正常</t>
  </si>
  <si>
    <t>1、连接AcuRev4100电表到Acuview2上，连接状态为connected。
2、配置Alarm使能，参数选I_input24，逻辑“&gt;”&amp;“none”，配置启动值3A，启动延迟0ms，释放值2A，释放延迟0ms
3、电源输入I_input24为2A
4、检查上位机告警界面和HMI告警界面，触发的告警是否被正确记录(状态:“OUT”)
5、电源输入I_input24为4A
6、检查上位机告警界面和HMI告警界面，触发的告警是否被正确记录(状态:“in”)
7、电源输入I_input24为1A
8、检查上位机告警界面和HMI告警界面，触发的告警是否被正确记录(状态:“OUT”)</t>
  </si>
  <si>
    <t>Function_AcuRev4100_015_03_case40</t>
  </si>
  <si>
    <t>打开Alarm使能，参数选P_input24，逻辑“&gt;”&amp;“none”，配置启动值2kw，启动延迟0ms，释放值1kw，释放延迟0ms，满足告警阈值，触发和消除告警正常</t>
  </si>
  <si>
    <t>1、连接AcuRev4100电表到Acuview2上，连接状态为connected。
2、配置Alarm使能，参数选P_input24，逻辑“&gt;”&amp;“none”，配置启动值2kw，启动延迟0ms，释放值1kw，释放延迟0ms
3、电源输入P_input24为1KW
4、检查上位机告警界面和HMI告警界面，触发的告警是否被正确记录(状态:“OUT”)
5、电源输入P_input24为3KW
6、检查上位机告警界面和HMI告警界面，触发的告警是否被正确记录(状态:“in”)
7、电源输入P_input24为0.5KW
8、检查上位机告警界面和HMI告警界面，触发的告警是否被正确记录(状态:“OUT”)</t>
  </si>
  <si>
    <t>Function_AcuRev4100_015_03_case41</t>
  </si>
  <si>
    <t>打开Alarm使能，参数选Q_input24，逻辑“&gt;”&amp;“none”，配置启动值2kvar，启动延迟0ms，释放值1kvar，释放延迟0ms，满足告警阈值，触发和消除告警正常</t>
  </si>
  <si>
    <t>1、连接AcuRev4100电表到Acuview2上，连接状态为connected。
2、配置Alarm使能，参数选Q_input24，逻辑“&gt;”&amp;“none”，配置启动值2kvar，启动延迟0ms，释放值1kvar，释放延迟0ms
3、电源输入Q_input24为1kvar
4、检查上位机告警界面和HMI告警界面，触发的告警是否被正确记录(状态:“OUT”)
5、电源输入Q_input24为3kvar
6、检查上位机告警界面和HMI告警界面，触发的告警是否被正确记录(状态:“in”)
7、电源输入Q_input24为0.5kvar
8、检查上位机告警界面和HMI告警界面，触发的告警是否被正确记录(状态:“OUT”)</t>
  </si>
  <si>
    <t>Function_AcuRev4100_015_03_case42</t>
  </si>
  <si>
    <t>打开Alarm使能，参数选S_input24，逻辑“&lt;”&amp;“none”，配置启动1kVA，启动延迟0ms，释放值2kVA，释放延迟0ms，满足告警阈值，触发和消除告警正常</t>
  </si>
  <si>
    <t>1、连接AcuRev4100电表到Acuview2上，连接状态为connected。
2、配置Alarm使能，参数选S_input24，逻辑“&lt;”&amp;“none”，配置启动1kVA，启动延迟0ms，释放值2kVA，释放延迟0ms
3、电源输入S_input24为2kVA
4、检查上位机告警界面和HMI告警界面，触发的告警是否被正确记录(状态:“OUT”)
5、电源输入S_input24为0.5kVA
6、检查上位机告警界面和HMI告警界面，触发的告警是否被正确记录(状态:“in”)
7、电源输入S_input24为3kVA
8、检查上位机告警界面和HMI告警界面，触发的告警是否被正确记录(状态:“OUT”)</t>
  </si>
  <si>
    <t>Function_AcuRev4100_015_03_case44</t>
  </si>
  <si>
    <t>打开Alarm使能，参数选I_user1，逻辑“&gt;”&amp;“none”，配置启动值3A，启动延迟0ms，释放值2A，释放延迟0ms，满足告警阈值，触发和消除告警正常</t>
  </si>
  <si>
    <t>1、连接AcuRev4100电表到Acuview2上，连接状态为connected。
2、配置Alarm使能，参数选I_user1，逻辑“&gt;”&amp;“none”，配置启动值3A，启动延迟0ms，释放值2A，释放延迟0ms
3、电源输入I_user1为2A
4、检查上位机告警界面和HMI告警界面，触发的告警是否被正确记录(状态:“OUT”)
5、电源输入I_user1为4A
6、检查上位机告警界面和HMI告警界面，触发的告警是否被正确记录(状态:“in”)
7、电源输入I_user1为1A
8、检查上位机告警界面和HMI告警界面，触发的告警是否被正确记录(状态:“OUT”)</t>
  </si>
  <si>
    <t>Function_AcuRev4100_015_03_case45</t>
  </si>
  <si>
    <t>打开Alarm使能，参数选P_user1，逻辑“&gt;”&amp;“none”，配置启动值2kw，启动延迟0ms，释放值1kw，释放延迟0ms，满足告警阈值，触发和消除告警正常</t>
  </si>
  <si>
    <t>1、连接AcuRev4100电表到Acuview2上，连接状态为connected。
2、配置Alarm使能，参数选P_user1，逻辑“&gt;”&amp;“none”，配置启动值2kw，启动延迟0ms，释放值1kw，释放延迟0ms
3、电源输入P_user1为1KW
4、检查上位机告警界面和HMI告警界面，触发的告警是否被正确记录(状态:“OUT”)
5、电源输入P_user1为3KW
6、检查上位机告警界面和HMI告警界面，触发的告警是否被正确记录(状态:“in”)
7、电源输入P_user1为0.5KW
8、检查上位机告警界面和HMI告警界面，触发的告警是否被正确记录(状态:“OUT”)</t>
  </si>
  <si>
    <t>Function_AcuRev4100_015_03_case46</t>
  </si>
  <si>
    <t>打开Alarm使能，参数选Q_user1，逻辑“&gt;”&amp;“none”，配置启动值2kvar，启动延迟0ms，释放值1kvar，释放延迟0ms，满足告警阈值，触发和消除告警正常</t>
  </si>
  <si>
    <t>1、连接AcuRev4100电表到Acuview2上，连接状态为connected。
2、配置Alarm使能，参数选Q_user1，逻辑“&gt;”&amp;“none”，配置启动值2kvar，启动延迟0ms，释放值1kvar，释放延迟0ms
3、电源输入Q_user1为1kvar
4、检查上位机告警界面和HMI告警界面，触发的告警是否被正确记录(状态:“OUT”)
5、电源输入Q_user1为3kvar
6、检查上位机告警界面和HMI告警界面，触发的告警是否被正确记录(状态:“OUT”)
7、电源输入Q_user1为0.5kvar
8、检查上位机告警界面和HMI告警界面，触发的告警是否被正确记录(状态:“in”)</t>
  </si>
  <si>
    <t>Function_AcuRev4100_015_03_case47</t>
  </si>
  <si>
    <t>打开Alarm使能，参数选S_user1，逻辑“&lt;”&amp;“none”，配置启动1kVA，启动延迟0ms，释放值2kVA，释放延迟0ms，满足告警阈值，触发和消除告警正常</t>
  </si>
  <si>
    <t>1、连接AcuRev4100电表到Acuview2上，连接状态为connected。
2、配置Alarm使能，参数选S_user1，逻辑“&lt;”&amp;“none”，配置启动1kVA，启动延迟0ms，释放值2kVA，释放延迟0ms
3、电源输入S_user1为2kVA
4、检查上位机告警界面和HMI告警界面，触发的告警是否被正确记录(状态:“OUT”)
5、电源输入S_user1为0.5kVA
6、检查上位机告警界面和HMI告警界面，触发的告警是否被正确记录(状态:“OUT”)
7、电源输入S_user1为3kVA
8、检查上位机告警界面和HMI告警界面，触发的告警是否被正确记录(状态:“in”)</t>
  </si>
  <si>
    <t>Function_AcuRev4100_015_03_case48</t>
  </si>
  <si>
    <t xml:space="preserve">打开Alarm使能，参数选PF_user1，逻辑“&gt;”&amp;“none”，配置启动值L，启动延迟10000ms，释放值R，释放延迟10000ms，满足告警阈值，触发和消除告警正常  </t>
  </si>
  <si>
    <t>1、连接AcuRev4100电表到Acuview2上，连接状态为connected。
2、配置Alarm使能，参数选PF_user1，逻辑“&gt;”&amp;“none”，配置启动值0.8，启动延迟10000ms，释放值0.6，释放延迟10000ms
3、电源输入LN_user1为0.7
4、检查上位机告警界面和HMI告警界面，触发的告警是否被正确记录(状态:“OUT”)
5、电源输入LN_user1为0.9
6、检查上位机告警界面和HMI告警界面，触发的告警是否被正确记录(状态:“START”)
7、电源输入LN_user1为0.55
8、检查上位机告警界面和HMI告警界面，触发的告警是否被正确记录(状态:“end”)</t>
  </si>
  <si>
    <t>Function_AcuRev4100_015_03_case49</t>
  </si>
  <si>
    <t>打开Alarm使能，参数选I_user3，逻辑“&gt;”&amp;“none”，配置启动值3A，启动延迟0ms，释放值2A，释放延迟0ms，满足告警阈值，触发和消除告警正常</t>
  </si>
  <si>
    <t>1、连接AcuRev4100电表到Acuview2上，连接状态为connected。
2、配置Alarm使能，参数选I_user3，逻辑“&gt;”&amp;“none”，配置启动值3A，启动延迟0ms，释放值2A，释放延迟0ms
3、电源输入I_user3为2A
4、检查上位机告警界面和HMI告警界面，触发的告警是否被正确记录(状态:“OUT”)
5、电源输入I_user3为4A
6、检查上位机告警界面和HMI告警界面，触发的告警是否被正确记录(状态:“in”)
7、电源输入I_user3为1A
8、检查上位机告警界面和HMI告警界面，触发的告警是否被正确记录(状态:“OUT”)</t>
  </si>
  <si>
    <t>Function_AcuRev4100_015_03_case50</t>
  </si>
  <si>
    <t>打开Alarm使能，参数选P_user3，逻辑“&gt;”&amp;“none”，配置启动值2kw，启动延迟0ms，释放值1kw，释放延迟0ms，满足告警阈值，触发和消除告警正常</t>
  </si>
  <si>
    <t>1、连接AcuRev4100电表到Acuview2上，连接状态为connected。
2、配置Alarm使能，参数选P_user3，逻辑“&gt;”&amp;“none”，配置启动值2kw，启动延迟0ms，释放值1kw，释放延迟0ms
3、电源输入P_user3为1KW
4、检查上位机告警界面和HMI告警界面，触发的告警是否被正确记录(状态:“OUT”)
5、电源输入P_user3为3KW
6、检查上位机告警界面和HMI告警界面，触发的告警是否被正确记录(状态:“in”)
7、电源输入P_user3为0.5KW
8、检查上位机告警界面和HMI告警界面，触发的告警是否被正确记录(状态:“OUT”)</t>
  </si>
  <si>
    <t>Function_AcuRev4100_015_03_case51</t>
  </si>
  <si>
    <t>打开Alarm使能，参数选Q_user3，逻辑“&gt;”&amp;“none”，配置启动值2kvar，启动延迟0ms，释放值1kvar，释放延迟0ms，满足告警阈值，触发和消除告警正常</t>
  </si>
  <si>
    <t>1、连接AcuRev4100电表到Acuview2上，连接状态为connected。
2、配置Alarm使能，参数选Q_user3，逻辑“&gt;”&amp;“none”，配置启动值2kvar，启动延迟0ms，释放值1kvar，释放延迟0ms
3、电源输入Q_user3为1kvar
4、检查上位机告警界面和HMI告警界面，触发的告警是否被正确记录(状态:“OUT”)
5、电源输入Q_user3为3kvar
6、检查上位机告警界面和HMI告警界面，触发的告警是否被正确记录(状态:“in”)
7、电源输入Q_user3为0.5kvar
8、检查上位机告警界面和HMI告警界面，触发的告警是否被正确记录(状态:“OUT”)</t>
  </si>
  <si>
    <t>Function_AcuRev4100_015_03_case52</t>
  </si>
  <si>
    <t>打开Alarm使能，参数选S_user3，逻辑“&lt;”&amp;“none”，配置启动1kVA，启动延迟0ms，释放值2kVA，释放延迟0ms，满足告警阈值，触发和消除告警正常</t>
  </si>
  <si>
    <t>1、连接AcuRev4100电表到Acuview2上，连接状态为connected。
2、配置Alarm使能，参数选S_user3，逻辑“&lt;”&amp;“none”，配置启动1kVA，启动延迟0ms，释放值2kVA，释放延迟0ms
3、电源输入S_user3为2kVA
4、检查上位机告警界面和HMI告警界面，触发的告警是否被正确记录(状态:“OUT”)
5、电源输入S_user3为0.5kVA
6、检查上位机告警界面和HMI告警界面，触发的告警是否被正确记录(状态:“OUT”)
7、电源输入S_user3为3kVA
8、检查上位机告警界面和HMI告警界面，触发的告警是否被正确记录(状态:“in”)</t>
  </si>
  <si>
    <t>Function_AcuRev4100_015_03_case53</t>
  </si>
  <si>
    <t xml:space="preserve">打开Alarm使能，参数选PF_user3，逻辑“&gt;”&amp;“none”，配置启动值L，启动延迟0ms，释放值R，释放延迟0ms，满足告警阈值，触发和消除告警正常  </t>
  </si>
  <si>
    <t>1、连接AcuRev4100电表到Acuview2上，连接状态为connected。
2、配置Alarm使能，参数选PF_user3，逻辑“&gt;”&amp;“none”，配置启动值0.6，启动延迟10000ms，释放值0.4，释放延迟10000ms
3、电源输入LN_user3为0.5
4、检查上位机告警界面和HMI告警界面，触发的告警是否被正确记录(状态:“end”)
5、电源输入LN_user3为0.7
6、检查上位机告警界面和HMI告警界面，触发的告警是否被正确记录(状态:“start”)
7、电源输入LN_user3为R
8、检查上位机告警界面和HMI告警界面，触发的告警是否被正确记录(状态:“end”)</t>
  </si>
  <si>
    <t>Function_AcuRev4100_015_04_case1</t>
  </si>
  <si>
    <t>1、连接AcuRev4100电表到Acuview2上，连接状态为connected。
2、配置Alarm使能，参数选Demand_Ia&amp;Demand_Ic，逻辑“&gt;”、“and”，配置启动值3A，启动延迟0ms，释放值2A，释放延迟0ms
3、电源输入2A电流，一段时间后使得Demand_Ia&amp;Demand_Ic为2A
4、检查上位机告警界面和HMI告警界面，触发的告警是否被正确记录(状态:“end”)
5、电源输入Demand_Ia&amp;Demand_Ic为4A
6、检查上位机告警界面和HMI告警界面，触发的告警是否被正确记录(状态:“start”)
7、电源输入Demand_Ia&amp;Demand_Ic为1A
8、检查上位机告警界面和HMI告警界面，触发的告警是否被正确记录(状态:“end”)</t>
  </si>
  <si>
    <t>Function_AcuRev4100_015_04_case2</t>
  </si>
  <si>
    <t>1、连接AcuRev4100电表到Acuview2上，连接状态为connected。
2、配置Alarm使能，参数选Demand_Ib&amp;Demand_Ic，逻辑“&lt;”&amp;“or”，配置启动3A，启动延迟0ms，释放值4A，释放延迟0ms
3、电源输入Demand_Ib&amp;Demand_Ic为4A
4、检查上位机告警界面和HMI告警界面，触发的告警是否被正确记录(状态:“OUT”)
5、电源输入Demand_Ib为2A，Demand_Ic为4A
6、检查上位机告警界面和HMI告警界面，触发的告警是否被正确记录(状态:“OUT”)
7、电源输入Demand_Ib&amp;Demand_Ic为5A
8、检查上位机告警界面和HMI告警界面，触发的告警是否被正确记录(状态:“in”)</t>
  </si>
  <si>
    <t>Function_AcuRev4100_015_04_case3</t>
  </si>
  <si>
    <t>1、连接AcuRev4100电表到Acuview2上，连接状态为connected。
2、配置Alarm使能，参数选Demand_input1_I，逻辑“&gt;”&amp;“none”，配置启动值3A，启动延迟0ms，释放值2A，释放延迟10000ms
3、电源输入Demand_input1_I为4A
4、检查上位机告警界面和HMI告警界面，触发的告警是否被正确记录(状态:“start”)
5、电源输入Demand_input1_I为3A
6、检查上位机告警界面和HMI告警界面，触发的告警是否被正确记录(状态:“end”)
7、电源输入Demand_input1_I为2A
8、检查上位机告警界面和HMI告警界面，触发的告警是否被正确记录(状态:“end”)
备注:告警逻辑关系为NULL时，只执行第一条告警</t>
  </si>
  <si>
    <t>Function_AcuRev4100_015_04_case4</t>
  </si>
  <si>
    <t>1、连接AcuRev4100电表到Acuview2上，连接状态为connected。
2、配置Alarm使能，参数选Demand_input2_I&amp;Demand_input3_I，逻辑“&gt;”&amp;“and”，配置启动值3A，启动延迟0ms，释放值2A，释放延迟0ms
3、电源输入Demand_input2_I&amp;Demand_input3_I为2A
4、检查上位机告警界面和HMI告警界面，触发的告警是否被正确记录(状态:“OUT”)
5、电源输入Demand_input2_I&amp;Demand_input3_I为4A
6、检查上位机告警界面和HMI告警界面，触发的告警是否被正确记录(状态:“OUT”)
7、电源输入Demand_input2_I&amp;Demand_input3_I为1A
8、检查上位机告警界面和HMI告警界面，触发的告警是否被正确记录(状态:“in”)</t>
  </si>
  <si>
    <t>Function_AcuRev4100_015_04_case5</t>
  </si>
  <si>
    <t xml:space="preserve">打开Alarm使能，参数选Demand_user1_I，逻辑“&gt;”&amp;“none”，配置启动值3A，启动延迟10000ms，释放值2A，释放延迟10000ms，满足告警阈值，触发和消除告警正常 </t>
    <phoneticPr fontId="10" type="noConversion"/>
  </si>
  <si>
    <t>1、连接AcuRev4100电表到Acuview2上，连接状态为connected。
2、配置Alarm使能，参数选Demand_user1_I，逻辑“&gt;”、“none”，配置启动值3A，启动延迟10000ms，释放值2A，释放延迟10000ms
3、电源输入Demand_user1_I为2A
4、检查上位机告警界面和HMI告警界面，触发的告警是否被正确记录(状态:“start”)
5、电源输入Demand_user1_I为3.3A
6、检查上位机告警界面和HMI告警界面，触发的告警是否被正确记录(状态:“start”)
7、电源输入Demand_user1_I为1.8A
8、检查上位机告警界面和HMI告警界面，触发的告警是否被正确记录(状态:“end”)</t>
  </si>
  <si>
    <t>Function_AcuRev4100_015_04_case6</t>
  </si>
  <si>
    <t>打开Alarm使能，参数选Demand_user2_I&amp;Demand_user3_I，逻辑“&lt;”&amp;“or”，配置启动3A，启动延迟0ms，释放值4A，释放延迟0ms，满足告警阈值，触发和消除告警正常</t>
  </si>
  <si>
    <t>1、连接AcuRev4100电表到Acuview2上，连接状态为connected。
2、配置Alarm使能，参数选Demand_user2_I&amp;Demand_user3_I，逻辑“&lt;”&amp;“or”，配置启动3A，启动延迟0ms，释放值4A，释放延迟0ms
3、电源输入Demand_user2_I&amp;Demand_user3_I为4A
4、检查上位机告警界面和HMI告警界面，触发的告警是否被正确记录(状态:“OUT”)
5、电源输入Demand_user2_I为2A，Demand_user3_I为4A
6、检查上位机告警界面和HMI告警界面，触发的告警是否被正确记录(状态:“OUT”)
7、电源输入Demand_user2_I&amp;Demand_user3_I为5A
8、检查上位机告警界面和HMI告警界面，触发的告警是否被正确记录(状态:“in”)</t>
  </si>
  <si>
    <t>Function_AcuRev4100_015_04_case7</t>
  </si>
  <si>
    <t>1、连接AcuRev4100电表到Acuview2上，连接状态为connected。
2、配置Alarm使能，参数选Demand_imp_Pb&amp;Demand_imp_Pc，逻辑“&gt;”&amp;“and”，配置启动值2kw，启动延迟0ms，释放值1kw，释放延迟0ms
3、电源输入Demand_imp_Pb&amp;Demand_imp_Pc为1KW
4、检查上位机告警界面和HMI告警界面，触发的告警是否被正确记录(状态:“OUT”)
5、电源输入Demand_imp_Pb&amp;Demand_imp_Pc为3KW
6、检查上位机告警界面和HMI告警界面，触发的告警是否被正确记录(状态:“OUT”)
7、电源输入Demand_imp_Pb&amp;Demand_imp_Pc为0.5KW
8、检查上位机告警界面和HMI告警界面，触发的告警是否被正确记录(状态:“in”)</t>
  </si>
  <si>
    <t>Function_AcuRev4100_015_04_case8</t>
  </si>
  <si>
    <t>1、连接AcuRev4100电表到Acuview2上，连接状态为connected。
2、配置Alarm使能，参数选Demand_exp_Pa&amp;Demand_exp_Pc，逻辑“&lt;”&amp;“or”，配置启动2kw，启动延迟0ms，释放值3kw，释放延迟0ms
3、电源输入Demand_exp_Pa&amp;Demand_exp_Pc为3KW
4、检查上位机告警界面和HMI告警界面，触发的告警是否被正确记录(状态:“OUT”)
5、电源输入Demand_exp_Pa&amp;Demand_exp_Pc为1KW
6、检查上位机告警界面和HMI告警界面，触发的告警是否被正确记录(状态:“OUT”)
7、电源输入Demand_exp_Pa&amp;Demand_exp_Pc为4KW
8、检查上位机告警界面和HMI告警界面，触发的告警是否被正确记录(状态:“in”)</t>
  </si>
  <si>
    <t>Function_AcuRev4100_015_04_case9</t>
  </si>
  <si>
    <t>1、连接AcuRev4100电表到Acuview2上，连接状态为connected。
2、配置Alarm使能，参数选Demand_imp_Qb&amp;Demand_imp_Qc，逻辑“&gt;”&amp;“and”，配置启动值0.8kvar，启动延迟0ms，释放值0.5kvar，释放延迟0ms
3、电源输入Demand_imp_Qb&amp;Demand_imp_Qc为1kvar
4、检查上位机告警界面和HMI告警界面，触发的告警是否被正确记录(状态:“OUT”)
5、电源输入Demand_imp_Qb&amp;Demand_imp_Qc为3kvar
6、检查上位机告警界面和HMI告警界面，触发的告警是否被正确记录(状态:“OUT”)
7、电源输入Demand_imp_Qb&amp;Demand_imp_Qc为0.5kvar
8、检查上位机告警界面和HMI告警界面，触发的告警是否被正确记录(状态:“in”)</t>
  </si>
  <si>
    <t>Function_AcuRev4100_015_04_case10</t>
  </si>
  <si>
    <t>1、连接AcuRev4100电表到Acuview2上，连接状态为connected。
2、配置Alarm使能，参数选Demand_exp_Qa&amp;Demand_exp_Qc，逻辑“&lt;”&amp;“or”，配置启动2kvar，启动延迟0ms，释放值3kvar，释放延迟0ms
3、电源输入Demand_exp_Qa&amp;Demand_exp_Qc为3kvar
4、检查上位机告警界面和HMI告警界面，触发的告警是否被正确记录(状态:“OUT”)
5、电源输入Demand_exp_Qa&amp;Demand_exp_Qc为1kvar
6、检查上位机告警界面和HMI告警界面，触发的告警是否被正确记录(状态:“OUT”)
7、电源输入Demand_exp_Qa&amp;Demand_exp_Qc为4kvar
8、检查上位机告警界面和HMI告警界面，触发的告警是否被正确记录(状态:“in”)</t>
  </si>
  <si>
    <t>Function_AcuRev4100_015_04_case11</t>
  </si>
  <si>
    <t>1、连接AcuRev4100电表到Acuview2上，连接状态为connected。
2、配置Alarm使能，参数选Demand_Sa&amp;Demand_Sc，逻辑“&gt;”&amp;“and”，配置启动值2kVA，启动延迟0ms，释放值1kVA，释放延迟0ms
3、电源输入Demand_Sa&amp;Demand_Sc为1kVA
4、检查上位机告警界面和HMI告警界面，触发的告警是否被正确记录(状态:“OUT”)
5、电源输入Demand_Sa&amp;Demand_Sc为3kVA
6、检查上位机告警界面和HMI告警界面，触发的告警是否被正确记录(状态:“OUT”)
7、电源输入Demand_Sa&amp;Demand_Sc为0.5kVA
8、检查上位机告警界面和HMI告警界面，触发的告警是否被正确记录(状态:“in”)</t>
  </si>
  <si>
    <t>Function_AcuRev4100_015_04_case12</t>
  </si>
  <si>
    <t>1、连接AcuRev4100电表到Acuview2上，连接状态为connected。
2、配置Alarm使能，参数选Demand_Sb&amp;Demand_Sc，逻辑“&lt;”&amp;“or”，配置启动2kVA，启动延迟0ms，释放值3kVA，释放延迟0ms
3、电源输入Demand_Sb&amp;Demand_Sc为3kVA
4、检查上位机告警界面和HMI告警界面，触发的告警是否被正确记录(状态:“OUT”)
5、电源输入Demand_Sb&amp;Demand_Sc为1kVA
6、检查上位机告警界面和HMI告警界面，触发的告警是否被正确记录(状态:“OUT”)
7、电源输入Demand_Sb&amp;Demand_Sc为4kVA
8、检查上位机告警界面和HMI告警界面，触发的告警是否被正确记录(状态:“in”)</t>
  </si>
  <si>
    <t>Function_AcuRev4100_015_04_case13</t>
  </si>
  <si>
    <t>1、连接AcuRev4100电表到Acuview2上，连接状态为connected。
2、配置Alarm使能，参数选Demand_imp_Psys，逻辑“&gt;”&amp;“none”，配置启动值2kw，启动延迟0ms，释放值1kw，释放延迟0ms
3、电源输入Demand_imp_Psys为1kw
4、检查上位机告警界面和HMI告警界面，触发的告警是否被正确记录(状态:“OUT”)
5、电源输入Demand_imp_Psys为3kw
6、检查上位机告警界面和HMI告警界面，触发的告警是否被正确记录(状态:“OUT”)
7、电源输入Demand_imp_Psys为0.5kw
8、检查上位机告警界面和HMI告警界面，触发的告警是否被正确记录(状态:“in”)</t>
  </si>
  <si>
    <t>Function_AcuRev4100_015_04_case14</t>
  </si>
  <si>
    <t>1、连接AcuRev4100电表到Acuview2上，连接状态为connected。
2、配置Alarm使能，参数选Demand_exp_Qsys，逻辑“&lt;”&amp;“none”，配置启动值2kvar，启动延迟0ms，释放值3kvar，释放延迟0ms
3、电源输入Demand_exp_Qsys为3kvar
4、检查上位机告警界面和HMI告警界面，触发的告警是否被正确记录(状态:“OUT”)
5、电源输入Demand_exp_Qsys为1kvar
6、检查上位机告警界面和HMI告警界面，触发的告警是否被正确记录(状态:“OUT”)
7、电源输入Demand_exp_Qsys为4kvar
8、检查上位机告警界面和HMI告警界面，触发的告警是否被正确记录(状态:“in”)</t>
  </si>
  <si>
    <t>Function_AcuRev4100_015_04_case15</t>
  </si>
  <si>
    <t>1、连接AcuRev4100电表到Acuview2上，连接状态为connected。
2、配置Alarm使能，参数选Demand_Ssys，    逻辑“&gt;”&amp;“and”， 配置启动2kVA，启动延迟0ms，释放值1kVA，释放延迟0ms
3、电源输入Demand_Ssys为1kVA
4、检查上位机告警界面和HMI告警界面，触发的告警是否被正确记录(状态:“OUT”)
5、电源输入Demand_Ssys为3kVA
6、检查上位机告警界面和HMI告警界面，触发的告警是否被正确记录(状态:“OUT”)
7、电源输入Demand_Ssys为0.5kVA
8、检查上位机告警界面和HMI告警界面，触发的告警是否被正确记录(状态:“in”)</t>
  </si>
  <si>
    <t>Function_AcuRev4100_015_05_case1</t>
  </si>
  <si>
    <t>1、连接AcuRev4100电表到Acuview2上，连接状态为connected。
2、配置Alarm使能，参数选THD_Va，逻辑“&gt;”&amp;“none”，配置启动值20%，启动延迟10000ms，释放值10%，释放延迟10000ms
3、电源输入THD_Va为10%
4、检查上位机告警界面和HMI告警界面，触发的告警是否被正确记录(状态:“OUT”)
5、电源输入THD_Va为20%
6、检查上位机告警界面和HMI告警界面，触发的告警是否被正确记录(状态:“OUT”)
7、电源输入THD_Va为10%
8、检查上位机告警界面和HMI告警界面，触发的告警是否被正确记录(状态:“in”)
备注:告警逻辑关系为NULL时，只执行第一条告警</t>
  </si>
  <si>
    <t>Function_AcuRev4100_015_05_case2</t>
  </si>
  <si>
    <t>1、连接AcuRev4100电表到Acuview2上，连接状态为connected。
2、配置Alarm使能，参数选THD_Vavg，逻辑“&gt;”&amp;“none”，配置启动值20%，启动延迟0ms，释放值15%，释放延迟0ms
3、电源输入THD_Vavg为10%
4、检查上位机告警界面和HMI告警界面，触发的告警是否被正确记录(状态:“OUT”)
5、电源输入THD_Vavg为25%
6、检查上位机告警界面和HMI告警界面，触发的告警是否被正确记录(状态:“in”)
7、电源输入THD_Vavg为10%
8、检查上位机告警界面和HMI告警界面，触发的告警是否被正确记录(状态:“OUT”)</t>
  </si>
  <si>
    <t>Function_AcuRev4100_015_05_case3</t>
  </si>
  <si>
    <t>1、连接AcuRev4100电表到Acuview2上，连接状态为connected。
2、配置Alarm使能，参数选THD_Vb&amp;THD_Vc，逻辑“&gt;”&amp;“and”，配置启动值15%，启动延迟0ms，释放值10%，释放延迟0ms
3、电源输入THD_Vb&amp;THD_Vc为10%
4、检查上位机告警界面和HMI告警界面，触发的告警是否被正确记录(状态:“OUT”)
5、电源输入THD_Vb&amp;THD_Vc为25%
6、检查上位机告警界面和HMI告警界面，触发的告警是否被正确记录(状态:“in”)
7、电源输入THD_Vb&amp;THD_Vc为10%
8、检查上位机告警界面和HMI告警界面，触发的告警是否被正确记录(状态:“OUT”)</t>
  </si>
  <si>
    <t>Function_AcuRev4100_015_05_case4</t>
  </si>
  <si>
    <t>1、连接AcuRev4100电表到Acuview2上，连接状态为connected。
2、配置Alarm使能，参数选THD_Vb&amp;THD_Vc，逻辑“&lt;”&amp;“or”，配置启动值15%，启动延迟0ms，释放值20%，释放延迟0ms
3、电源输入THD_Vb&amp;THD_Vc为20%
4、检查上位机告警界面和HMI告警界面，触发的告警是否被正确记录(状态:“OUT”)
5、电源输入THD_Vb&amp;THD_Vc为10%
6、检查上位机告警界面和HMI告警界面，触发的告警是否被正确记录(状态:“in”)
7、电源输入THD_Vb&amp;THD_Vc为25%
8、检查上位机告警界面和HMI告警界面，触发的告警是否被正确记录(状态:“OUT”)</t>
  </si>
  <si>
    <t>Function_AcuRev4100_015_05_case5</t>
  </si>
  <si>
    <t>1、连接AcuRev4100电表到Acuview2上，连接状态为connected。
2、配置Alarm使能，参数选THD_input1_I，逻辑“&gt;”&amp;“none”，配置启动值20%，启动延迟0ms，释放值15%，释放延迟0ms
3、电源输入THD_input1_I为10%
4、检查上位机告警界面和HMI告警界面，触发的告警是否被正确记录(状态:“OUT”)
5、电源输入THD_input1_I为25%
6、检查上位机告警界面和HMI告警界面，触发的告警是否被正确记录(状态:“in”)
7、电源输入THD_input1_I为10%
8、检查上位机告警界面和HMI告警界面，触发的告警是否被正确记录(状态:“OUT”)</t>
  </si>
  <si>
    <t>Function_AcuRev4100_015_05_case6</t>
  </si>
  <si>
    <t>1、连接AcuRev4100电表到Acuview2上，连接状态为connected。
2、配置Alarm使能，参数选THD_input2_I，逻辑“&gt;”&amp;“none”，配置启动值20%，启动延迟0ms，释放值15%，释放延迟0ms
3、电源输入THD_input2_I为10%
4、检查上位机告警界面和HMI告警界面，触发的告警是否被正确记录(状态:“OUT”)
5、电源输入THD_input2_I为25%
6、检查上位机告警界面和HMI告警界面，触发的告警是否被正确记录(状态:“in”)
7、电源输入THD_input2_I为10%
8、检查上位机告警界面和HMI告警界面，触发的告警是否被正确记录(状态:“OUT”)</t>
  </si>
  <si>
    <t>Function_AcuRev4100_015_05_case7</t>
  </si>
  <si>
    <t>打开Alarm使能，参数选THD_input24_I，逻辑“&lt;”&amp;“none”，配置启动值15%，启动延迟0ms，释放值20%，释放延迟0ms，满足告警阈值，触发和消除告警正常</t>
  </si>
  <si>
    <t>1、连接AcuRev4100电表到Acuview2上，连接状态为connected。
2、配置Alarm使能，参数选THD_input24_I，逻辑“&lt;”&amp;“none”，配置启动值15%，启动延迟0ms，释放值20%，释放延迟0ms
3、电源输入THD_input24_I为20%
4、检查上位机告警界面和HMI告警界面，触发的告警是否被正确记录(状态:“OUT”)
5、电源输入THD_input24_I为10%
6、检查上位机告警界面和HMI告警界面，触发的告警是否被正确记录(状态:“in”)
7、电源输入THD_input24_I为25%
8、检查上位机告警界面和HMI告警界面，触发的告警是否被正确记录(状态:“OUT”)</t>
  </si>
  <si>
    <t>Function_AcuRev4100_015_05_case8</t>
  </si>
  <si>
    <t>1、连接AcuRev4100电表到Acuview2上，连接状态为connected。
2、配置Alarm使能，参数选unbalance_sys_V(%)，逻辑“&gt;”&amp;“none”，配置启动值50(%)，启动延迟0ms，释放值30(%)，释放延迟0ms
3、电源输入Unbalance_sys_V(%)为50%
4、检查上位机告警界面和HMI告警界面，触发的告警是否被正确记录(状态:“OUT”)
5、电源输入Unbalance_sys_V(%)为57.735%（100V 200V 0V 0° 240° 0°）
6、检查上位机告警界面和HMI告警界面，触发的告警是否被正确记录(状态:“OUT”)
7、电源输入Unbalance_sys_V(%)为30%
8、检查上位机告警界面和HMI告警界面，触发的告警是否被正确记录(状态:“in”)</t>
  </si>
  <si>
    <t>Function_AcuRev4100_015_05_case9</t>
  </si>
  <si>
    <t>打开Alarm使能，参数选Unbalance_user1_I(%)，逻辑“&gt;”&amp;“none”，配置启动值0.7，启动延迟0ms，释放值0.5，释放延迟0ms，满足告警阈值，触发和消除告警正常</t>
  </si>
  <si>
    <t>1、连接AcuRev4100电表到Acuview2上，连接状态为connected。
2、配置Alarm使能，参数选Unbalance_ch1_I(%)，逻辑“&gt;”&amp;“none”，配置启动值70(%)，启动延迟0ms，释放值50(%)，释放延迟0ms
3、电源输入Unbalance_user1_I(%)为50%
4、检查上位机告警界面和HMI告警界面，触发的告警是否被正确记录(状态:“OUT”)
5、电源输入Unbalance_user1_I(%)为80%
6、检查上位机告警界面和HMI告警界面，触发的告警是否被正确记录(状态:“OUT”)
7、电源输入Unbalance_user1_I(%)为30%
8、检查上位机告警界面和HMI告警界面，触发的告警是否被正确记录(状态:“in”)</t>
  </si>
  <si>
    <t>Function_AcuRev4100_015_05_case10</t>
  </si>
  <si>
    <t>打开Alarm使能，参数选Unbalance_user2_I(%)，逻辑“&lt;”&amp;“none”，配置启动值0.3，启动延迟0ms，释放值0.5，释放延迟0ms，满足告警阈值，触发和消除告警正常</t>
  </si>
  <si>
    <t>1、连接AcuRev4100电表到Acuview2上，连接状态为connected。
2、配置Alarm使能，参数选Unbalance_user2_I(%)，逻辑“&lt;”&amp;“none”，配置启动值30(%)，启动延迟0ms，释放值50(%)，释放延迟0ms
3、电源输入Unbalance_user2_I(%)为50%
4、检查上位机告警界面和HMI告警界面，触发的告警是否被正确记录(状态:“OUT”)
5、电源输入Unbalance_user2_I(%)为30%
6、检查上位机告警界面和HMI告警界面，触发的告警是否被正确记录(状态:“OUT”)
7、电源输入Unbalance_user2_I(%)为80%
8、检查上位机告警界面和HMI告警界面，触发的告警是否被正确记录(状态:“in”)</t>
  </si>
  <si>
    <t>Function_AcuRev4100_015_05_case11</t>
  </si>
  <si>
    <t>打开Alarm使能，参数选Unbalance_user8_I(%)，逻辑“&gt;”&amp;“none”，配置启动值0.7，启动延迟0ms，释放值0.5，释放延迟0ms，满足告警阈值，触发和消除告警正常</t>
  </si>
  <si>
    <t>1、连接AcuRev4100电表到Acuview2上，连接状态为connected。
2、配置Alarm使能，参数选Unbalance_ch8_I(%)，逻辑“&gt;”&amp;“none”，配置启动值70(%)，启动延迟0ms，释放值50(%)，释放延迟0ms
3、电源输入Unbalance_user8_I(%)为50%
4、检查上位机告警界面和HMI告警界面，触发的告警是否被正确记录(状态:“OUT”)
5、电源输入Unbalance_user8_I(%)为80%
6、检查上位机告警界面和HMI告警界面，触发的告警是否被正确记录(状态:“OUT”)
7、电源输入Unbalance_user8_I(%)为30%
8、检查上位机告警界面和HMI告警界面，触发的告警是否被正确记录(状态:“in”)</t>
  </si>
  <si>
    <t>DI&amp;AI触发告警</t>
  </si>
  <si>
    <t>Function_AcuRev4100_015_06_case7</t>
  </si>
  <si>
    <t>1、连接AcuRev4100电表到Acuview2上，连接状态为connected。
2、配置Alarm使能，参数选DI1&amp;DI2，逻辑“=”&amp;“or”，配置启动值1，启动延迟10000ms，释放值0，释放延迟10000ms
3、输入DI1&amp;DI2为0
4、检查上位机告警界面和HMI告警界面，触发的告警是否被正确记录(状态:“OUT”)
5、输入DI1为1，DI2为1
6、检查上位机告警界面和HMI告警界面，触发的告警是否被正确记录(状态:“in”)
7、输入DI1&amp;DI2为0
8、检查上位机告警界面和HMI告警界面，触发的告警是否被正确记录(状态:“OUT”)</t>
  </si>
  <si>
    <t>Function_AcuRev4100_015_06_case8</t>
  </si>
  <si>
    <t>1、连接AcuRev4100电表到Acuview2上，连接状态为connected。
2、配置Alarm使能，参数选DI1&amp;DI2，逻辑“=”&amp;“and”，配置启动值0，启动延迟10000ms，释放值0，释放延迟10000ms
3、输入DI1&amp;DI2为1
4、检查上位机告警界面和HMI告警界面，触发的告警是否被正确记录(状态:“in”)
5、输入DI1为1，DI2为0
6、检查上位机告警界面和HMI告警界面，触发的告警是否被正确记录(状态:“OUT”)
7、输入DI1&amp;DI2为1
8、检查上位机告警界面和HMI告警界面，触发的告警是否被正确记录(状态:“OUT”)</t>
  </si>
  <si>
    <t>Function_AcuRev4100_015_06_case9</t>
  </si>
  <si>
    <t>打开Alarm使能，参数选DI3&amp;DI4，逻辑“=”&amp;“or”，配置启动值0，启动延迟10000ms，释放值0，释放延迟10000ms，满足告警阈值，触发和消除告警正常</t>
  </si>
  <si>
    <t>1、连接AcuRev4100电表到Acuview2上，连接状态为connected。
2、配置Alarm使能，参数选DI3&amp;DI4，逻辑“=”&amp;“or”，配置启动值0，启动延迟10000ms，释放值0，释放延迟10000ms
3、输入DI3&amp;DI4为1
4、检查上位机告警界面和HMI告警界面，触发的告警是否被正确记录(状态:“in”)
5、输入DI3为1，DI4为0
6、检查上位机告警界面和HMI告警界面，触发的告警是否被正确记录(状态:“in”)
7、输入DI3&amp;DI4为0
8、检查上位机告警界面和HMI告警界面，触发的告警是否被正确记录(状态:“OUT”)</t>
  </si>
  <si>
    <t>Function_AcuRev4100_015_06_case10</t>
  </si>
  <si>
    <t>打开Alarm使能，参数选DI3&amp;DI4，逻辑“=”&amp;“and”，配置启动值1，启动延迟10000ms，释放值0，释放延迟10000ms，满足告警阈值，触发和消除告警正常</t>
  </si>
  <si>
    <t>1、连接AcuRev4100电表到Acuview2上，连接状态为connected。
2、配置Alarm使能，参数选DI3&amp;DI4，逻辑“=”&amp;“and”，配置启动值1，启动延迟10000ms，释放值0，释放延迟10000ms
3、输入DI3&amp;DI4为0
4、检查上位机告警界面和HMI告警界面，触发的告警是否被正确记录(状态:“OUT”)
5、输入DI3&amp;DI4为1
6、检查上位机告警界面和HMI告警界面，触发的告警是否被正确记录(状态:“in”)
7、输入DI3&amp;DI4为0
8、检查上位机告警界面和HMI告警界面，触发的告警是否被正确记录(状态:“OUT”)</t>
  </si>
  <si>
    <t>4、检查上位机告警界面和HMI告警界面，沒有立即新增一条对应的告警记录(状态:“OUT”)
6、检查上位机告警界面和HMI告警界面，10s后立即新增一条对应的告警记录(状态:“in”)
8、检查上位机告警界面和HMI告警界面，10s后立即新增一条对应的告警记录(状态:“OUT”)</t>
  </si>
  <si>
    <t>Function_AcuRev4100_015_06_case10_1</t>
  </si>
  <si>
    <t>1、连接AcuRev4100电表到Acuview2上，连接状态为connected。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4、检查上位机告警界面和HMI告警界面，触发的告警是否被正确记录(状态:“OUT”)
5、输入DI3为1，Ua为135V
6、检查上位机告警界面和HMI告警界面，触发的告警是否被正确记录(状态:“in”)
7、输入DI3为0，
8、检查上位机告警界面和HMI告警界面，触发的告警是否被正确记录(状态:“OUT”)</t>
  </si>
  <si>
    <t>Function_AcuRev4100_015_06_case10_2</t>
  </si>
  <si>
    <t>1、连接AcuRev4100电表到Acuview2上，连接状态为connected。
2、配置Alarm使能，参数选DI3&amp;I_input1，逻辑“=”“&gt;”&amp;“and”，配置DI启动值1，配置I1启动值4A，启动延迟10000ms，DI3释放值0，I2释放值3A，释放延迟10000ms，
3、输入DI3为0, I1为3A
4、检查上位机告警界面和HMI告警界面，触发的告警是否被正确记录(状态:“OUT”)
5、输入DI3为1，I2为5A
6、检查上位机告警界面和HMI告警界面，触发的告警是否被正确记录(状态:“OUT”)
7、输入I2为2A
8、检查上位机告警界面和HMI告警界面，触发的告警是否被正确记录(状态:“in”)</t>
  </si>
  <si>
    <t>Function_AcuRev4100_016_01_case1</t>
    <phoneticPr fontId="10" type="noConversion"/>
  </si>
  <si>
    <t>PhaseA Current Max Demand测量准确，参数值和时间戳显示正常</t>
    <phoneticPr fontId="10" type="noConversion"/>
  </si>
  <si>
    <t>1、Acuview2上位机
2、网线/RTU串口线
3、AcuRev4100电表
4、电表接交流源
5、接线方式3E3p4w</t>
    <phoneticPr fontId="10" type="noConversion"/>
  </si>
  <si>
    <t>1、连接AcuRev4100电表到Acuview2上，连接状态为connected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6、上位机上和HMI上检查系统PhaseA Current Max Demand测量是否准确，参数值和时间戳显示是否正常</t>
  </si>
  <si>
    <t>6、上位机和HMI上检查系统PhaseA Current Max Demand测量准确（20A），参数值和时间戳显示正常
备注: modbus表中能量参数有55个，测试时候需要借助Excel公式计算和上位机及电表上数据比对。</t>
  </si>
  <si>
    <t>Function_AcuRev4100_016_01_case2</t>
  </si>
  <si>
    <t>PhaseA Import Active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</si>
  <si>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6、上位机和HMI上检查系统PhaseA Import Active Power Max Demand测量是否准确，参数值和时间戳显示是否正常</t>
  </si>
  <si>
    <t>6、上位机和HMI上检查系统PhaseA Import Active Power Max Demand测量准确（1.2KW），参数值和时间戳显示正常
备注: modbus表中能量参数有55个，测试时候需要借助Excel公式计算和上位机及电表上数据比对。</t>
  </si>
  <si>
    <t>Function_AcuRev4100_016_01_case3</t>
  </si>
  <si>
    <t>PhaseA Export Active Power Max Demand测量准确，参数值和时间戳显示正常</t>
  </si>
  <si>
    <t>1、Acuview2上位机
2、网线/RTU串口线
3、AcuRev4100电表
4、电表接交流源
5、接线方式3E3p4w</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</si>
  <si>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6、上位机和HMI上检查系统PhaseA Export Active Power Max Demand测量是否准确，参数值和时间戳显示是否正常</t>
  </si>
  <si>
    <t>6、上位机和HMI上检查系统PhaseA Export Active Power Max Demand测量准确（0.6kW），参数值和时间戳显示正常
备注: modbus表中能量参数有55个，测试时候需要借助Excel公式计算和上位机及电表上数据比对。</t>
  </si>
  <si>
    <t>Function_AcuRev4100_016_01_case4</t>
  </si>
  <si>
    <t>PhaseA Import Reactive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</si>
  <si>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 Import Reactive Power Max Demand测量是否准确，参数值和时间戳显示是否正常</t>
  </si>
  <si>
    <t>6、上位机和HMI上检查系统PhaseA Import Reactive Power Max Demand测量准确（0.6kvar），参数值和时间戳显示正常
备注: modbus表中能量参数有55个，测试时候需要借助Excel公式计算和上位机及电表上数据比对。</t>
  </si>
  <si>
    <t>Function_AcuRev4100_016_01_case5</t>
  </si>
  <si>
    <t>PhaseA Export Reactive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</si>
  <si>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6、上位机和HMI上检查系统PhaseA Export Reactive Power Max Demand测量是否准确，参数值和时间戳显示是否正常</t>
  </si>
  <si>
    <t>6、上位机和HMI上检查系统PhaseA Export Reactive Power Max Demand测量准确(0.6kvar)，参数值和时间戳显示正常
备注: modbus表中能量参数有55个，测试时候需要借助Excel公式计算和上位机及电表上数据比对。</t>
  </si>
  <si>
    <t>Function_AcuRev4100_016_01_case6</t>
  </si>
  <si>
    <t>PhaseA Apparent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</si>
  <si>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6、上位机和HMI上检查系统PhaseA Apparent Power Max Demand测量是否准确，参数值和时间戳显示是否正常</t>
  </si>
  <si>
    <t>6、上位机和HMI上检查系统PhaseA Apparent Power Max Demand测量准确（1.2KW），参数值和时间戳显示正常
备注: modbus表中能量参数有55个，测试时候需要借助Excel公式计算和上位机及电表上数据比对。</t>
  </si>
  <si>
    <t>Function_AcuRev4100_016_01_case7</t>
  </si>
  <si>
    <t>PhaseB Current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</si>
  <si>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6、上位机和HMI上检查系统PhaseB Current Max Demand测量是否准确，参数值和时间戳显示是否正常</t>
    <phoneticPr fontId="10" type="noConversion"/>
  </si>
  <si>
    <t>6、上位机和HMI上检查系统PhaseB Current Max Demand测量准确（10A），参数值和时间戳显示正常
备注: modbus表中能量参数有55个，测试时候需要借助Excel公式计算和上位机及电表上数据比对。</t>
    <phoneticPr fontId="10" type="noConversion"/>
  </si>
  <si>
    <t>Function_AcuRev4100_016_01_case8</t>
  </si>
  <si>
    <t>PhaseB Import Active Power Max 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</si>
  <si>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6、上位机和HMI上检查系统PhaseB Import Active Power Max Demand测量是否准确，参数值和时间戳显示是否正常</t>
  </si>
  <si>
    <t>6、上位机和HMI上检查系统PhaseB Import Active Power Max Demand测量准确（1.2KW），参数值和时间戳显示正常
备注: modbus表中能量参数有55个，测试时候需要借助Excel公式计算和上位机及电表上数据比对。</t>
  </si>
  <si>
    <t>Function_AcuRev4100_016_01_case9</t>
  </si>
  <si>
    <t>PhaseB Export Active Power Max 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</si>
  <si>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6、上位机和HMI上检查系统PhaseB Export Active Power Max Demand测量是否准确，参数值和时间戳显示是否正常</t>
    <phoneticPr fontId="10" type="noConversion"/>
  </si>
  <si>
    <t>6、上位机和HMI上检查系统PhaseB Export Active Power Max Demand测量准确（0.6KW），参数值和时间戳显示正常
备注: modbus表中能量参数有55个，测试时候需要借助Excel公式计算和上位机及电表上数据比对。</t>
    <phoneticPr fontId="10" type="noConversion"/>
  </si>
  <si>
    <t>Function_AcuRev4100_016_01_case10</t>
  </si>
  <si>
    <t>PhaseB Import Reactive Power Max测量准确，参数值和时间戳显示正常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</si>
  <si>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6、上位机和HMI上检查系统PhaseB Import Reactive Power Max Demand测量是否准确，参数值和时间戳显示是否正常</t>
    <phoneticPr fontId="10" type="noConversion"/>
  </si>
  <si>
    <t>6、上位机和HMI上检查系统PhaseB Import Reactive Power Max Demand测量准确（0.6KW），参数值和时间戳显示正常
备注: modbus表中能量参数有55个，测试时候需要借助Excel公式计算和上位机及电表上数据比对。</t>
    <phoneticPr fontId="10" type="noConversion"/>
  </si>
  <si>
    <t>Function_AcuRev4100_016_01_case11</t>
  </si>
  <si>
    <t>PhaseB Export Reactive Power Max测量准确，参数值和时间戳显示正常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</si>
  <si>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6、上位机和HMI上检查系统PhaseB Export Reactive Power Max Demand测量是否准确，参数值和时间戳显示是否正常</t>
    <phoneticPr fontId="10" type="noConversion"/>
  </si>
  <si>
    <t>6、上位机和HMI上检查系统PhaseB Export Reactive Power Max Demand测量准确（0.6KW），参数值和时间戳显示正常
备注: modbus表中能量参数有55个，测试时候需要借助Excel公式计算和上位机及电表上数据比对。</t>
    <phoneticPr fontId="10" type="noConversion"/>
  </si>
  <si>
    <t>Function_AcuRev4100_016_01_case12</t>
  </si>
  <si>
    <t>PhaseB Apparent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</si>
  <si>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6、上位机上检查系统PhaseB Apparent Power Max Demand测量是否准确，参数值和时间戳显示是否正常</t>
  </si>
  <si>
    <t>6、上位机上检查系统PhaseB Apparent Power Max Demand测量准确（1.2KW），参数值和时间戳显示正常
备注: modbus表中能量参数有55个，测试时候需要借助Excel公式计算和上位机及电表上数据比对。</t>
  </si>
  <si>
    <t>Function_AcuRev4100_016_01_case13</t>
  </si>
  <si>
    <t>PhaseC Current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</si>
  <si>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6、上位机和HMI上检查系统PhaseC Current Max Demand测量是否准确，参数值和时间戳显示是否正常</t>
    <phoneticPr fontId="10" type="noConversion"/>
  </si>
  <si>
    <t>6、上位机和HMI上检查系统PhaseC Current Max Demand测量准确（10A），参数值和时间戳显示正常
备注: modbus表中能量参数有55个，测试时候需要借助Excel公式计算和上位机及电表上数据比对。</t>
    <phoneticPr fontId="10" type="noConversion"/>
  </si>
  <si>
    <t>Function_AcuRev4100_016_01_case14</t>
  </si>
  <si>
    <t>PhaseC Import Active Power Max 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</si>
  <si>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6、上位机上检查系统PhaseC Import Active Power Max Demand测量是否准确，参数值和时间戳显示是否正常</t>
  </si>
  <si>
    <t>6、上位机上检查系统PhaseC Import Active Power Max Demand测量准确（1.2KW），参数值和时间戳显示正常
备注: modbus表中能量参数有55个，测试时候需要借助Excel公式计算和上位机及电表上数据比对。</t>
  </si>
  <si>
    <t>Function_AcuRev4100_016_01_case15</t>
  </si>
  <si>
    <t>PhaseC Export Active Power Max 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</si>
  <si>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6、上位机和HMI上检查系统PhaseC Export Active Power Max Demand测量是否准确，参数值和时间戳显示是否正常</t>
  </si>
  <si>
    <t>6、上位机和HMI上检查系统PhaseC Export Active Power Max Demand测量准确（0.6KW），参数值和时间戳显示正常
备注: modbus表中能量参数有55个，测试时候需要借助Excel公式计算和上位机及电表上数据比对。</t>
  </si>
  <si>
    <t>Function_AcuRev4100_016_01_case16</t>
  </si>
  <si>
    <t>PhaseC Import Reactive Power Max测量准确，参数值和时间戳显示正常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</si>
  <si>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6、上位机和HMI上检查系统PhaseC Import Reactive Power Max Demand测量是否准确，参数值和时间戳显示是否正常</t>
    <phoneticPr fontId="10" type="noConversion"/>
  </si>
  <si>
    <t>6、上位机和HMI上检查系统PhaseC Import Reactive Power Max Demand测量准确（0.6KW），参数值和时间戳显示正常
备注: modbus表中能量参数有55个，测试时候需要借助Excel公式计算和上位机及电表上数据比对。</t>
    <phoneticPr fontId="10" type="noConversion"/>
  </si>
  <si>
    <t>Function_AcuRev4100_016_01_case17</t>
  </si>
  <si>
    <t>PhaseC Export Reactive Power Max测量准确，参数值和时间戳显示正常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</si>
  <si>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6、上位机和HMI上检查系统PhaseC Export Reactive Power Max Demand测量是否准确，参数值和时间戳显示是否正常</t>
    <phoneticPr fontId="10" type="noConversion"/>
  </si>
  <si>
    <t>6、上位机和HMI上检查系统PhaseC Export Reactive Power Max Demand测量准确（0.6KW），参数值和时间戳显示正常
备注: modbus表中能量参数有55个，测试时候需要借助Excel公式计算和上位机及电表上数据比对。</t>
    <phoneticPr fontId="10" type="noConversion"/>
  </si>
  <si>
    <t>Function_AcuRev4100_016_01_case18</t>
  </si>
  <si>
    <t>PhaseC Apparent Power Max Demand测量准确，参数值和时间戳显示正常</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</si>
  <si>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6、上位机和HMI上检查系统PhaseC Apparent Power Max Demand测量是否准确，参数值和时间戳显示是否正常</t>
    <phoneticPr fontId="10" type="noConversion"/>
  </si>
  <si>
    <t>6、上位机和HMI上检查系统PhaseC Apparent Power Max Demand测量准确（1.2KW），参数值和时间戳显示正常
备注: modbus表中能量参数有55个，测试时候需要借助Excel公式计算和上位机及电表上数据比对。</t>
    <phoneticPr fontId="10" type="noConversion"/>
  </si>
  <si>
    <t>Function_AcuRev4100_016_01_case19</t>
  </si>
  <si>
    <t>1、连接AcuRev4100电表到Acuview2上，连接状态为connected
2、已重置最大需量 (clear max Demand)
3、上位机配置需量：Demand method：1(sliding Block)；Demand update rate：5mins；Demand Interval：5mins
4、源输入ABC三相电压全部为120V，电流为10A，电压电流相角差0°，等待5mins
5、源输入ABC三相电压全部为240V，电流为20A，电压电流相角差0°，等待5mins
6、上位机和HMI上检查系统Sys Average Current Max Demand测量是否准确，参数值和时间戳显示是否正常</t>
  </si>
  <si>
    <t>Function_AcuRev4100_016_01_case20</t>
  </si>
  <si>
    <t>1、连接AcuRev4100电表到Acuview2上，连接状态为connected
2、已重置最大需量 (clear max Demand)
3、上位机配置需量：Demand method：1(sliding Block)；Demand update rate：5mins；Demand Interval：5mins
4、源输入ABC三相电压全部为120V，电流为10A，电压电流相角差0°，上位机配置对应user1
5、等待10mins。
6、上位机上检查系统Sys Import Active Power Max Demand测量是否准确，参数值和时间戳显示是否正常</t>
  </si>
  <si>
    <t>Function_AcuRev4100_016_01_case21</t>
  </si>
  <si>
    <t>1、连接AcuRev4100电表到Acuview2上，连接状态为connected
2、已重置最大需量 (clear max Demand)
3、上位机配置需量：Demand method：1(sliding Block)；Demand update rate：5mins；Demand Interval：5mins
4、源输入ABC三相电压全部为120V，电流为10A，电压电流相角差120°，上位机配置对应user1
5、等待10mins。
6、上位机和HMI上检查系统Sys Export Active Power Max Demand测量是否准确，参数值和时间戳显示是否正常</t>
  </si>
  <si>
    <t>Function_AcuRev4100_016_01_case22</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</si>
  <si>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Import Reactive Power Max Demand测量是否准确，参数值和时间戳显示是否正常</t>
  </si>
  <si>
    <t>6、上位机和HMI上检查系统Sys Import Reactive Power Max Demand测量准确（1.8KW），参数值和时间戳显示正常
备注: modbus表中能量参数有55个，测试时候需要借助Excel公式计算和上位机及电表上数据比对。</t>
  </si>
  <si>
    <t>Function_AcuRev4100_016_01_case23</t>
  </si>
  <si>
    <t>1、连接AcuRev4100电表到Acuview2上，连接状态为connected
2、已重置最大需量 (clear max Demand)
3、上位机配置需量：Demand method：1(sliding Block)；Demand update rate：5mins；Demand Interval：5mins
4、源输入ABC三相电压全部为120V，电流为10A，电压电流相角差210°，上位机配置对应user1
5、等待10mins。
6、上位机上检查系统Sys Export Reactive Power Max Demand测量是否准确，参数值和时间戳显示是否正常</t>
  </si>
  <si>
    <t>Function_AcuRev4100_016_01_case24</t>
  </si>
  <si>
    <t>1、连接AcuRev4100电表到Acuview2上，连接状态为connected
2、已重置最大需量 (clear max Demand)
3、上位机配置需量：Demand method：1(sliding Block)；Demand update rate：5mins；Demand Interval：5mins
4、源输入ABC三相电压全部为120V，电流为10A，电压电流相角差30°，上位机配置对应user1
5、等待10mins。
6、上位机和HMI上检查系统Sys Apparent Power Max Demand测量是否准确，参数值和时间戳显示是否正常</t>
  </si>
  <si>
    <t>Function_AcuRev4100_016_01_case25</t>
  </si>
  <si>
    <t>1、连接AcuRev4100电表到Acuview2上，连接状态为connected
2、源输入Van、Vbn、Vcn分别为(69V,120V,230V)
3、重置系统最大、最小值 (clear max/min)
4、等待5mins。
5、上位机和HMI上检查Van,Vbn,Vcn,Vab, Vac,Vbc最大值最小值测量是否准确，参数值和时间戳显示是否正常</t>
  </si>
  <si>
    <t>Function_AcuRev4100_016_01_case26</t>
    <phoneticPr fontId="10" type="noConversion"/>
  </si>
  <si>
    <t>1、连接AcuRev4100电表到Acuview2上，连接状态为connected
2、源输入Van、Vbn、Vcn分别为(230V,347V,400V)
3、重置系统最大、最小值 (clear max/min)
4、等待5mins。
5、上位机和HMI上检查Van,Vbn,Vcn,Vab, Vac,Vbc最大值最小值测量是否准确，参数值和时间戳显示是否正常</t>
  </si>
  <si>
    <t>Function_AcuRev4100_016_01_case27</t>
  </si>
  <si>
    <t>1、连接AcuRev4100电表到Acuview2上，连接状态为connected
2、源输入Van、Vbn、Vcn分别为(69V,69V,69V)
3、重置系统最大、最小值 (clear max/min)
4、等待5mins。
5、上位机和HMI上检查Van,Vbn,Vcn,Vab, Vac,Vbc最大值最小值测量是否准确，参数值和时间戳显示是否正常</t>
    <phoneticPr fontId="10" type="noConversion"/>
  </si>
  <si>
    <t>Function_AcuRev4100_016_01_case28</t>
  </si>
  <si>
    <t>设置Van、Vbn、Vcn分别为(120V,120V,120V),测量Van,Vbn,Vcn,Vab, Vac,Vbc最大值最小值正确，参数值和时间戳显示正常</t>
  </si>
  <si>
    <t>1、连接AcuRev4100电表到Acuview2上，连接状态为connected
3、源输入Van、Vbn、Vcn分别为(120V,120V,120V)
3、重置系统最大、最小值 (clear max/min)
4、等待5mins。
5、上位机和HMI上检查Van,Vbn,Vcn,Vab, Vac,Vbc最大值最小值测量是否准确，参数值和时间戳显示是否正常</t>
  </si>
  <si>
    <t>Function_AcuRev4100_016_01_case29</t>
  </si>
  <si>
    <t>设置Van、Vbn、Vcn分别为(230V,230V,230V),测量Van,Vbn,Vcn,Vab, Vac,Vbc最大值最小值正确，参数值和时间戳显示正常</t>
  </si>
  <si>
    <t>1、连接AcuRev4100电表到Acuview2上，连接状态为connected
3、源输入Van、Vbn、Vcn分别为(230V,230V,230V)
3、重置系统最大、最小值 (clear max/min)
4、等待5mins。
5、上位机和HMI上检查Van,Vbn,Vcn,Vab, Vac,Vbc最大值最小值测量是否准确，参数值和时间戳显示是否正常</t>
    <phoneticPr fontId="10" type="noConversion"/>
  </si>
  <si>
    <t>Function_AcuRev4100_016_01_case30</t>
  </si>
  <si>
    <t>1、连接AcuRev4100电表到Acuview2上，连接状态为connected
2、源输入Van、Vbn、Vcn分别为(347V,347V,347V)
3、重置系统最大、最小值 (clear max/min)
4、等待5mins。
5、上位机和HMI上检查Van,Vbn,Vcn,Vab, Vac,Vbc最大值最小值测量是否准确，参数值和时间戳显示是否正常</t>
    <phoneticPr fontId="10" type="noConversion"/>
  </si>
  <si>
    <t>Function_AcuRev4100_016_01_case31</t>
  </si>
  <si>
    <t>设置Van、Vbn、Vcn分别为(400V,400V,400V),测量Van,Vbn,Vcn,Vab, Vac,Vbc最大值最小值正确，参数值和时间戳显示正常</t>
  </si>
  <si>
    <t>1、连接AcuRev4100电表到Acuview2上，连接状态为connected
2、重置系统最大、最小值 (clear max/min)
3、源输入Van、Vbn、Vcn分别为(400V,400V,400V)
4、等待5mins。
5、上位机和HMI上检查Van,Vbn,Vcn,Vab, Vac,Vbc最大值最小值测量是否准确，参数值和时间戳显示是否正常</t>
    <phoneticPr fontId="10" type="noConversion"/>
  </si>
  <si>
    <t>Function_AcuRev4100_016_01_case32</t>
  </si>
  <si>
    <t>1、连接AcuRev4100电表到Acuview2上，连接状态为connected
2、源输入Ia、Ib、Ic分别设置为(3A,5A,10A)
3、重置系统最大、最小值 (clear max/min)
4、等待5mins。
5、上位机和HMI上检查Ia、Ib、Ic最大值最小值测量是否准确，参数值和时间戳显示是否正常</t>
  </si>
  <si>
    <t>Function_AcuRev4100_016_01_case33</t>
  </si>
  <si>
    <t>1、连接AcuRev4100电表到Acuview2上，连接状态为connected
2、源输入Ia、Ib、Ic分别设置为(0.5A,2A,3A)
3、重置系统最大、最小值 (clear max/min)
4、等待5mins。
5、上位机和HMI上检查Ia、Ib、Ic最大值最小值测量是否准确，参数值和时间戳显示是否正常</t>
  </si>
  <si>
    <t>Function_AcuRev4100_016_01_case34</t>
  </si>
  <si>
    <t>1、连接AcuRev4100电表到Acuview2上，连接状态为connected
2、重置系统最大、最小值 (clear max/min)
3、源输入Ia、Ib、Ic分别设置为(5A,8A,10A)
4、等待5mins。
5、上位机和HMI上检查Ia、Ib、Ic最大值最小值测量是否准确，参数值和时间戳显示是否正常</t>
  </si>
  <si>
    <t>Function_AcuRev4100_016_01_case35</t>
  </si>
  <si>
    <t>设置交流电频率为50HZ，测量Freq最大值最小值正确，参数值和时间戳显示正常</t>
  </si>
  <si>
    <t>1、连接AcuRev4100电表到Acuview2上，连接状态为connected
2、源输入交流电频率为50HZ
3、重置系统最大、最小值 (clear max/min)
4、等待5mins。
5、上位机和HMI上检查Freq最大值最小值测量是否准确，参数值和时间戳显示是否正常</t>
  </si>
  <si>
    <t>5、上位机和HMI上检查Freq最大值最小值测量准确，参数值和时间戳显示正常
备注: modbus表中能量参数有55个，测试时候需要借助Excel公式计算和上位机及电表上数据比对。</t>
    <phoneticPr fontId="10" type="noConversion"/>
  </si>
  <si>
    <t>Function_AcuRev4100_016_01_case36</t>
  </si>
  <si>
    <t>设置交流电频率为60HZ，测量Freq最大值最小值正确，参数值和时间戳显示正常</t>
  </si>
  <si>
    <t>1、连接AcuRev4100电表到Acuview2上，连接状态为connected
2、源输入交流电频率为60HZ
3、重置系统最大、最小值 (clear max/min)
4、等待5mins。
5、上位机和HMI上检查Freq最大值最小值测量是否准确，参数值和时间戳显示是否正常</t>
    <phoneticPr fontId="10" type="noConversion"/>
  </si>
  <si>
    <t>Function_AcuRev4100_016_01_case37</t>
  </si>
  <si>
    <t>设置交流电频率为69HZ，测量Freq最大值最小值正确，参数值和时间戳显示正常</t>
  </si>
  <si>
    <t>1、连接AcuRev4100电表到Acuview2上，连接状态为connected
2、源输入交流电频率为69HZ
3、重置系统最大、最小值 (clear max/min)
4、等待5mins。
5、上位机和HMI上检查Freq最大值最小值测量是否准确，参数值和时间戳显示是否正常</t>
  </si>
  <si>
    <t>5、上位机和HMI上检查Freq最大值最小值测量准确，参数值和时间戳显示正常
备注: modbus表中能量参数有55个，测试时候需要借助Excel公式计算和上位机及电表上数据比对。</t>
  </si>
  <si>
    <t>Function_AcuRev4100_016_01_case38</t>
  </si>
  <si>
    <t>设置交流电频率为42.5HZ，测量Freq最大值最小值正确，参数值和时间戳显示正常</t>
  </si>
  <si>
    <t>1、连接AcuRev4100电表到Acuview2上，连接状态为connected
2、源输入交流电频率为42.5HZ
3、重置系统最大、最小值 (clear max/min)
4、等待5mins。
5、上位机和HMI上检查Freq最大值最小值测量是否准确，参数值和时间戳显示是否正常</t>
  </si>
  <si>
    <t>Function_AcuRev4100_016_01_case39</t>
  </si>
  <si>
    <t>1、连接AcuRev4100电表到Acuview2上，连接状态为connected
2、重置系统最大、最小值 (clear max/min)
3、源输入Van、Vbn、Vcn分别为(69V,120V,230V)角度 (0，240，120)
4、等待5mins。
5、上位机和HMI上检查三相电压不平衡因素Unbalance factor最大值最小值测量是否准确，参数值和时间戳显示是否正常</t>
  </si>
  <si>
    <t>5、上位机和HMI上检查三相电压不平衡因素Unbalance factor最大值最小值测量准确(34%)，参数值和时间戳显示正常
备注: modbus表中能量参数有55个，测试时候需要借助Excel公式计算和上位机及电表上数据比对。</t>
  </si>
  <si>
    <t>Function_AcuRev4100_016_01_case40</t>
  </si>
  <si>
    <t>1、连接AcuRev4100电表到Acuview2上，连接状态为connected
2、源输入Van、Vbn、Vcn分别为(230V,347V,400V)角度 (0，240，120)
3、重置系统最大、最小值 (clear max/min)
4、等待5mins。
5、上位机和HMI上检查三相电压不平衡因素Unbalance factor最大值最小值测量是否准确，参数值和时间戳显示是否正常</t>
  </si>
  <si>
    <t>Function_AcuRev4100_016_01_case42</t>
    <phoneticPr fontId="10" type="noConversion"/>
  </si>
  <si>
    <t>设置相电压Va,Vb,Vc分别为(69V,120V,230V)，谐波含量百分比0.5%，谐波次数2， 谐波相位30°， 测量电表谐波参数Va_THD,Vb_THD，Vc_THD最大值最小值正确，参数值和时间戳显示正常</t>
    <phoneticPr fontId="10" type="noConversion"/>
  </si>
  <si>
    <t>1、连接AcuRev4100电表到Acuview2上，连接状态为connected
2、源输入相电压Va,Vb,Vc分别为(69V,120V,230V)，谐波含量百分比0.5%，谐波次数2， 谐波相位30°
3、重置系统最大、最小值 (clear max/min)
4、等待5mins。
5、上位机和HMI上检查电表谐波参数Va_THD,Vb_THD，Vc_THD最大值最小值测量是否准确，参数值和时间戳显示是否正常</t>
  </si>
  <si>
    <t>Function_AcuRev4100_016_01_case43</t>
  </si>
  <si>
    <t>设置相电压Va,Vb,Vc分别为(230V,347V,400V)，谐波含量百分比0.5%，谐波次数2，谐波相位30°， 测量电表谐波参数Va_THD,Vb_THD，Vc_THD最大值最小值正确，参数值和时间戳显示正常</t>
    <phoneticPr fontId="10" type="noConversion"/>
  </si>
  <si>
    <t>1、连接AcuRev4100电表到Acuview2上，连接状态为connected
2、源输入相电压Va,Vb,Vc分别为(230V,347V,400V)，谐波含量百分比0.5%，谐波次数2，谐波相位30°
3、重置系统最大、最小值 (clear max/min)
4、等待5mins。
5、上位机上检查电表谐波参数Va_THD,Vb_THD，Vc_THD最大值最小值测量是否准确，参数值和时间戳显示是否正常</t>
  </si>
  <si>
    <t>5、上位机上检查电表谐波参数Va_THD,Vb_THD，Vc_THD最大值最小值测量准确，参数值和时间戳显示正常
备注: modbus表中能量参数有55个，测试时候需要借助Excel公式计算和上位机及电表上数据比对。</t>
  </si>
  <si>
    <t>Function_AcuRev4100_016_01_case44</t>
  </si>
  <si>
    <t>1、连接AcuRev4100电表到Acuview2上，连接状态为connected
2、源输入相电压Va,Vb,Vc分别为(347V,347V,347V)，谐波含量百分比2%，谐波次数2，谐波相位60°
3、重置系统最大、最小值 (clear max/min)
4、等待5mins。
5、上位机和HMI上检查电表谐波参数Va_THD,Vb_THD，Vc_THD最大值最小值测量是否准确，参数值和时间戳显示是否正常</t>
  </si>
  <si>
    <t>Function_AcuRev4100_016_01_case45</t>
  </si>
  <si>
    <t>设置相电压Va,Vb,Vc分别为(230V,230V,230V)，谐波含量百分比2%，谐波次数2，谐波相位120°， 测量电表谐波参数Va_THD,Vb_THD，Vc_THD最大值最小值正确，参数值和时间戳显示正常</t>
  </si>
  <si>
    <t>1、连接AcuRev4100电表到Acuview2上，连接状态为connected
2、源输入相电压Va,Vb,Vc分别为(230V,230V,230V)，谐波含量百分比2%，谐波次数2，谐波相位120°
3、重置系统最大、最小值 (clear max/min)
4、等待5mins。
5、上位机和HMI上检查电表谐波参数Va_THD,Vb_THD，Vc_THD最大值最小值测量是否准确，参数值和时间戳显示是否正常</t>
    <phoneticPr fontId="10" type="noConversion"/>
  </si>
  <si>
    <t>Function_AcuRev4100_016_01_case46</t>
  </si>
  <si>
    <t>1、连接AcuRev4100电表到Acuview2上，连接状态为connected
2、重置系统最大、最小值 (clear max/min)
3、源输入相电压Va,Vb,Vc分别为(120V,120V,120V)，谐波含量百分比1%，谐波次数2，谐波相位45°
4、等待5mins。
5、上位机和HMI上检查电表谐波参数Va_THD,Vb_THD，Vc_THD最大值最小值测量是否准确，参数值和时间戳显示是否正常</t>
    <phoneticPr fontId="10" type="noConversion"/>
  </si>
  <si>
    <t>Function_AcuRev4100_016_01_case47</t>
  </si>
  <si>
    <t>1、连接AcuRev4100电表到Acuview2上，连接状态为connected
2、重置系统最大、最小值 (clear max/min)
3、源输入相电流Ia,Ib,Ic分别为(3A,5A,10A)，谐波含量百分比0.5%，谐波次数2，谐波相位60°
4、等待5mins。
5、上位机和HMI上检查电表谐波参数Ia_THD,Ib_THD,Ic_THD最大值最小值测量是否准确，参数值和时间戳显示是否正常</t>
  </si>
  <si>
    <t>Function_AcuRev4100_016_01_case48</t>
  </si>
  <si>
    <t>1、连接AcuRev4100电表到Acuview2上，连接状态为connected
2、重置系统最大、最小值 (clear max/min)
3、源输入相电流Ia,Ib,Ic分别为(5A,2A,3A)，谐波含量百分比0.5%，谐波次数2，谐波相位120°
4、等待5mins。
5、上位机和HMI上检查电表谐波参数Ia_THD,Ib_THD,Ic_THD最大值最小值测量是否准确，参数值和时间戳显示是否正常</t>
  </si>
  <si>
    <t>Function_AcuRev4100_016_01_case49</t>
  </si>
  <si>
    <t>设置相电流Ia,Ib,Ic分别为(5A,8A,10A)，谐波含量百分比0.5%，谐波次数2，谐波相位45°， 测量电表谐波参数Ia_THD,Ib_THD,Ic_THD最大值最小值正确，参数值和时间戳显示正常</t>
  </si>
  <si>
    <t>1、连接AcuRev4100电表到Acuview2上，连接状态为connected
2、重置系统最大、最小值 (clear max/min)
3、源输入相电流Ia,Ib,Ic分别为(5A,8A,10A)，谐波含量百分比0.5%，谐波次数2，谐波相位45°
4、等待5mins。
5、上位机和HMI上检查电表谐波参数Ia_THD,Ib_THD,Ic_THD最大值最小值测量是否准确，参数值和时间戳显示是否正常</t>
    <phoneticPr fontId="10" type="noConversion"/>
  </si>
  <si>
    <t>5、上位机和HMI上检查电表谐波参数Ia_THD,Ib_THD,Ic_THD最大值最小值测量准确，参数值和时间戳显示正常
备注: modbus表中能量参数有55个，测试时候需要借助Excel公式计算和上位机及电表上数据比对。</t>
    <phoneticPr fontId="10" type="noConversion"/>
  </si>
  <si>
    <t>Function_AcuRev4100_016_01_case50</t>
  </si>
  <si>
    <t>1、连接AcuRev4100电表到Acuview2上，连接状态为connected
2、源输入相电压Va,Vb,Vc分别为(120V,120V,120V)，相电流Ia,Ib,Ic分别为(5A,8A,10A)，压流角度为30°
3、重置系统最大、最小值 (clear max/min)
4、等待5mins。
5、上位机和HMI上检查电表ABC三项的P、Q、S 、PF最大值最小值测量是否准确，参数值和时间戳显示是否正常</t>
  </si>
  <si>
    <t>Function_AcuRev4100_016_01_case51</t>
  </si>
  <si>
    <t>1、连接AcuRev4100电表到Acuview2上，连接状态为connected
2、源输入相电压Va,Vb,Vc分别为(69V,69V,69V)，相电流Ia,Ib,Ic分别为(5A,8A,10A)，压流角度为60°
3、重置系统最大、最小值 (clear max/min)
4、等待5mins。
5、上位机和HMI上检查电表ABC三项的P、Q、S 、PF最大值最小值测量是否准确，参数值和时间戳显示是否正常</t>
  </si>
  <si>
    <t>Function_AcuRev4100_016_01_case52</t>
  </si>
  <si>
    <t>1、连接AcuRev4100电表到Acuview2上，连接状态为connected
2、源输入相电压Va,Vb,Vc分别为(230V,230V,230V)，相电流Ia,Ib,Ic分别为(5A,8A,10A)，压流角度为240°
3、重置系统最大、最小值 (clear max/min)
4、等待5mins。
5、上位机和HMI上检查电表ABC三项的P、Q、S 、PF最大值最小值测量是否准确，参数值和时间戳显示是否正常</t>
  </si>
  <si>
    <t>记录实时Max和Min(输入通道)验证</t>
  </si>
  <si>
    <t>Function_AcuRev4100_016_02_case1</t>
    <phoneticPr fontId="10" type="noConversion"/>
  </si>
  <si>
    <t>Input Ch1 Current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</si>
  <si>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6、上位机和HMI上检查输入通道Input Ch1 Current Max Demand测量是否准确，参数值和时间戳显示是否正常</t>
  </si>
  <si>
    <t>6、上位机和HMI上检查输入通道Input Ch1 Current Max Demand测量准确（20A），参数值和时间戳显示正常
备注: modbus表中能量参数有55个，测试时候需要借助Excel公式计算和上位机及电表上数据比对。</t>
    <phoneticPr fontId="10" type="noConversion"/>
  </si>
  <si>
    <t>Function_AcuRev4100_016_02_case2</t>
  </si>
  <si>
    <t>Input Ch1 Import 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</si>
  <si>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电流为10A，电压电流相角差0°
5、等待10mins
6、上位机和HMI上检查输入通道Input Ch1 Import Active Power Max Demand测量是否准确，参数值和时间戳显示是否正常</t>
  </si>
  <si>
    <t>6、上位机和HMI上检查输入通道Input Ch1 Import Active Power Max Demand测量准确（1.2KW），参数值和时间戳显示正常
备注: modbus表中能量参数有55个，测试时候需要借助Excel公式计算和上位机及电表上数据比对。</t>
    <phoneticPr fontId="10" type="noConversion"/>
  </si>
  <si>
    <t>Function_AcuRev4100_016_02_case3</t>
  </si>
  <si>
    <t>Input Ch1 Export 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</si>
  <si>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电流为10A，电压电流相角差120°
5、等待10mins
6、上位机和HMI上检查输入通道nput Ch1 Export Active Power Max Demand测量是否准确，参数值和时间戳显示是否正常</t>
  </si>
  <si>
    <t>6、上位机和HMI上检查输入通道Input Ch1 Export Active Power Max Demand（0.6KW）测量准确，参数值和时间戳显示正常
备注: modbus表中能量参数有55个，测试时候需要借助Excel公式计算和上位机及电表上数据比对。</t>
  </si>
  <si>
    <t>Function_AcuRev4100_016_02_case4</t>
  </si>
  <si>
    <t>Input Ch1 Import Reactive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</si>
  <si>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6、上位机和HMI上检查输入通道Input Ch1 Import Reactive Power Max Demand测量是否准确，参数值和时间戳显示是否正常</t>
  </si>
  <si>
    <t>6、上位机和HMI上检查输入通道Input Ch1 Import Reactive Power Max Demand测量准确（0.6kvar），参数值和时间戳显示正常
备注: modbus表中能量参数有55个，测试时候需要借助Excel公式计算和上位机及电表上数据比对。</t>
  </si>
  <si>
    <t>Function_AcuRev4100_016_02_case5</t>
  </si>
  <si>
    <t>Input Ch1 Export Reactive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</si>
  <si>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电流为10A，电压电流相角差210°
5、等待10mins
6、上位机和HMI上检查输入通道Input Ch1 Export Reactive Power Max Demand测量是否准确，参数值和时间戳显示是否正常</t>
  </si>
  <si>
    <t>6、上位机和HMI上检查输入通道Input Ch1 Export Reactive Power Max Demand(0.6KW)测量准确，参数值和时间戳显示正常
备注: modbus表中能量参数有55个，测试时候需要借助Excel公式计算和上位机及电表上数据比对。</t>
  </si>
  <si>
    <t>Function_AcuRev4100_016_02_case6</t>
  </si>
  <si>
    <t>Input Ch1 Apparent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</si>
  <si>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4、源输入ABC三相电压全部为120V，Ch1 电流为10A，电压电流相角差30°
5、等待10mins
6、上位机和HMI上检查输入通道Input Ch1 Apparent Power Max Demand测量是否准确，参数值和时间戳显示是否正常</t>
  </si>
  <si>
    <t>6、上位机和HMI上检查输入通道Input Ch1 Apparent Power Max Demand测量准确（1.2KW），参数值和时间戳显示正常
备注: modbus表中能量参数有55个，测试时候需要借助Excel公式计算和上位机及电表上数据比对。</t>
  </si>
  <si>
    <t>Function_AcuRev4100_016_02_case7</t>
  </si>
  <si>
    <t>Input Ch2 Current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</si>
  <si>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电流为10A，电压电流相角差0°，等待4mins
5、源输入ABC三相电压全部为240V，Ch2 电流为20A，电压电流相角差0°，等待4mins
6、上位机和HMI上检查输入通道Input Ch2 Current Max Demand测量是否准确，参数值和时间戳显示是否正常</t>
    <phoneticPr fontId="10" type="noConversion"/>
  </si>
  <si>
    <t>6、上位机和HMI上检查输入通道Input Ch2 Current Max Demand测量准确（20A），参数值和时间戳显示正常
备注: modbus表中能量参数有55个，测试时候需要借助Excel公式计算和上位机及电表上数据比对。</t>
    <phoneticPr fontId="10" type="noConversion"/>
  </si>
  <si>
    <t>Function_AcuRev4100_016_02_case8</t>
  </si>
  <si>
    <t>Input Ch2 Import 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</si>
  <si>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电流为10A，电压电流相角差0°
5、等待10mins
6、上位机和HMI上检查输入通道Input Ch2 Import Active Power Max Demand测量是否准确，参数值和时间戳显示是否正常</t>
    <phoneticPr fontId="10" type="noConversion"/>
  </si>
  <si>
    <t>6、上位机和HMI上检查输入通道Input Ch2 Import Active Power Max Demand测量准确（1.2KW），参数值和时间戳显示正常
备注: modbus表中能量参数有55个，测试时候需要借助Excel公式计算和上位机及电表上数据比对。</t>
    <phoneticPr fontId="10" type="noConversion"/>
  </si>
  <si>
    <t>Function_AcuRev4100_016_02_case9</t>
  </si>
  <si>
    <t>Input Ch2 Export 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</si>
  <si>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电流为10A，电压电流相角差120°
5、等待10mins
6、上位机和HMI上检查输入通道nput Ch2 Export Active Power Max Demand测量是否准确，参数值和时间戳显示是否正常</t>
  </si>
  <si>
    <t>6、上位机和HMI上检查输入通道Input Ch2 Export Active Power Max Demand（0.6KW）测量准确，参数值和时间戳显示正常
备注: modbus表中能量参数有55个，测试时候需要借助Excel公式计算和上位机及电表上数据比对。</t>
  </si>
  <si>
    <t>Function_AcuRev4100_016_02_case10</t>
  </si>
  <si>
    <t>Input Ch2 Import Reactive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</si>
  <si>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Import Reactive Power Max Demand测量是否准确，参数值和时间戳显示是否正常</t>
  </si>
  <si>
    <t>6、上位机上检查输入通道Input Ch2 Import Reactive Power Max Demand测量准确（0.6KW），参数值和时间戳显示正常
备注: modbus表中能量参数有55个，测试时候需要借助Excel公式计算和上位机及电表上数据比对。</t>
  </si>
  <si>
    <t>Function_AcuRev4100_016_02_case11</t>
  </si>
  <si>
    <t>Input Ch2 Export Reactive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</si>
  <si>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电流为10A，电压电流相角差210°
5、等待10mins
6、上位机上检查输入通道Input Ch2 Export Reactive Power Max Demand测量是否准确，参数值和时间戳显示是否正常</t>
  </si>
  <si>
    <t>6、上位机上检查输入通道Input Ch2 Export Reactive Power Max Demand测量准确，参数值和时间戳显示正常
备注: modbus表中能量参数有55个，测试时候需要借助Excel公式计算和上位机及电表上数据比对。</t>
  </si>
  <si>
    <t>Function_AcuRev4100_016_02_case12</t>
  </si>
  <si>
    <t>Input Ch2 Apparent Power Max Demand测量准确，参数值和时间戳显示正常</t>
  </si>
  <si>
    <t>1、连接AcuRev4100电表到Acuview2上，连接状态为connected
2、已重置最大需量 (clear max Demand)
3、上位机配置需量：Demand method：1(sliding Block)；Demand update rate：2mins；Demand Interval：2mins
4、源输入ABC三相电压全部为120V，Ch2 电流为10A，电压电流相角差30°
5、等待10mins
6、上位机上检查输入通道Input Ch2 Apparent Power Max Demand测量是否准确，参数值和时间戳显示是否正常</t>
  </si>
  <si>
    <t>6、上位机上检查输入通道Input Ch2 Apparent Power Max Demand测量准确（1.2KW），参数值和时间戳显示正常
备注: modbus表中能量参数有55个，测试时候需要借助Excel公式计算和上位机及电表上数据比对。</t>
  </si>
  <si>
    <t>Function_AcuRev4100_016_02_case13</t>
  </si>
  <si>
    <t>1个用户对应3input电流输入，分别为(3A,5A,10A)，谐波含量百分比0.5%，谐波次数5，谐波相位60°， 测量电表谐波参数uasr1_THD,inupt1_THD,inupt2_THD,inupt3_THD最大值最小值正确，参数值和时间戳显示正常</t>
  </si>
  <si>
    <t>1、连接AcuRev4100电表到Acuview2上，连接状态为connected
2、重置通道最大、最小值 (clear max/min)，user1配置Ch1、Ch2、Ch3
4、源电流输入Ch1、Ch2、Ch3，分别为(3A,5A,10A)，谐波含量百分比0.5%，谐波次数5，谐波相位60°
5、等待10mins
6、上位机上检查电表谐波参数uasr1_THD,inupt1_THD,inupt2_THD,inupt3_THD测量是否准确，参数值和时间戳显示是否正常</t>
  </si>
  <si>
    <t>6、上位机上检查电表谐波参数uasr1_THD,inupt1_THD,inupt2_THD,inupt3_THD测量准确，参数值和时间戳显示正常
备注: modbus表中能量参数有55个，测试时候需要借助Excel公式计算和上位机及电表上数据比对。</t>
  </si>
  <si>
    <t>Function_AcuRev4100_016_02_case14</t>
  </si>
  <si>
    <t>1个用户对应3input电流输入，分别为(3A,5A,10A)，谐波含量百分比2%，谐波次数5，谐波相位60°， 测量电表谐波参数uasr1_THD,inupt1_THD,inupt2_THD,inupt3_THD最大值最小值正确，参数值和时间戳显示正常</t>
  </si>
  <si>
    <t>1、连接AcuRev4100电表到Acuview2上，连接状态为connected
2、重置通道最大、最小值 (clear max/min)，user1配置Ch1、Ch2、Ch3
4、源电流输入Ch1、Ch2、Ch3，分别为(3A、5A、10A)，谐波含量百分比2%，谐波次数5，谐波相位60°
5、等待10mins
6、上位机和HMI上检查电表谐波参数uasr1_THD,inupt1_THD,inupt2_THD,inupt3_THD测量是否准确，参数值和时间戳显示是否正常</t>
  </si>
  <si>
    <t>6、上位机和HMI上检查电表谐波参数uasr1_THD,inupt1_THD,inupt2_THD,inupt3_THD测量准确，参数值和时间戳显示正常
备注: modbus表中能量参数有55个，测试时候需要借助Excel公式计算和上位机及电表上数据比对。</t>
    <phoneticPr fontId="10" type="noConversion"/>
  </si>
  <si>
    <t>Function_AcuRev4100_016_02_case15</t>
  </si>
  <si>
    <t>1个用户对应3input电流输入，分别为(1.5A,2A,3A，谐波含量百分比2%，谐波次数5，谐波相位60°， 测量电表谐波参数uasr1_THD,inupt1_THD,inupt2_THD,inupt3_THD最大值最小值正确，参数值和时间戳显示正常</t>
  </si>
  <si>
    <t>1、连接AcuRev4100电表到Acuview2上，连接状态为connected
2、重置通道最大、最小值 (clear max/min)，user1配置Ch1、Ch2、Ch3
4、源电流输入Ch1、Ch2、Ch3，分别为（1.5A、2A、3A），谐波含量百分比2%，谐波次数5，谐波相位60°
5、等待10mins
6、上位机和HMI上检查电表谐波参数uasr1_THD,inupt1_THD,inupt2_THD,inupt3_THD测量是否准确，参数值和时间戳显示是否正常</t>
  </si>
  <si>
    <t>Function_AcuRev4100_016_02_case16</t>
  </si>
  <si>
    <t>1个用户对应3input电流输入，分别为(5A,8A,10A)，谐波含量百分比2%，谐波次数2，谐波相位60°， 测量电表谐波参数uasr1_THD,inupt1_THD,inupt2_THD,inupt3_THD最大值最小值正确，参数值和时间戳显示正常</t>
  </si>
  <si>
    <t>1、连接AcuRev4100电表到Acuview2上，连接状态为connected
2、重置通道最大、最小值 (clear max/min)，user1配置Ch1、Ch2、Ch3
4、源电流输入Ch1、Ch2、Ch3，分别为(5A、8A、10A)，谐波含量百分比2%，谐波次数2，谐波相位60°
5、等待10mins
6、上位机和HMI上检查电表谐波参数uasr1_THD,inupt1_THD,inupt2_THD,inupt3_THD测量是否准确，参数值和时间戳显示是否正常</t>
  </si>
  <si>
    <t>Function_AcuRev4100_016_02_case17</t>
  </si>
  <si>
    <t>1、连接AcuRev4100电表到Acuview2上，连接状态为connected，配置清除最大需量为手动模式
2、上位机和HMI重置最大、最小值 (clear max/min)</t>
  </si>
  <si>
    <t>Function_AcuRev4100_016_02_case18</t>
  </si>
  <si>
    <t>1、连接AcuRev4100电表到Acuview2上，连接状态为connected
2、电表上下电
3、上位机和HMI上查看电表最大值，最小值是否丢失</t>
  </si>
  <si>
    <t>记录实时Max和Min(用户通道)验证</t>
  </si>
  <si>
    <t>Function_AcuRev4100_016_03_case1</t>
  </si>
  <si>
    <t>User1对应1路负载， Current Max Demand测量准确，参数值和时间戳显示正常</t>
  </si>
  <si>
    <t>1、Acuview2上位机
2、网线/RTU串口线
3、AcuRev4100电表
4、电表接交流源
5、接线方式1E2w1p</t>
    <phoneticPr fontId="10" type="noConversion"/>
  </si>
  <si>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6、上位机和HMI上检查通道Current Max Demand测量是否准确，参数值和时间戳显示是否正常</t>
  </si>
  <si>
    <t>6、上位机和HMI上检查输入通道Input Ch1 Current Max Demand测量准确（20A），参数值和时间戳显示正常
备注: modbus表中能量参数有55个，测试时候需要借助Excel公式计算和上位机及电表上数据比对。</t>
  </si>
  <si>
    <t>Function_AcuRev4100_016_03_case2</t>
  </si>
  <si>
    <t>User1对应1路负载， Import Active Power Max Demand测量准确，参数值和时间戳显示正常</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</si>
  <si>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电流为10A，电压电流相角差0°
5、等待10mins
6、上位机和HMI上检查输入通道 Import Active Power Max Demand测量是否准确，参数值和时间戳显示是否正常</t>
  </si>
  <si>
    <t>6、上位机和HMI上检查输入通道 Import Active Power Max Demand测量准确（1.2KW），参数值和时间戳显示正常
备注: modbus表中能量参数有55个，测试时候需要借助Excel公式计算和上位机及电表上数据比对。</t>
  </si>
  <si>
    <t>Function_AcuRev4100_016_03_case3</t>
  </si>
  <si>
    <t>User1对应1路负载， Export Active Power Max Demand测量准确，参数值和时间戳显示正常</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</si>
  <si>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电流为10A，电压电流相角差120°
5、等待10mins
6、上位机和HMI上检查输入通道Export Active Power Max Demand测量是否准确，参数值和时间戳显示是否正常</t>
  </si>
  <si>
    <t>6、上位机和HMI上检查输入通道Export Active Power Max Demand(0.6KW)测量准确，参数值和时间戳显示正常
备注: modbus表中能量参数有55个，测试时候需要借助Excel公式计算和上位机及电表上数据比对。</t>
  </si>
  <si>
    <t>Function_AcuRev4100_016_03_case4</t>
  </si>
  <si>
    <t>User1对应1路负载， Import Reactive Power Max Demand测量准确，参数值和时间戳显示正常</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</si>
  <si>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6、上位机上检查输入通道 Import Reactive Power Max Demand测量是否准确，参数值和时间戳显示是否正常</t>
  </si>
  <si>
    <t>6、上位机上检查输入通道 Import Reactive Power Max Demand测量准确（0.6KW），参数值和时间戳显示正常
备注: modbus表中能量参数有55个，测试时候需要借助Excel公式计算和上位机及电表上数据比对。</t>
  </si>
  <si>
    <t>Function_AcuRev4100_016_03_case5</t>
  </si>
  <si>
    <t>User1对应1路负载， Export Reactive Power Max Demand测量准确，参数值和时间戳显示正常</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</si>
  <si>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电流为10A，电压电流相角差210°
5、等待10mins
6、上位机和HMI上检查输入通道 Export Reactive Power Max Demand测量是否准确，参数值和时间戳显示是否正常</t>
  </si>
  <si>
    <t>6、上位机和HMI上检查输入通道 Export Reactive Power Max Demand测量准确，参数值和时间戳显示正常
备注: modbus表中能量参数有55个，测试时候需要借助Excel公式计算和上位机及电表上数据比对。</t>
    <phoneticPr fontId="10" type="noConversion"/>
  </si>
  <si>
    <t>Function_AcuRev4100_016_03_case6</t>
  </si>
  <si>
    <t>User1对应1路负载， Apparent Power Max Demand测量准确，参数值和时间戳显示正常</t>
  </si>
  <si>
    <t>1、连接AcuRev4100电表到Acuview2上，连接状态为connected
2、重置通道最大、最小值 (clear max/min)，user1配置Ch1
3、上位机配置需量：Demand method：1(sliding Block)；Demand update rate：2mins；Demand Interval：2mins
4、源输入ABC三相电压全部为120V，Ch1 电流为10A，电压电流相角差30°
5、等待10mins
6、上位机和HMI上检查输入通道 Apparent Power Max Demand测量是否准确，参数值和时间戳显示是否正常</t>
  </si>
  <si>
    <t>6、上位机和HMI上检查输入通道 Apparent Power Max Demand测量准确（1.2KW），参数值和时间戳显示正常
备注: modbus表中能量参数有55个，测试时候需要借助Excel公式计算和上位机及电表上数据比对。</t>
  </si>
  <si>
    <t>Function_AcuRev4100_016_03_case7</t>
    <phoneticPr fontId="10" type="noConversion"/>
  </si>
  <si>
    <t>User2对应2路负载，Current Max Demand测量准确，参数值和时间戳显示正常</t>
  </si>
  <si>
    <t>1、Acuview2上位机
2、网线/RTU串口线
3、AcuRev4100电表
4、电表接交流源
5、接线方式2E1p3w</t>
    <phoneticPr fontId="10" type="noConversion"/>
  </si>
  <si>
    <t>1、连接AcuRev4100电表到Acuview2上，连接状态为connected
2、重置通道最大、最小值 (clear max/min)，user2配置Ch1、Ch2
3、上位机配置需量：Demand method：1(sliding Block)；Demand update rate：2mins；Demand Interval：2mins
4、源输入ABC三相电压全部为120V，Ch1 电流为10A，电压电流相角差0°，等待4mins
5、源输入ABC三相电压全部为240V，Ch1 电流为20A，电压电流相角差0°，等待4mins
6、上位机上检查通道Current Max Demand测量是否准确，参数值和时间戳显示是否正常</t>
  </si>
  <si>
    <t>6、上位机上检查输入通道Input Ch1 Current Max Demand测量准确（20A），参数值和时间戳显示正常
备注: modbus表中能量参数有55个，测试时候需要借助Excel公式计算和上位机及电表上数据比对。</t>
  </si>
  <si>
    <t>Function_AcuRev4100_016_03_case8</t>
  </si>
  <si>
    <t>User2对应2路负载，Import Active Power Max Demand测量准确，参数值和时间戳显示正常</t>
  </si>
  <si>
    <t>1、连接AcuRev4100电表到Acuview2上，连接状态为connected
2、重置通道最大、最小值 (clear max/min)，user2配置Ch1、Ch2
3、上位机配置需量：Demand method：1(sliding Block)；Demand update rate：2mins；Demand Interval：2mins
4、源输入ABC三相电压全部为120V，Ch2电流为10A，电压电流相角差0°
5、等待10mins
6、上位机和HMI上检查输入通道 Import Active Power Max Demand测量是否准确，参数值和时间戳显示是否正常</t>
  </si>
  <si>
    <t>6、上位机和HMI上检查输入通道 Import Active Power Max Demand测量准确（2.4KW），参数值和时间戳显示正常
备注: modbus表中能量参数有55个，测试时候需要借助Excel公式计算和上位机及电表上数据比对。</t>
    <phoneticPr fontId="10" type="noConversion"/>
  </si>
  <si>
    <t>Function_AcuRev4100_016_03_case9</t>
  </si>
  <si>
    <t>User2对应2路负载，Export Active Power Max Demand测量准确，参数值和时间戳显示正常</t>
  </si>
  <si>
    <t>1、连接AcuRev4100电表到Acuview2上，连接状态为connected
2、重置通道最大、最小值 (clear max/min)，user2配置Ch1、Ch2
3、上位机配置需量：Demand method：1(sliding Block)；Demand update rate：2mins；Demand Interval：2mins
4、源输入ABC三相电压全部为120V，Ch2 电流为10A，电压电流相角差120°
5、等待10mins
6、上位机和HMI上检查输入通道Export Active Power Max Demand测量是否准确，参数值和时间戳显示是否正常</t>
  </si>
  <si>
    <t>6、上位机和HMI上检查输入通道Export Active Power Max Demand测量准确(1.2KW)，参数值和时间戳显示正常
备注: modbus表中能量参数有55个，测试时候需要借助Excel公式计算和上位机及电表上数据比对。</t>
  </si>
  <si>
    <t>Function_AcuRev4100_016_03_case10</t>
  </si>
  <si>
    <t>User2对应2路负载，Import Reactive Power Max Demand测量准确，参数值和时间戳显示正常</t>
  </si>
  <si>
    <t>1、连接AcuRev4100电表到Acuview2上，连接状态为connected
2、重置通道最大、最小值 (clear max/min)，user2配置Ch1、Ch2
3、上位机配置需量：Demand method：1(sliding Block)；Demand update rate：2mins；Demand Interval：2mins
4、源输入ABC三相电压全部为120V，Ch2 电流为10A，电压电流相角差30°
5、等待10mins
6、上位机上检查输入通道 Import Reactive Power Max Demand测量是否准确，参数值和时间戳显示是否正常</t>
  </si>
  <si>
    <t>6、上位机上检查输入通道 Import Reactive Power Max Demand测量准确（0.6Kvar），参数值和时间戳显示正常
备注: modbus表中能量参数有55个，测试时候需要借助Excel公式计算和上位机及电表上数据比对。</t>
  </si>
  <si>
    <t>Function_AcuRev4100_016_03_case11</t>
  </si>
  <si>
    <t>User2对应2路负载，Export Reactive Power Max Demand测量准确，参数值和时间戳显示正常</t>
  </si>
  <si>
    <t>1、连接AcuRev4100电表到Acuview2上，连接状态为connected
2、重置通道最大、最小值 (clear max/min)，user2配置Ch1、Ch2
3、上位机配置需量：Demand method：1(sliding Block)；Demand update rate：2mins；Demand Interval：2mins
4、源输入ABC三相电压全部为120V，Ch1\Ch2 电流为10A，电压电流相角差210°
5、等待10mins
6、上位机和HMI上检查输入通道 Export Reactive Power Max Demand测量是否准确，参数值和时间戳显示是否正常</t>
  </si>
  <si>
    <t>6、上位机和HMI上检查输入通道 Export Reactive Power Max Demand测量准确，参数值和时间戳显示正常（user2）
备注: modbus表中能量参数有55个，测试时候需要借助Excel公式计算和上位机及电表上数据比对。</t>
  </si>
  <si>
    <t>Function_AcuRev4100_016_03_case12</t>
  </si>
  <si>
    <t>User2对应2路负载，Apparent Power Max Demand测量准确，参数值和时间戳显示正常</t>
  </si>
  <si>
    <t>1、连接AcuRev4100电表到Acuview2上，连接状态为connected
2、重置通道最大、最小值 (clear max/min)，user2配置Ch1、Ch2
3、上位机配置需量：Demand method：1(sliding Block)；Demand update rate：2mins；Demand Interval：2mins
4、源输入ABC三相电压全部为120V，Ch1\Ch2 电流为10A，电压电流相角差30°
5、等待10mins
6、上位机和HMI上检查输入通道 Apparent Power Max Demand测量是否准确，参数值和时间戳显示是否正常</t>
  </si>
  <si>
    <t>6、上位机和HMI上检查输入通道 Apparent Power Max Demand测量准确（2.4KW），参数值和时间戳显示正常（user2）
备注: modbus表中能量参数有55个，测试时候需要借助Excel公式计算和上位机及电表上数据比对。</t>
  </si>
  <si>
    <t>Function_AcuRev4100_016_04_case1</t>
  </si>
  <si>
    <t>4个DI分别从OFF变成ON的时候，会分别记录一条SOE log，上位机读取正常。</t>
    <phoneticPr fontId="10" type="noConversion"/>
  </si>
  <si>
    <t>1、连接AcuRev4100电表到Acuview2上，链接状态为connected
2、AcuRev4100电表DI1、DI2、DI3、DI4输入0V（ac或dc）
3、上位机设置DI1、DI2、DI3、DI4的“DI type”都为state
4、改变DI1、DI2、DI3、DI4的输入状态OFF-&gt;ON （DI1、DI2、DI3、DI4输入20V）
5、上位机查看SOE记录</t>
  </si>
  <si>
    <t>3、上位机设置DI成功，上位机工具界面无报错
5、上位机新增对应的  1条SOE记录，DI1、DI2、DI3、DI4 status 改变为：ON
SOE log包括：时间戳(year, month, day, hour, minute, second, millisecond)、所有DI status正确
注：产生一条SOE记录。实际测试时存在电压抖动，可能产生4条记录</t>
  </si>
  <si>
    <t>Function_AcuRev4100_016_04_case2</t>
  </si>
  <si>
    <t>4个DI分别从ON变成OFF的时候，会分别记录一条SOE log， 上位机读取正常。</t>
  </si>
  <si>
    <t>1、连接AcuRev4100电表到Acuview2上，链接状态为connected
2、AcuRev4100电表DI1、DI2、DI3、DI4输入20V（ac或dc）
3、上位机DI1、DI2、DI3、DI4的“DI type”都为state
4、改变DI1、DI2、DI3、DI4的状态ON-&gt;OFF （DI1、DI2、DI3、DI4输入0V）
5、上位机查看SOE记录</t>
  </si>
  <si>
    <t>3、上位机设置DI成功，上位机工具界面无报错
5、上位机新增对应的  1条SOE记录，DI1、DI2、DI3、DI4 status 改变为：OFF
SOE log包括：时间戳(year, month, day, hour, minute, second, millisecond)、所有DI status正确</t>
    <phoneticPr fontId="10" type="noConversion"/>
  </si>
  <si>
    <t>Function_AcuRev4100_016_04_case3</t>
  </si>
  <si>
    <t>1、连接AcuRev4100电表到Acuview2上，链接状态为connected
2、上位机DI1、DI2、DI3、DI4的“DI type”都为state
3、循环改变DI1、DI2、DI3、DI4的状态OFF-&gt;ON、ON-&gt;OFF 
4、上位机查看SOE记录最多记录条数是否为200条
5、当SOE记录存满，产生新的记录时，是否自动删除最早一条SOE记录（先进先出原则）</t>
  </si>
  <si>
    <t>Function_AcuRev4100_016_05_case1</t>
  </si>
  <si>
    <t>Function_AcuRev4100_016_04_case6</t>
  </si>
  <si>
    <t>1、连接AcuRev4100电表到Acuview2上，链接状态为connected
2、上位机DI1、DI2、DI3、DI4的“DI type”都为state
3、循环改变DI1、DI2、DI3、DI4的状态OFF-&gt;ON、ON-&gt;OFF 
4、上位机查看SOE记录最多记录条数是否为200条
5、当SOE记录存满，产生新的记录时，是否自动删除最早一条SOE记录（先进先出原则）
6、SOE记录新增过程中，观察“Lastest Soe Record No.”是否刷新为最新一条Soe Log的编号</t>
  </si>
  <si>
    <t>DATA Log</t>
  </si>
  <si>
    <t>Function_AcuRev4100_017_01_case1</t>
  </si>
  <si>
    <t>上位机可配置datalog1，对应数据全选，使用模式1，参数日志记录和时间戳正常</t>
  </si>
  <si>
    <t>1、Acuview2上位机
2、网线/RTU串口线
3、AcuRev4100电表
4、电表接交流源</t>
  </si>
  <si>
    <t>1、连接AcuRev4100电表到Acuview2上，链接状态为connected
2、上位机可配置datalog1（Setting — Data Log — Data Log 1）
Data Log Parameter Selection： 部分参数
Logging Interval：1 min
Logging Mode：1（Start Logging Immediately）
3、查看Log 1日志记录</t>
  </si>
  <si>
    <t>2、Data Log 1配置成功。上位机提示配置成功，页面无报错。
3、上位机Log1日志1min更新一条
记录内容：包含电表所选的部分参数，数据符合精度要求</t>
  </si>
  <si>
    <t>Function_AcuRev4100_017_01_case2</t>
  </si>
  <si>
    <t>上位机可配置datalog1，对应数据选择部分，使用模式2，参数日志记录和时间戳正常</t>
  </si>
  <si>
    <t>1、连接AcuRev4100电表到Acuview2上，链接状态为connected
2、 上位机配置当前时间为 2024/11/15 14:55:00
3、上位机可配置datalog1（Setting — Data Log — Data Log 1）
Data Log Parameter Selection：参数部分选择
Logging Interval：1 min
Logging Mode：2（Logging Scheduler）
Start:：2024/11/15 15:00:00  ——参考值
End：2024/11/15 15:20:00  ——参考值
4、查看Log 1日志记录</t>
  </si>
  <si>
    <t>Function_AcuRev4100_017_01_case3</t>
    <phoneticPr fontId="10" type="noConversion"/>
  </si>
  <si>
    <t>上位机可配置datalog1，对应数据选择部分，使用模式3，开始记录时间在当日未来时间点，当日开始记录，参数日志记录和时间戳正常</t>
  </si>
  <si>
    <t>1、Acuview2上位机
2、网线/RTU串口线
3、AcuRev4100电表
4、电表接交流源</t>
    <phoneticPr fontId="10" type="noConversion"/>
  </si>
  <si>
    <t>1、连接AcuRev4100电表到Acuview2上，链接状态为connected
2、上位机可配置datalog1（Setting — Data Log — Data Log 1）
Data Log Parameter Selection：参数部分选择
Logging Interval：1 min
Logging Mode：3（Start Logging Time）
开始记录时间在当日未来时间点：
Start: From：15:00  ——参考值
3、修改RTC时间为当日未来14:55，5分钟后查看Log 1日志记录</t>
  </si>
  <si>
    <t>2、Data Log 1配置成功。上位机提示配置成功，页面无报错。
3、上位机Log1日志从当日15:01开始记录日志，1min更新一条
记录内容：包含电表所选部分参数，数据符合精度要求</t>
  </si>
  <si>
    <t>Function_AcuRev4100_017_01_case4</t>
  </si>
  <si>
    <t>上位机可配置datalog1，对应数据选择部分，使用模式3，开始记录时间在当日过去时间点，次日开始记录，参数日志记录和时间戳正常</t>
    <phoneticPr fontId="10" type="noConversion"/>
  </si>
  <si>
    <t>1、连接AcuRev4100电表到Acuview2上，链接状态为connected
2、上位机可配置datalog1（Setting — Data Log — Data Log 1）
Data Log Parameter Selection：参数部分选择
Logging Interval：1 min
Logging Mode：3（Start Logging Time）
开始记录时间在当日过去时间点：
Start: From：15:00  ——参考值
3、查看Log 1日志记录</t>
  </si>
  <si>
    <t>2、Data Log 1配置成功。上位机提示配置成功，页面无报错。
3、上位机Log1日志从次日15:01开始记录日志，1min更新一条
记录内容：包含电表所选部分参数，数据符合精度要求</t>
  </si>
  <si>
    <t>Function_AcuRev4100_017_01_case5</t>
  </si>
  <si>
    <t>上位机可配置datalog2，对应数据全选，使用模式1，参数日志记录和时间戳正常</t>
  </si>
  <si>
    <t>1、连接AcuRev4100电表到Acuview2上，链接状态为connected
2、上位机可配置datalog2（Setting — Data Log — Data Log 2）
Data Log Parameter Selection： 部分参数
Logging Interval：1 min
Logging Mode：1（Start Logging Immediately）
3、查看Log2日志记录</t>
    <phoneticPr fontId="10" type="noConversion"/>
  </si>
  <si>
    <t>2、Data Log 2配置成功。上位机提示配置成功，页面无报错。
3、上位机Log2日志1min更新一条
记录内容：包含电表所选的部分参数，数据符合精度要求</t>
    <phoneticPr fontId="10" type="noConversion"/>
  </si>
  <si>
    <t>Function_AcuRev4100_017_01_case6</t>
  </si>
  <si>
    <t>上位机可配置datalog2，对应数据选择部分，使用模式2，参数日志记录和时间戳正常</t>
  </si>
  <si>
    <t>1、连接AcuRev4100电表到Acuview2上，链接状态为connected
2、上位机可配置datalog2（Setting — Data Log — Data Log 2）
Data Log Parameter Selection：参数部分选择
Logging Interval：1 min
Logging Mode：2（Logging Scheduler）
Start:：2024/11/15 15:00:00  ——参考值
End：2024/11/15 15:20:00  ——参考值
3、查看Log2日志记录</t>
  </si>
  <si>
    <r>
      <rPr>
        <sz val="10"/>
        <color theme="1"/>
        <rFont val="微软雅黑"/>
        <family val="2"/>
        <charset val="134"/>
      </rPr>
      <t>2、Data Log 2配置成功。上位机提示配置成功，页面无报错。
3、上位机Log2日志从2024/11/15 15:01:00开始记录，1min更新一条，2024/11/15 15:19:00结束记录，之后不再产生日志记录；
记录内容：包含电表所选部分参数，数据符合精度要求</t>
    </r>
    <phoneticPr fontId="10" type="noConversion"/>
  </si>
  <si>
    <t>Function_AcuRev4100_017_01_case7</t>
  </si>
  <si>
    <t>上位机可配置datalog2，对应数据选择部分，使用模式3，开始记录时间在当日未来时间点，参数日志记录和时间戳正常</t>
  </si>
  <si>
    <t>1、连接AcuRev4100电表到Acuview2上，链接状态为connected
2、上位机可配置datalog2（Setting — Data Log — Data Log 2）
Data Log Parameter Selection：参数部分选择
Logging Interval：1 min
Logging Mode：3（Start Logging Time）
开始记录时间在当日未来时间点：
Start: From：15:00  ——参考值
3、查看Log 2日志记录</t>
  </si>
  <si>
    <t>2、Data Log 2配置成功。上位机提示配置成功，页面无报错。
3、上位机Log2日志从当日15:00开始记录日志，1min更新一条
记录内容：包含电表所选部分参数，数据符合精度要求</t>
  </si>
  <si>
    <t>Function_AcuRev4100_017_01_case8</t>
  </si>
  <si>
    <t>上位机可配置datalog2，对应数据选择部分，使用模式3，开始记录时间在当日过去时间点，参数日志记录和时间戳正常</t>
  </si>
  <si>
    <t>1、连接AcuRev4100电表到Acuview2上，链接状态为connected
2、上位机可配置datalog2（Setting — Data Log — Data Log 2）
Data Log Parameter Selection：参数部分选择
Logging Interval：1 min
Logging Mode：3（Start Logging Time）
开始记录时间在当日过去时间点：
Start: From：15:00  ——参考值
3、查看Log 2日志记录</t>
  </si>
  <si>
    <t>2、Data Log 2配置成功。上位机提示配置成功，页面无报错。
3、上位机Log2日志从次日15:00开始记录日志，1min更新一条
记录内容：包含电表所选部分参数，数据符合精度要求</t>
    <phoneticPr fontId="10" type="noConversion"/>
  </si>
  <si>
    <t>Function_AcuRev4100_017_01_case9</t>
  </si>
  <si>
    <t>上位机可配置datalog3，对应数据全选，使用模式1，参数日志记录和时间戳正常</t>
  </si>
  <si>
    <t>1、连接AcuRev4100电表到Acuview2上，链接状态为connected
2、上位机可配置datalog3（Setting — Data Log — Data Log3）
Data Log Parameter Selection：部分参数
Logging Interval：1 min
Logging Mode：1（Start Logging Immediately）
3、查看Log 3日志记录</t>
  </si>
  <si>
    <t>2、Data Log 3配置成功。上位机提示配置成功，页面无报错。
3、上位机Log3日志1min更新一条
记录内容：包含电表所选的部分参数，数据符合精度要求</t>
    <phoneticPr fontId="10" type="noConversion"/>
  </si>
  <si>
    <t>Function_AcuRev4100_017_01_case10</t>
  </si>
  <si>
    <t>上位机可配置datalog3，对应数据选择部分，使用模式2，参数日志记录和时间戳正常</t>
  </si>
  <si>
    <t>1、连接AcuRev4100电表到Acuview2上，链接状态为connected
2、上位机可配置datalog3（Setting — Data Log — Data Log 2）
Data Log Parameter Selection：参数部分选择
Logging Interval：1 min
Logging Mode：2（Logging Scheduler）
Start:：2024/11/15 15:00:00  ——参考值
End：2024/11/15 15:20:00  ——参考值
3、查看Log3日志记录</t>
  </si>
  <si>
    <t>2、Data Log 3配置成功。上位机提示配置成功，页面无报错。
3、上位机Log3日志从2024/11/15 15:01:00开始记录，1min更新一条，2024/11/15 15:19:00结束记录，之后不再产生日志记录；
记录内容：包含电表所选部分参数，数据符合精度要求</t>
  </si>
  <si>
    <t>Function_AcuRev4100_017_01_case11</t>
  </si>
  <si>
    <t>上位机可配置datalog3，对应数据选择部分，使用模式3，开始记录时间在当日未来时间点，参数日志记录和时间戳正常</t>
  </si>
  <si>
    <t>1、连接AcuRev4100电表到Acuview2上，链接状态为connected
2、上位机可配置datalog3（Setting — Data Log — Data Log 2）
Data Log Parameter Selection：参数部分选择
Logging Interval：1 min
Logging Mode：3（Start Logging Time）
开始记录时间在当日未来时间点：
Start: From：15:00  ——参考值
3、查看Log 3日志记录</t>
  </si>
  <si>
    <t>2、Data Log 3配置成功。上位机提示配置成功，页面无报错。
3、上位机Log3日志从当日15:00开始记录日志，1min更新一条
记录内容：包含电表所选部分参数，数据符合精度要求</t>
  </si>
  <si>
    <t>Function_AcuRev4100_017_01_case12</t>
  </si>
  <si>
    <t>上位机可配置datalog3，对应数据选择部分，使用模式3，开始记录时间在当日过去时间点，参数日志记录和时间戳正常</t>
  </si>
  <si>
    <t>1、连接AcuRev4100电表到Acuview2上，链接状态为connected
2、上位机可配置datalog3（Setting — Data Log — Data Log 2）
Data Log Parameter Selection：参数部分选择
Logging Interval：1 min
Logging Mode：3（Start Logging Time）
开始记录时间在当日过去时间点：
Start: From：15:00  ——参考值
3、查看Log 3日志记录</t>
  </si>
  <si>
    <t>2、Data Log 3配置成功。上位机提示配置成功，页面无报错。
3、上位机Log3日志从次日15:00开始记录日志，1min更新一条
记录内容：包含电表所选部分参数，数据符合精度要求</t>
  </si>
  <si>
    <t>Function_AcuRev4100_017_01_case13</t>
  </si>
  <si>
    <t>上位机可配置datalog1，datalog2对应数据全选，使用模式1，参数日志记录和时间戳正常</t>
  </si>
  <si>
    <t>1、连接AcuRev4100电表到Acuview2上，链接状态为connected
2、上位机可配置datalog1，datalog2（Setting — Data Log — Data Log 1/ Data Log 2）
Data Log Parameter Selection：参数部分选择
Logging Interval：1 min
Logging Mode：1（Start Logging Immediately）
3、查看datalog1，datalog2日志记录</t>
  </si>
  <si>
    <t>2、datalog1，datalog2配置成功。上位机提示配置成功，页面无报错。
3、上位机datalog1，datalog2日志1min更新一条
记录内容：包含电表部分参数，数据符合精度要求</t>
    <phoneticPr fontId="10" type="noConversion"/>
  </si>
  <si>
    <t>Function_AcuRev4100_017_01_case14</t>
  </si>
  <si>
    <t>上位机可配置datalog1，datalog2对应数据选择部分，使用模式2，参数日志记录和时间戳正常</t>
  </si>
  <si>
    <t>1、连接AcuRev4100电表到Acuview2上，链接状态为connected
2、上位机可配置datalog1，datalog2（Setting — Data Log — Data Log 1/ Data Log 2）
Data Log Parameter Selection：参数部分选择
Logging Interval：1 min
Logging Mode：2（Logging Scheduler）
Start:：2024/11/15 15:00:00  ——参考值
End：2024/11/15 15:20:00  ——参考值
3、查看datalog1，datalog2日志记录</t>
  </si>
  <si>
    <t>2、datalog1，datalog2配置成功。上位机提示配置成功，页面无报错。
3、上位机datalog1，datalog2日志从2024/11/15 15:00:00开始记录，1min更新一条，2024/11/15 15:20:00结束记录，之后不再产生日志记录；
记录内容：包含电表所选部分参数，数据符合精度要求</t>
  </si>
  <si>
    <t>Function_AcuRev4100_017_01_case15</t>
  </si>
  <si>
    <t>上位机可配置datalog1，datalog2对应数据选择部分，使用模式3，参数日志记录和时间戳正常</t>
  </si>
  <si>
    <t>1、连接AcuRev4100电表到Acuview2上，链接状态为connected
2、上位机可配置datalog1，datalog2（Setting — Data Log — Data Log 1/ Data Log 2）
Data Log Parameter Selection：参数部分选择
Logging Interval：1 min
Logging Mode：3（Start Logging Time）
开始记录时间在当日未来时间点：
Start: From：15:00  ——参考值
3、查看datalog1，datalog2日志记录</t>
  </si>
  <si>
    <t>2、datalog1，datalog2配置成功。上位机提示配置成功，页面无报错。
3、上位机datalog1，datalog2日志从当日15:00开始记录日志，1min更新一条
记录内容：包含电表所选部分参数，数据符合精度要求</t>
  </si>
  <si>
    <t>Function_AcuRev4100_017_01_case16</t>
  </si>
  <si>
    <t>上位机可配置datalog2，datalog3对应数据全选，使用模式1，参数日志记录和时间戳正常</t>
  </si>
  <si>
    <t>1、连接AcuRev4100电表到Acuview2上，链接状态为connected
2、上位机可配置datalog2，datalog3（Setting — Data Log — Data Log 2/ Data Log 3）
Data Log Parameter Selection：参数全选
Logging Interval：1 min
Logging Mode：1（Start Logging Immediately）
3、查看datalog2，datalog3日志记录</t>
  </si>
  <si>
    <t>2、datalog2，datalog3配置成功。上位机提示配置成功，页面无报错。
3、上位机datalog2，datalog3日志1min更新一条
记录内容：包含电表全部参数，数据符合精度要求</t>
  </si>
  <si>
    <t>Function_AcuRev4100_017_01_case17</t>
  </si>
  <si>
    <t>上位机可配置datalog2，datalog3对应数据选择部分，使用模式2，参数日志记录和时间戳正常</t>
  </si>
  <si>
    <t>1、连接AcuRev4100电表到Acuview2上，链接状态为connected
2、上位机可配置datalog2，datalog3（Setting — Data Log — Data Log 2/ Data Log3）
Data Log Parameter Selection：参数部分选择
Logging Interval：1 min
Logging Mode：2（Logging Scheduler）
Start:：2024/11/15 15:00:00  ——参考值
End：2024/11/15 15:20:00  ——参考值
3、查看datalog2，datalog3日志记录</t>
  </si>
  <si>
    <t>2、datalog2，datalog3配置成功。上位机提示配置成功，页面无报错。
3、上位机datalog2，datalog3日志从2024/11/15 15:01:00开始记录，1min更新一条，2024/11/15 15:19:00结束记录，之后不再产生日志记录；
记录内容：包含电表所选部分参数，数据符合精度要求</t>
  </si>
  <si>
    <t>Function_AcuRev4100_017_01_case18</t>
  </si>
  <si>
    <t>上位机可配置datalog2，datalog3对应数据选择部分，使用模式3，参数日志记录和时间戳正常</t>
  </si>
  <si>
    <t>1、连接AcuRev4100电表到Acuview2上，链接状态为connected
2、上位机可配置datalog2，datalog3（Setting — Data Log — Data Log 2/ Data Log 3）
Data Log Parameter Selection：参数部分选择
Logging Interval：1 min
Logging Mode：3（Start Logging Time）
开始记录时间在当日未来时间点：
Start: From：15:00  ——参考值
3、查看datalog2，datalog3日志记录</t>
  </si>
  <si>
    <t>2、datalog2，datalog3配置成功。上位机提示配置成功，页面无报错。
3、上位机datalog2，datalog3日志从当日15:01开始记录日志，1min更新一条
记录内容：包含电表所选部分参数，数据符合精度要求</t>
  </si>
  <si>
    <t>Function_AcuRev4100_017_01_case19</t>
  </si>
  <si>
    <t>上位机可配置datalog1,datalog2,datalog3对应数据全选，使用模式1，参数日志记录和时间戳正常</t>
  </si>
  <si>
    <t>1、连接AcuRev4100电表到Acuview2上，链接状态为connected
2、上位机可配置datalog1,datalog2,datalog3（Setting — Data Log — Data Log 1/ Data Log 2/ Data Log 3）
Data Log Parameter Selection：Datalog 参数选满
Logging Interval：1 min
Logging Mode：1（Start Logging Immediately）
3、查看datalog1,datalog2,datalog3日志记录</t>
  </si>
  <si>
    <t>2、datalog1,datalog2,datalog3配置成功。上位机提示配置成功，页面无报错。
3、上位机datalog1,datalog2,datalog3日志1min更新一条
记录内容：包含电表全部参数，数据符合精度要求</t>
  </si>
  <si>
    <t>Function_AcuRev4100_017_01_case20</t>
  </si>
  <si>
    <t>上位机可配置datalog1,datalog2,datalog3对应数据选择部分，使用模式2，参数日志记录和时间戳正常</t>
  </si>
  <si>
    <t>1、连接AcuRev4100电表到Acuview2上，链接状态为connected
2、上位机可配置datalog1,datalog2,datalog3（Setting — Data Log — Data Log 1/ Data Log 2/ Data Log 3）
Data Log Parameter Selection：参数部分选择
Logging Interval：1 min
Logging Mode：2（Logging Scheduler）
Start:：2024/11/15 15:00:00  ——参考值
End：2024/11/15 15:20:00  ——参考值
3、查看datalog1,datalog2,datalog3日志记录</t>
  </si>
  <si>
    <t>2、datalog1,datalog2,datalog3配置成功。上位机提示配置成功，页面无报错。
3、上位机datalog1,datalog2,datalog3日志从2024/11/15 15:01:00开始记录，1min更新一条，2024/11/15 15:19:00结束记录，之后不再产生日志记录；
记录内容：包含电表所选部分参数，数据符合精度要求</t>
  </si>
  <si>
    <t>Function_AcuRev4100_017_01_case21</t>
  </si>
  <si>
    <t>上位机可配置datalog1,datalog2,datalog3对应数据选择部分，使用模式3，参数日志记录和时间戳正常</t>
  </si>
  <si>
    <t>1、连接AcuRev4100电表到Acuview2上，链接状态为connected
2、上位机可配置datalog1,datalog2,datalog3（Setting — Data Log — Data Log 1/ Data Log 2/ Data Log 3）
Data Log Parameter Selection：参数部分选择
Logging Interval：1 min
Logging Mode：3（Start Logging Time）
开始记录时间在当日未来时间点：
Start: From：15:00  ——参考值
3、查看datalog1,datalog2,datalog3日志记录</t>
  </si>
  <si>
    <t>2、datalog1,datalog2,datalog3配置成功。上位机提示配置成功，页面无报错。
3、上位机datalog1,datalog2,datalog3日志从当日15:01开始记录日志，1min更新一条
记录内容：包含电表所选部分参数，数据符合精度要求</t>
  </si>
  <si>
    <t>Function_AcuRev4100_017_01_case22</t>
  </si>
  <si>
    <t>1、连接AcuRev4100电表到Acuview2上，链接状态为connected
2、上位机上配置日志（Logging Mode：1/2/3）
3、Logging Interval：1 min，查看日志记录
4、Logging Interval：5 min，查看日志记录
5、Logging Interval：1440 min，查看日志记录
6、Logging Interval：1441 min，查看日志记录
7、Logging Interval：0 min</t>
  </si>
  <si>
    <t>Function_AcuRev4100_017_01_case23</t>
    <phoneticPr fontId="10" type="noConversion"/>
  </si>
  <si>
    <t>1、循环写入数据日志
2、查看datalogger（数据日志）所占空间大小  -----测试方法待构造
3、当日志存满，是否自动删除最早一个存储扇区（第一个存储扇区）---测试方法待构造
注：此用例需构造特殊版本验证</t>
  </si>
  <si>
    <t xml:space="preserve">2、数据记录器1,2,3 共享 1380个 block 
3、当日志存满，自动删除最早存储扇区
2025/6/30：1,2,3 log 共享1377个 block </t>
  </si>
  <si>
    <t>Function_AcuRev4100_017_01_case24</t>
    <phoneticPr fontId="10" type="noConversion"/>
  </si>
  <si>
    <t>1、连接AcuRev4100电表到Acuview2上，链接状态为connected
2、上位机可配置datalog1,datalog2,datalog3,datalog4（Setting — Data Log — Data Log 1/ Data Log 2/ Data Log 3/ Data Log 4）
Data Log Parameter Selection：参数部分选择
Logging Interval：1 min
Logging Mode：1（Start Logging Immediately）
3、查看datalog1,datalog2,datalog3,datalog4日志记录
4、上位机页面查看Setting中Datalog的Max Record与Reading中Datalog显示的Max Record是否一致（此测试点继承于DC300问题单）
注：包含Real-time、Demand、Energy、THD、Harmonic、Sequence Components、Phase Angle、DI counter、AO/AI所有参数（后续可能有修改，按功能规范Data Log更新）</t>
  </si>
  <si>
    <t>2、datalog1,datalog2,datalog3,datalog4配置成功。上位机提示配置成功，页面无报错。
3、上位机datalog1,datalog2,datalog3,datalog4日志1min更新一条
4、Setting中Datalog的Max Record与Reading中Datalog显示的Max Record一致
记录内容：包含电表所选部分参数，数据符合精度要求。日志无错乱，记录的参数完整</t>
    <phoneticPr fontId="10" type="noConversion"/>
  </si>
  <si>
    <t>Fault_AcuRev4100_017_01_case25</t>
  </si>
  <si>
    <t>恢复出厂设置后，上位机配置datalog1,datalog2,datalog3、datalog4，参数选择部分， Logging Interval默认配置，配置成功（继承于DC300问题单）</t>
  </si>
  <si>
    <t>1、Acuview2上位机
2、网线/RTU串口线
3、AcuRev4100电表
5、电表接交流源</t>
  </si>
  <si>
    <t>1、电表恢复出厂操作
2、连接AcuRev4100电表到Acuview2上，链接状态为connected
3、上位机可配置datalog1,datalog2,datalog3,datalog4（Setting — Data Log — Data Log 1/ Data Log 2/ Data Log 3/ Data Log 4）
Data Log Parameter Selection：参数部分选择
Logging Interval：默认配置
4、上位机点击update</t>
  </si>
  <si>
    <t>Function_AcuRev4100_017_02_case1</t>
    <phoneticPr fontId="10" type="noConversion"/>
  </si>
  <si>
    <t>1、连接AcuRev4100电表到Acuview2上，链接状态为connected，已配置Datalog1日志
2、读取Log1最近50条日志（Reading—Data Log—Data Log1 Reading—Read latest 50 Records）
3、日志少于50条时，读取数据日志，并保存至文件
4、日志大于50条时，读取数据日志，并保存至文件</t>
  </si>
  <si>
    <t>Function_AcuRev4100_017_02_case2</t>
  </si>
  <si>
    <t>1、连接AcuRev4100电表到Acuview2上，链接状态为connected，已配置Datalog1日志
2、读取Log1最近1000条日志（Reading—Data Log—Data Log1 Reading—Read 1000 Records(from selected Record)）
3、日志数量为10条时，日志编号选择5，选择读取1000条数据日志，并保存至文件
4、日志编号选择11，读取1000条数据
5、日志超过1000条时，读取数据日志，并保存至文件</t>
  </si>
  <si>
    <t>Function_AcuRev4100_017_02_case3</t>
  </si>
  <si>
    <t>1、连接AcuRev4100电表到Acuview2上，链接状态为connected，已配置Datalog1日志
2、读取Log1最近6400条日志（Reading—Data Log—Data Log1 Reading—Read 6400 Records(from selected Record)）
3、日志数量为100条时，日志编号选择10，选择读取64000条数据日志，并保存至文件
4、日志编号选择101，读取数据日志</t>
  </si>
  <si>
    <t>Function_AcuRev4100_017_02_case4</t>
  </si>
  <si>
    <t>1、连接AcuRev4100电表到Acuview2上，链接状态为connected，已配置Datalog1日志，参数只选择三个
2、读取Log1最近1000条日志（Reading—Data Log—Data Log1 Reading—Read 1000 Records(from selected Time)）
3、selected Time为默认选择时间
4、selected Time为日志开始记录时间晚5min，并保存至文件
5、selected Time为日志开始记录时间早5min</t>
  </si>
  <si>
    <t>Function_AcuRev4100_017_02_case5</t>
  </si>
  <si>
    <t>1、连接AcuRev4100电表到Acuview2上，链接状态为connected，已配置Datalog1日志，参数选择20个
2、读取Log1最近6400条日志（Reading—Data Log—Data Log1 Reading—Read 6400 Records(from selected Time)）
3、selected Time为默认选择时间
4、selected Time为日志开始记录时间晚5min，并保存至文件
5、selected Time为日志开始记录时间早5min</t>
  </si>
  <si>
    <t>Function_AcuRev4100_017_02_case6</t>
  </si>
  <si>
    <t>1、连接AcuRev4100电表到Acuview2上，链接状态为connected，已配置Datalog2日志
2、读取Log2最近50条日志（Reading—Data Log—Data Log2 Reading—Read latest 50 Records）
3、日志少于50条时，读取数据日志，并保存至文件
4、日志大于50条时，读取数据日志，并保存至文件</t>
  </si>
  <si>
    <t>Function_AcuRev4100_017_02_case7</t>
  </si>
  <si>
    <t>1、连接AcuRev4100电表到Acuview2上，链接状态为connected，已配置Datalog2日志
2、读取Log2最近1000条日志（Reading—Data Log—Data Log2 Reading—Read 1000 Records(from selected Record)）
3、日志数量为10条时，日志编号选择5，选择读取1000条数据日志，并保存至文件
4、日志编号选择11，读取1000条数据
5、日志超过1000条时，读取数据日志，并保存至文件</t>
  </si>
  <si>
    <t>Function_AcuRev4100_017_02_case8</t>
  </si>
  <si>
    <t>1、连接AcuRev4100电表到Acuview2上，链接状态为connected，已配置Datalog2日志
2、读取Log2最近6400条日志（Reading—Data Log—Data Log2 Reading—Read 6400 Records(from selected Record)）
3、日志数量为100条时，日志编号选择10，选择读取64000条数据日志，并保存至文件
4、日志编号选择101，读取数据日志</t>
  </si>
  <si>
    <t>Function_AcuRev4100_017_02_case9</t>
  </si>
  <si>
    <t>1、连接AcuRev4100电表到Acuview2上，链接状态为connected，已配置Datalog2日志
2、读取Log2最近1000条日志（Reading—Data Log—Data Log2 Reading—Read 1000 Records(from selected Time)）
3、selected Time为默认选择时间
4、selected Time为日志开始记录时间晚5min，并保存至文件
5、selected Time为日志开始记录时间早5min</t>
  </si>
  <si>
    <t>Function_AcuRev4100_017_02_case10</t>
  </si>
  <si>
    <t>1、连接AcuRev4100电表到Acuview2上，链接状态为connected，已配置Datalog2日志
2、读取Log2最近6400条日志（Reading—Data Log—Data Log2 Reading—Read 6400 Records(from selected Time)）
3、selected Time为默认选择时间
4、selected Time为日志开始记录时间晚5min，并保存至文件
5、selected Time为日志开始记录时间早5min</t>
  </si>
  <si>
    <t>Function_AcuRev4100_017_02_case11</t>
  </si>
  <si>
    <t>1、连接AcuRev4100电表到Acuview2上，链接状态为connected，已配置Datalog3日志
2、读取Log3最近50条日志（Reading—Data Log—Data Log3 Reading—Read latest 50 Records）
3、日志少于50条时，读取数据日志，并保存至文件
4、日志大于50条时，读取数据日志，并保存至文件</t>
  </si>
  <si>
    <t>Function_AcuRev4100_017_02_case12</t>
  </si>
  <si>
    <t>1、连接AcuRev4100电表到Acuview2上，链接状态为connected，已配置Datalog3日志
2、读取Log3最近1000条日志（Reading—Data Log—Data Log3 Reading—Read 1000 Records(from selected Record)）
3、日志数量为10条时，日志编号选择5，选择读取1000条数据日志，并保存至文件
4、日志编号选择11，读取1000条数据
5、日志超过1000条时，读取数据日志，并保存至文件</t>
  </si>
  <si>
    <t>Function_AcuRev4100_017_02_case13</t>
  </si>
  <si>
    <t>1、连接AcuRev4100电表到Acuview2上，链接状态为connected，已配置Datalog3日志
2、读取Log3最近6400条日志（Reading—Data Log—Data Log3 Reading—Read 6400 Records(from selected Record)）
3、日志数量为100条时，日志编号选择10，选择读取64000条数据日志，并保存至文件
4、日志编号选择101，读取数据日志</t>
  </si>
  <si>
    <t>Function_AcuRev4100_017_02_case14</t>
  </si>
  <si>
    <t>1、连接AcuRev4100电表到Acuview2上，链接状态为connected，已配置Datalog3日志
2、读取Log3最近1000条日志（Reading—Data Log—Data Log3 Reading—Read 1000 Records(from selected Time)）
3、selected Time为默认选择时间
4、selected Time为日志开始记录时间晚5min，并保存至文件
5、selected Time为日志开始记录时间早5min</t>
  </si>
  <si>
    <t>Function_AcuRev4100_017_02_case15</t>
  </si>
  <si>
    <t>1、连接AcuRev4100电表到Acuview2上，链接状态为connected，已配置Datalog3日志
2、读取Log3最近6400条日志（Reading—Data Log—Data Log3 Reading—Read 6400 Records(from selected Time)）
3、selected Time为默认选择时间
4、selected Time为日志开始记录时间晚5min，并保存至文件
5、selected Time为日志开始记录时间早5min</t>
  </si>
  <si>
    <t>Function_AcuRev4100_017_02_case16</t>
  </si>
  <si>
    <t>1、连接AcuRev4100电表到Acuview2上，链接状态为connected，已配置Datalog日志
2、上位机读取日志，循环执行读取50条、1000条日志20次</t>
  </si>
  <si>
    <t>Function_AcuRev4100_017_02_case17</t>
  </si>
  <si>
    <t>1、连接AcuRev4100电表到Acuview2上，链接状态为connected，已配置Datalog日志
2、建立两个客户端
3、同时读取数据日志</t>
  </si>
  <si>
    <t>Function_AcuRev4100_017_02_case18</t>
  </si>
  <si>
    <t>1、连接AcuRev4100电表到Acuview2上，链接状态为connected，已配置Datalog日志
2、电表关机一段时间
3、电表开机后，上位机日志选定时间(from selected Time)开始读取时，选定开始时间为电表关机时间段</t>
  </si>
  <si>
    <t>Function_AcuRev4100_017_02_case19</t>
  </si>
  <si>
    <t>1、连接AcuRev4100电表到Acuview2上，链接状态为connected，已配置Datalog日志
2、任意Log读取中，点击停止按钮</t>
  </si>
  <si>
    <t>Function_AcuRev4100_017_03_case1</t>
  </si>
  <si>
    <t>1、连接AcuRev4100电表到Acuview2上，链接状态为connected
2、上位机上清除datalog1（Reading—Data Log—Data Log1 Reading—Clear Data Log1）
3、查看datalog1日志记录与日志配置
4、查看datalog2/3/4日志</t>
  </si>
  <si>
    <t>Function_AcuRev4100_017_03_case2</t>
  </si>
  <si>
    <t>1、连接AcuRev4100电表到Acuview2上，链接状态为connected
2、上位机上清除datalog2（Reading—Data Log—Data Log2 Reading—Clear Data Log2）
3、查看datalog2日志记录与日志配置
4、查看datalog1/3/4日志</t>
  </si>
  <si>
    <t>Function_AcuRev4100_017_03_case3</t>
  </si>
  <si>
    <t>1、连接AcuRev4100电表到Acuview2上，链接状态为connected
2、上位机上清除datalog3（Reading—Data Log—Data Log3 Reading—Clear Data Log3）
3、查看datalog3日志记录与日志配置
4、查看datalog1/2/4日志</t>
  </si>
  <si>
    <t>Function_AcuRev4100_017_03_case4</t>
  </si>
  <si>
    <t>1、连接AcuRev4100电表到Acuview2上，链接状态为connected
2、上位机上清除datalog1（Reading—Data Log—Data Log1 Reading—Clear Data Log1）
3、查看是否可以重新配置datalog1</t>
  </si>
  <si>
    <t>Function_AcuRev4100_017_03_case5</t>
  </si>
  <si>
    <t>1、连接AcuRev4100电表到Acuview2上，链接状态为connected
2、上位机上清除datalog2（Reading—Data Log—Data Log2 Reading—Clear Data Log2）
3、查看是否可以重新配置datalog2</t>
  </si>
  <si>
    <t>Function_AcuRev4100_017_03_case6</t>
  </si>
  <si>
    <t>1、连接AcuRev4100电表到Acuview2上，链接状态为connected
2、上位机上清除datalog3（Reading—Data Log—Data Log3 Reading—Clear Data Log3）
3、查看是否可以重新配置datalog3</t>
  </si>
  <si>
    <t>Function_AcuRev4100_017_03_case7</t>
  </si>
  <si>
    <t>电表上删除datalog1， datalog1日志被删除， datalog1日志配置不会被清除， datalog2，datalog3日志、配置不会被清除</t>
    <phoneticPr fontId="10" type="noConversion"/>
  </si>
  <si>
    <t>Function_AcuRev4100_017_03_case8</t>
  </si>
  <si>
    <t>Function_AcuRev4100_017_03_case9</t>
  </si>
  <si>
    <t>Function_AcuRev4100_017_03_case10</t>
  </si>
  <si>
    <t>Function_AcuRev4100_017_03_case11</t>
  </si>
  <si>
    <t>Function_AcuRev4100_017_03_case12</t>
  </si>
  <si>
    <t>Function_AcuRev4100_017_04_case1</t>
    <phoneticPr fontId="10" type="noConversion"/>
  </si>
  <si>
    <t>上位机可配置datalog4，对应数据全选，使用模式1，日志数据和时间戳记录正常</t>
  </si>
  <si>
    <t>1、连接AcuRev4100电表到Acuview2上，链接状态为connected
2、上位机可配置datalog4（Setting — Data Log — Data Log 4）
Data Log Parameter Selection：参数全选
Logging Interval：1 min
Logging Mode：1（Start Logging Immediately）
3、查看Log 4日志记录</t>
  </si>
  <si>
    <t>2、Data Log 4配置成功。上位机提示配置成功，页面无报错。
3、上位机Log4日志1min更新一条
记录内容：包含电表所选全部参数，记录参数的max/min/average</t>
  </si>
  <si>
    <t>Function_AcuRev4100_017_04_case2</t>
  </si>
  <si>
    <t>上位机可配置datalog4，对应数据选择部分，使用模式2，日志数据和时间戳记录正常</t>
  </si>
  <si>
    <t>1、连接AcuRev4100电表到Acuview2上，链接状态为connected
2、 配置电表当前时间为 2024/11/15 14:55:00
3、上位机可配置datalog4（Setting — Data Log — Data Log 4）
Data Log Parameter Selection：参数部分选择
Logging Interval：1 min
Logging Mode：2（Logging Scheduler）
Start:：2024/11/15 15:00:00  ——参考值
End：2024/11/15 15:20:00  ——参考值
4、查看Log 4日志记录</t>
  </si>
  <si>
    <t>3、Data Log 4配置成功。上位机提示配置成功，页面无报错。
4、上位机Log4日志从2024/11/15 15:01:00开始记录，1min更新一条，2024/11/15 15:19:00结束记录，之后不再产生日志记录；
记录内容：包含电表所选部分参数，记录参数的max/min/average</t>
  </si>
  <si>
    <t>Function_AcuRev4100_017_04_case3</t>
  </si>
  <si>
    <t>上位机可配置datalog4，对应数据选择部分，使用模式3，日志数据和时间戳记录正常</t>
  </si>
  <si>
    <t>1、连接AcuRev4100电表到Acuview2上，链接状态为connected
2、上位机可配置datalog4（Setting — Data Log — Data Log 4）
Data Log Parameter Selection：参数部分选择
Logging Interval：1 min
Logging Mode：3（Start Logging Time）
Start: From：15:00  
3、查看Log 4日志记录</t>
  </si>
  <si>
    <t>2、Data Log 4配置成功。上位机提示配置成功，页面无报错。
3、上位机Log4日志15:01开始记录日志，1min更新一条
记录内容：包含电表所选部分参数，记录参数的max/min/average</t>
  </si>
  <si>
    <t>Function_AcuRev4100_017_04_case4</t>
  </si>
  <si>
    <t>1、连接AcuRev4100电表到Acuview2上，链接状态为connected
2、上位机上配置Datalog4日志（Logging Mode：1/2/3）
3、Logging Interval：1 min，查看日志记录
4、Logging Interval：5 min，查看日志记录
5、Logging Interval：1440 min，查看日志记录
5、Logging Interval：1441 min，查看日志记录</t>
  </si>
  <si>
    <t>Function_AcuRev4100_017_04_case5</t>
  </si>
  <si>
    <t>Function_AcuRev4100_017_04_case6</t>
  </si>
  <si>
    <t>1、连接AcuRev4100电表到Acuview2上，链接状态为connected
2、上位机可配置datalog4（Setting — Data Log — Data Log 4）
Data Log Parameter Selection：参数部分选择
Logging Interval：1 min
Logging Mode：1（Start Logging Immediately）
3、查看datalog4日志记录</t>
  </si>
  <si>
    <t>Function_AcuRev4100_017_05_case1</t>
  </si>
  <si>
    <t>1、连接AcuRev4100电表到Acuview2上，链接状态为connected，已配置Datalog4日志
2、读取Log4最近50条日志（Reading—Data Log—Data Log4 Reading—Read latest 50 Records）
3、日志少于50条时，读取数据日志，并保存至文件
4、日志大于50条时，读取数据日志，并保存至文件</t>
  </si>
  <si>
    <t>Function_AcuRev4100_017_05_case2</t>
  </si>
  <si>
    <t>1、连接AcuRev4100电表到Acuview2上，链接状态为connected，已配置Datalog4日志
2、读取Log1最近1000条日志（Reading—Data Log—Data Log4 Reading—Read 1000 Records(from selected Record)）
3、日志数量为10条时，日志编号选择5，选择读取1000条数据日志，并保存至文件
4、日志编号选择11，读取1000条数据
5、日志超过1000条时，读取数据日志，并保存至文件</t>
  </si>
  <si>
    <t>Function_AcuRev4100_017_05_case3</t>
  </si>
  <si>
    <t>1、连接AcuRev4100电表到Acuview2上，链接状态为connected，已配置Datalog4日志
2、读取Log1最近6400条日志（Reading—Data Log—Data Log4 Reading—Read 6400 Records(from selected Record)）
3、日志数量为100条时，日志编号选择10，选择读取64000条数据日志，并保存至文件
4、日志编号选择101，读取数据日志</t>
  </si>
  <si>
    <t>Function_AcuRev4100_017_05_case4</t>
  </si>
  <si>
    <t>1、连接AcuRev4100电表到Acuview2上，链接状态为connected，已配置Datalog4日志
2、读取Log1最近1000条日志（Reading—Data Log—Data Log4 Reading—Read 1000 Records(from selected Time)）
3、selected Time为默认选择时间
4、selected Time为日志开始记录时间晚5min，并保存至文件
5、selected Time为日志开始记录时间早5min</t>
  </si>
  <si>
    <t>Function_AcuRev4100_017_05_case5</t>
  </si>
  <si>
    <t>1、连接AcuRev4100电表到Acuview2上，链接状态为connected，已配置Datalog4日志
2、读取Log4最近6400条日志（Reading—Data Log—Data Log4 Reading—Read 6400 Records(from selected Time)）
3、selected Time为默认选择时间
4、selected Time为日志开始记录时间晚5min，并保存至文件
5、selected Time为日志开始记录时间早5min</t>
  </si>
  <si>
    <t>Function_AcuRev4100_017_06_case1</t>
  </si>
  <si>
    <t>1、连接AcuRev4100电表到Acuview2上，链接状态为connected
2、上位机上清除datalog4（Reading—Data Log—Data Log4 Reading—Clear Data Log4）
3、查看datalog4日志
4、查看datalog1/2/3日志</t>
  </si>
  <si>
    <t>Function_AcuRev4100_017_06_case2</t>
  </si>
  <si>
    <t>1、连接AcuRev4100电表到Acuview2上，链接状态为connected
2、上位机上清除datalog4（Reading—Data Log—Data Log4 Reading—Clear Data Log4）
3、查看是否可以重新配置datalog4</t>
  </si>
  <si>
    <t>Function_AcuRev4100_017_06_case3</t>
  </si>
  <si>
    <t>Function_AcuRev4100_017_06_case6</t>
  </si>
  <si>
    <t>1、连接AcuRev4100电表到Acuview2上，链接状态为connected，已配置Datalog1日志
2、读取Log1最近64000条日志（Reading—Data Log—Data Log1 Reading—Read 64000 Records(from selected Record)）
3、日志数量为10000条时，日志编号选择1，选择读取64000条数据日志，并保存至文件</t>
  </si>
  <si>
    <t>Function_AcuRev4100_017_06_case7</t>
  </si>
  <si>
    <t>1、连接AcuRev4100电表到Acuview2上，链接状态为connected，已配置Datalog1日志
2、读取Log1最近64000条日志（Reading—Data Log—Data Log1 Reading—Read 64000 Records(from selected Record)）
3、日志数量为64000条时，日志编号选择1，选择读取64000条数据日志，并保存至文件</t>
  </si>
  <si>
    <t>Function_AcuRev4100_017_06_case4</t>
  </si>
  <si>
    <t>Function_AcuRev4100_017_06_case5</t>
  </si>
  <si>
    <t>1、连接AcuRev4100电表到Acuview2上，连接状态为connected
2、上位机Setting的Datalog1-3和TrendLog页面，分配扇区的输入框提示的数字正确</t>
  </si>
  <si>
    <t>Function_AcuRev4100_018_01_case1</t>
    <phoneticPr fontId="10" type="noConversion"/>
  </si>
  <si>
    <r>
      <t>1、Acuview2上位机</t>
    </r>
    <r>
      <rPr>
        <sz val="10"/>
        <color theme="1"/>
        <rFont val="微软雅黑"/>
        <family val="2"/>
        <charset val="134"/>
      </rPr>
      <t xml:space="preserve">
2、网线/RTU串口线
3、AcuRev4100电表</t>
    </r>
  </si>
  <si>
    <t>1、连接AcuRev4100电表到Acuview2上，链接状态为connected
2、AcuRev4100电表DI1输入20V（dc），模拟DI状态为ON
3、上位机和HMI设置DI1的“DI type”为status Monitor（Setting—IO Module页面）
4、DI1输入0V（dc），模拟改变DI1的状态ON-&gt;OFF 
5、上位机和HMI查看SOE记录（Reading—SOE Log 页面）</t>
  </si>
  <si>
    <t>Function_AcuRev4100_018_01_case2</t>
    <phoneticPr fontId="10" type="noConversion"/>
  </si>
  <si>
    <r>
      <t>1、Acuview2上位机</t>
    </r>
    <r>
      <rPr>
        <sz val="10"/>
        <color theme="1"/>
        <rFont val="微软雅黑"/>
        <family val="2"/>
        <charset val="134"/>
      </rPr>
      <t xml:space="preserve">
2、网线/RTU串口线
3、AcuRev4100电表</t>
    </r>
    <phoneticPr fontId="10" type="noConversion"/>
  </si>
  <si>
    <r>
      <t>1、连接AcuRev4100电表到Acuview2上，链接状态为connected
2、AcuRev4100电表DI1输入0V（dc），模拟DI状态为OFF
3、上位机和HMI设置DI1的“DI type”为</t>
    </r>
    <r>
      <rPr>
        <sz val="10"/>
        <color theme="1"/>
        <rFont val="微软雅黑"/>
        <family val="2"/>
        <charset val="134"/>
      </rPr>
      <t>status Monitor（Setting—IO Module页面）
4、DI1输入20V（dc）， 模拟改变DI1的状态OFF-&gt;ON
5、上位机和HMI查看SOE记录（Reading—SOE Log 页面）</t>
    </r>
    <phoneticPr fontId="10" type="noConversion"/>
  </si>
  <si>
    <t>3、上位机和HMI设置DI1成功，上位机和HMI工具界面无报错
5、DI 状态变化，上位机和HMI会新增记录一条SOE log，DI1 status 为：ON（high）
SOE log包括：时间戳(year, month, day, hour, minute, second, millisecond)、所有DI status正确</t>
    <phoneticPr fontId="10" type="noConversion"/>
  </si>
  <si>
    <t>Function_AcuRev4100_018_01_case3</t>
  </si>
  <si>
    <t>1、连接AcuRev4100电表到Acuview2上，链接状态为connected
2、AcuRev4100电表DI2输入20V（dc），模拟DI状态为ON
3、上位机和HMI设置DI2的“DI type”为status Monitor
4、DI2输入0V（dc），模拟改变DI2的状态ON-&gt;OFF
5、上位机和HMI查看SOE记录</t>
    <phoneticPr fontId="10" type="noConversion"/>
  </si>
  <si>
    <t>Function_AcuRev4100_018_01_case4</t>
  </si>
  <si>
    <t>1、连接AcuRev4100电表到Acuview2上，链接状态为connected
2、AcuRev4100电表D2输入0V（dc），模拟DI状态为OFF
3、上位机和HMI设置DI2的“DI type”为status Monitor
4、DI2输入20V（dc），模拟改变DI2的状态OFF-&gt;ON
5、上位机和HMI查看SOE记录</t>
    <phoneticPr fontId="10" type="noConversion"/>
  </si>
  <si>
    <t>Function_AcuRev4100_018_01_case5</t>
  </si>
  <si>
    <t>1、连接AcuRev4100电表到Acuview2上，链接状态为connected
2、AcuRev4100电表DI3输入20V（dc），模拟DI状态为ON
3、上位机和HMI设置DI3的“DI type”为status Monitor
4、DI3输入0V（dc）, 模拟改变DI3的状态ON-&gt;OFF
5、上位机和HMI查看SOE记录</t>
    <phoneticPr fontId="10" type="noConversion"/>
  </si>
  <si>
    <t>Function_AcuRev4100_018_01_case6</t>
  </si>
  <si>
    <r>
      <t>1、连接AcuRev4100电表到Acuview2上，链接状态为connected
2、AcuRev4100电表DI3输入0V（dc），</t>
    </r>
    <r>
      <rPr>
        <sz val="10"/>
        <color theme="1"/>
        <rFont val="微软雅黑"/>
        <family val="2"/>
        <charset val="134"/>
      </rPr>
      <t>模拟DI状态为OFF
3、上位机和HMI设置DI3的“DI type”为status Monitor
4、改变DI3的状态OFF-&gt;ON （DI3输入20V（dc））
5、上位机和HMI查看SOE记录</t>
    </r>
    <phoneticPr fontId="10" type="noConversion"/>
  </si>
  <si>
    <t>Function_AcuRev4100_018_01_case7</t>
  </si>
  <si>
    <t>上位机和HMI设置DI4的“DI type”为state，输入改变DI4的状态ON-&gt;OFF，上位机和HMI有对应的SOE记录，且SOE的开关和时间戳正确</t>
  </si>
  <si>
    <t>1、连接AcuRev4100电表到Acuview2上，链接状态为connected
2、AcuRev4100电表DI4输入20V（dc），模拟DI状态为ON
3、上位机和HMI设置DI4的“DI type”为status Monitor
4、DI4输入0V（dc）， 模拟改变DI4的状态ON-&gt;OFF
5、上位机和HMI查看SOE记录</t>
    <phoneticPr fontId="10" type="noConversion"/>
  </si>
  <si>
    <t>3、上位机和HMI设置DI4成功，上位机和HMI工具界面无报错
5、DI 状态变化，上位机和HMI会新增记录一条SOE log，DI4 status 为：OFF(low)
SOE log包括：时间戳(year, month, day, hour, minute, second, millisecond)、所有DI status正确</t>
    <phoneticPr fontId="10" type="noConversion"/>
  </si>
  <si>
    <t>Function_AcuRev4100_018_01_case8</t>
  </si>
  <si>
    <t>上位机和HMI设置DI4的“DI type”为state，输入改变DI4的状态OFF-&gt;ON，上位机和HMI有对应的SOE记录，且SOE的开关和时间戳正确</t>
  </si>
  <si>
    <t>1、连接AcuRev4100电表到Acuview2上，链接状态为connected
2、AcuRev4100电表DI4输入0V（dc），模拟DI状态为OFF
3、上位机和HMI设置DI4的“DI type”为status Monitor
4、改变DI4的状态OFF-&gt;ON （DI4输入20V（dc））
5、上位机和HMI查看SOE记录</t>
    <phoneticPr fontId="10" type="noConversion"/>
  </si>
  <si>
    <t>3、上位机和HMI设置DI4成功，上位机和HMI工具界面无报错
5、DI 状态变化，上位机和HMI会新增记录一条SOE log，DI1 status 为：ON(high)
SOE log包括：时间戳(year, month, day, hour, minute, second, millisecond)、所有DI status正确</t>
    <phoneticPr fontId="10" type="noConversion"/>
  </si>
  <si>
    <t>Function_AcuRev4100_018_01_case9</t>
    <phoneticPr fontId="10" type="noConversion"/>
  </si>
  <si>
    <t>上位机和HMI设置DI1、DI2、DI3、DI4的“DI type”为state，输入改变DI1、DI2、DI3、DI4的状态OFF-&gt;ON，上位机和HMI有对应的4条SOE记录，且SOE的开关和时间戳正确</t>
  </si>
  <si>
    <t>1、连接AcuRev4100电表到Acuview2上，链接状态为connected
2、AcuRev4100电表DI1、DI2、DI3、DI4输入0V（dc），模拟DI状态为OFF
3、上位机和HMI设置DI1、DI2、DI3、DI4的“DI type”都为status Monitor
4、改变DI1、DI2、DI3、DI4的输入状态OFF-&gt;ON （DI1、DI2、DI3、DI4输入20V）
5、上位机和HMI查看SOE记录</t>
  </si>
  <si>
    <t>3、上位机和HMI设置DI成功，上位机和HMI工具界面无报错
5、上位机和HMI新增对应的 1  条SOE记录，DI1、DI2、DI3、DI4 status 改变为：ON(high)
SOE log包括：时间戳(year, month, day, hour, minute, second, millisecond)、所有DI status正确</t>
  </si>
  <si>
    <t>Function_AcuRev4100_018_01_case10</t>
  </si>
  <si>
    <r>
      <rPr>
        <sz val="10"/>
        <color theme="1"/>
        <rFont val="微软雅黑"/>
        <family val="2"/>
        <charset val="134"/>
      </rPr>
      <t>上位机和HMI设置DI1、DI2、DI3、DI4的“DI type”为state，输入改变DI1、DI2、DI3、DI4的状态ON-&gt;OFF，上位机和HMI有对应的4条SOE记录，且SOE的开关和时间戳正确</t>
    </r>
  </si>
  <si>
    <t>1、连接AcuRev4100电表到Acuview2上，链接状态为connected
2、AcuRev4100电表DI1、DI2、DI3、DI4输入20V（dc），模拟DI状态为ON
3、上位机和HMIDI1、DI2、DI3、DI4的“DI type”都为status Monitor
4、DI1、DI2、DI3、DI4输入0V, 模拟改变DI1、DI2、DI3、DI4的状态ON-&gt;OFF
5、上位机和HMI查看SOE记录</t>
  </si>
  <si>
    <t>3、上位机和HMI设置DI成功，上位机和HMI工具界面无报错
5、上位机和HMI新增对应的1条SOE记录，DI1、DI2、DI3、DI4 status 改变为：OFF(low)
SOE log包括：时间戳(year, month, day, hour, minute, second, millisecond)、所有DI status正确</t>
  </si>
  <si>
    <t>Function_AcuRev4100_018_01_case11</t>
    <phoneticPr fontId="10" type="noConversion"/>
  </si>
  <si>
    <t>1、Acuview2上位机
2、网线/RTU串口线
3、AcuRev4100电表
4、DI1的“DI type”为state</t>
    <phoneticPr fontId="10" type="noConversion"/>
  </si>
  <si>
    <t>1、连接AcuRev4100电表到Acuview2上，链接状态为connected
2、AcuRev4100电表DI1输入20V（dc），模拟DI状态为ON
3、上位机和HMI设置“Alarm”告警：DI1=“0”（Setting—Alarm 页面）（Pickup Value=0，Dropout Value=1）
4、AcuRev4100电表DI1输入0V（dc）
5、上位机和HMI查看Alarm Log记录告警触发的记录（Reading—Alarm Log 页面）
6、AcuRev4100电表DI1输入20V（dc）
7、上位机和HMI查看Alarm Log记录告警消除的记录（Reading—Alarm Log 页面）</t>
  </si>
  <si>
    <t>Function_AcuRev4100_018_01_case12</t>
  </si>
  <si>
    <t>1、连接AcuRev4100电表到Acuview2上，链接状态为connected
2、AcuRev4100电表DI1输入0V（dc）
3、设置“Alarm”告警：DI1=“1”（Setting—Alarm 页面）（Pickup Value=1，Dropout Value=0）
4、AcuRev4100电表DI1输入20V（dc）
5、上位机和HMI查看Alarm Log记录（Reading—Alarm Log 页面）
6、AcuRev4100电表DI1输入0V（dc）
7、上位机和HMI查看Alarm Log记录告警消除的记录（Reading—Alarm Log 页面）</t>
  </si>
  <si>
    <t>Function_AcuRev4100_018_01_case13</t>
  </si>
  <si>
    <t>1、连接AcuRev4100电表到Acuview2上，链接状态为connected
2、AcuRev4100电表DI2输入20V（dc）
3、上位机和HMI设置“Alarm”告警：DI2=“0”（Setting—Alarm 页面）（Pickup Value=0，Dropout Value=1）
4、AcuRev4100电表DI2输入0V（dc）
5、上位机和HMI查看Alarm Log记录（触发告警）
6、AcuRev4100电表DI2输入20V（dc）
7、上位机和HMI查看Alarm Log记录告警消除的记录（Reading—Alarm Log 页面）</t>
  </si>
  <si>
    <t>Function_AcuRev4100_018_01_case14</t>
  </si>
  <si>
    <t>1、连接AcuRev4100电表到Acuview2上，链接状态为connected
2、AcuRev4100电表DI2输入0V（dc）
3、上位机和HMI设置“Alarm”告警：DI2=“1”
（Setting—Alarm 页面）（Pickup Value=1，Dropout Value=0）
4、AcuRev4100电表DI2输入20V（dc）
5、上位机和HMI查看Alarm Log记录
6、AcuRev4100电表DI2输入0V（dc）
7、上位机和HMI查看Alarm Log记录告警消除的记录（Reading—Alarm Log 页面）</t>
    <phoneticPr fontId="10" type="noConversion"/>
  </si>
  <si>
    <t>Function_AcuRev4100_018_01_case15</t>
  </si>
  <si>
    <t>1、连接AcuRev4100电表到Acuview2上，链接状态为connected
2、AcuRev4100电表DI3输入20V（dc）
3、上位机和HMI设置“Alarm”告警：DI3=“0”
（Setting—Alarm 页面）（Pickup Value=0，Dropout Value=1）
4、AcuRev4100电表DI3输入0V（dc）
5、上位机和HMI查看Alarm Log记录
6、AcuRev4100电表DI3输入20V（dc）
7、上位机和HMI查看Alarm Log记录告警消除的记录（Reading—Alarm Log 页面）</t>
  </si>
  <si>
    <t>Function_AcuRev4100_018_01_case16</t>
  </si>
  <si>
    <r>
      <t xml:space="preserve">1、连接AcuRev4100电表到Acuview2上，链接状态为connected
2、AcuRev4100电表DI3输入0V（dc）
</t>
    </r>
    <r>
      <rPr>
        <sz val="10"/>
        <color theme="1"/>
        <rFont val="微软雅黑"/>
        <family val="2"/>
        <charset val="134"/>
      </rPr>
      <t>（Setting—Alarm 页面）（Pickup Value=1，Dropout Value=0）
3、上位机和HMI设置“Alarm”告警：DI3=“1”
4、AcuRev4100电表DI3输入20V（dc）
5、上位机和HMI查看Alarm Log记录
6、AcuRev4100电表DI3输入0V（dc）
7、上位机和HMI查看Alarm Log记录告警消除的记录（Reading—Alarm Log 页面）</t>
    </r>
    <phoneticPr fontId="10" type="noConversion"/>
  </si>
  <si>
    <t>3、上位机和HMI设置Alarm成功，上位机和HMI工具界面无报错
5、上位机和HMI新增1条Alarm Log记录：
DI3  Value：1
DI3 status 为：OFF
status: start, Ex Value1：1.000
时间戳(year, month, day, hour, minute, second, millisecond)
7、上位机和HMI新增1条Alarm Log记录：
status: end,  Ex Value1：1.000
时间戳(year, month, day, hour, minute, second, millisecond)</t>
    <phoneticPr fontId="10" type="noConversion"/>
  </si>
  <si>
    <t>Function_AcuRev4100_018_01_case17</t>
  </si>
  <si>
    <t>上位机和HMI设置DI4的“DI type”为state，输入改变DI1的状态ON-&gt;OFF，上位机和HMI有对应的Alarm log记录，且DI的值、状态和时间戳正确</t>
  </si>
  <si>
    <t>1、连接AcuRev4100电表到Acuview2上，链接状态为connected
2、AcuRev4100电表DI4输入20V（dc）
3、上位机和HMI设置“Alarm”告警：DI4=“0”
（Setting—Alarm 页面）（Pickup Value=0，Dropout Value=1）
4、AcuRev4100电表DI4输入0V（dc）
5、上位机和HMI查看Alarm Log记录
6、AcuRev4100电表DI4输入20V（dc）
7、上位机和HMI查看Alarm Log记录告警消除的记录（Reading—Alarm Log 页面）</t>
  </si>
  <si>
    <t>3、上位机和HMI设置Alarm成功，上位机和HMI工具界面无报错
5、上位机和HMI新增1条Alarm Log记录：
DI4  Value：0
DI4 status 为：OFF
status: start, Ex Value1：0.000
时间戳(year, month, day, hour, minute, second, millisecond)
7、上位机和HMI新增1条Alarm Log记录：
status: end,  Ex Value1：0.000
时间戳(year, month, day, hour, minute, second, millisecond)</t>
  </si>
  <si>
    <t>Function_AcuRev4100_018_01_case18</t>
  </si>
  <si>
    <t>上位机和HMI设置DI4的“DI type”为state，输入改变DI1的状态OFF-&gt;ON，上位机和HMI有对应的Alarm log记录，且DI的值、状态和时间戳正确</t>
    <phoneticPr fontId="10" type="noConversion"/>
  </si>
  <si>
    <t>1、连接AcuRev4100电表到Acuview2上，链接状态为connected
2、AcuRev4100电表DI4输入0V（dc）
3、上位机和HMI设置“Alarm”告警：DI4=“1”
（Setting—Alarm 页面）（Pickup Value=1，Dropout Value=0）
4、AcuRev4100电表DI4输入20V（dc）
5、上位机和HMI查看Alarm Log记录
6、AcuRev4100电表DI4输入0V（dc）
7、上位机和HMI查看Alarm Log记录告警消除的记录（Reading—Alarm Log 页面）</t>
  </si>
  <si>
    <t>3、上位机和HMI设置Alarm成功，上位机和HMI工具界面无报错
5、上位机和HMI新增1条Alarm Log记录：
DI4  Value：1
DI4 status 为：ON
status: start, Ex Value1：1.000
时间戳(year, month, day, hour, minute, second, millisecond)
7、上位机和HMI新增1条Alarm Log记录：
status: end,  Ex Value1：1.000
时间戳(year, month, day, hour, minute, second, millisecond)</t>
  </si>
  <si>
    <t>Function_AcuRev4100_018_01_case19</t>
  </si>
  <si>
    <t>上位机和HMI设置DI1、DI2、DI3、DI4的“DI type”为state，输入改变DI1、DI2、DI3、DI4的状态ON-&gt;OFF，上位机和HMI有对应的4条Alarm log记录，且DI的值、状态和时间戳正确</t>
  </si>
  <si>
    <t>1、连接AcuRev4100电表到Acuview2上，链接状态为connected
2、AcuRev4100电表DI1、DI2、DI3、DI4输入20V（dc）
3、上位机和HMI设置“Alarm”告警：DI1、DI2、DI3、DI4=“0”
（Setting—Alarm 页面）（Pickup Value=0，Dropout Value=1）
4、AcuRev4100电表DI1、DI2、DI3、DI4输入0V（dc）
5、上位机和HMI查看Alarm Log记录触发告警
6、AcuRev4100电表DI1、DI2、DI3、DI4输入20V（dc）
7、上位机和HMI查看Alarm Log记录消除告警</t>
  </si>
  <si>
    <t>3、上位机和HMI设置Alarm成功，上位机和HMI工具界面无报错
5、上位机和HMI新增4条Alarm Log记录：
DI1、DI2、DI3、DI4  Value：0
DI1、DI2、DI3、DI4 status 为：OFF
status: start, Ex Value1：0.000
时间戳(year, month, day, hour, minute, second, millisecond)
7、上位机和HMI新增4条Alarm Log记录：
status: end,  Ex Value1：0.000
时间戳(year, month, day, hour, minute, second, millisecond)</t>
  </si>
  <si>
    <t>Function_AcuRev4100_018_01_case20</t>
  </si>
  <si>
    <t>上位机和HMI设置DI1、DI2、DI3、DI4的“DI type”为state，输入改变DI1、DI2、DI3、DI4的状态OFF-&gt;ON，上位机和HMI有对应的4条Alarm log记录，且DI的值、状态和时间戳正确</t>
  </si>
  <si>
    <t>1、连接AcuRev4100电表到Acuview2上，链接状态为connected
2、AcuRev4100电表DI1、DI2、DI3、DI4输入0V（dc）
3、上位机和HMI设置“Alarm”告警：DI1、DI2、DI3、DI4=“1”
（Setting—Alarm 页面）（Pickup Value=1，Dropout Value=0）
4、AcuRev4100电表DI1、DI2、DI3、DI4输入20V（dc）
5、上位机和HMI查看Alarm Log记录
6、AcuRev4100电表DI1、DI2、DI3、DI4输入0V（dc）
7、上位机和HMI查看Alarm Log记录消除告警</t>
  </si>
  <si>
    <t>3、上位机和HMI设置Alarm成功，上位机和HMI工具界面无报错
5、上位机和HMI新增4条Alarm Log记录：
DI1、DI2、DI3、DI4  Value：1
DI1、DI2、DI3、DI4 status 为：ON
status: start, Ex Value1：1.000
时间戳(year, month, day, hour, minute, second, millisecond)
7、上位机和HMI新增4条Alarm Log记录：
status: end,  Ex Value1：1.000
时间戳(year, month, day, hour, minute, second, millisecond)</t>
  </si>
  <si>
    <t>Function_AcuRev4100_018_01_case21</t>
  </si>
  <si>
    <t>1、连接AcuRev4100电表到Acuview2上，链接状态为connected
2、上位机和HMI设置DI1的“DI type”为Pluse Counter，“DI Pluse Const”为1（Setting—IO Module页面）
3、DI1输入1个脉冲信号（20V（dc），大于5ms开和大于5ms关）
4、上位机和HMI查看的DI1 counter计数（Reading—IO Module Reading页面）
注：这里的脉冲开关时间（周期）待定，按功能要求大于5ms即可
脉冲构造方法: 通过20V电源开关，产生远远大于5ms的脉冲。</t>
  </si>
  <si>
    <t>Function_AcuRev4100_018_01_case22</t>
  </si>
  <si>
    <t>1、连接AcuRev4100电表到Acuview2上，链接状态为connected
2、上位机和HMI设置DI1的“DI type”为Counter，“DI Pluse Const”为1
3、DI1输入2个脉冲信号（20V（dc），大于5ms开和大于5ms关）
4、上位机和HMI查看的DI1 counter计数（Reading—IO Module Reading页面）
注：这里的脉冲开关时间（周期）待定，按功能要求大于5ms即可</t>
  </si>
  <si>
    <t>2、上位机和HMI设置DI1成功，显示“DI type”为Counter，“DI Pluse Const”为1，上位机和HMI工具界面无报错
4、上位机和HMI DI1 counter计数加2</t>
    <phoneticPr fontId="10" type="noConversion"/>
  </si>
  <si>
    <t>Function_AcuRev4100_018_01_case22_01</t>
  </si>
  <si>
    <t>Function_AcuRev4100_018_01_case23</t>
    <phoneticPr fontId="10" type="noConversion"/>
  </si>
  <si>
    <t>1、连接AcuRev4100电表到Acuview2上，链接状态为connected
2、上位机和HMI设置DI1的“DI type”为Counter，“DI Pluse Const”为2
3、DI1输入2 个脉冲信号（20V（dc），大于5ms开和大于5ms关）
4、上位机和HMI查看的DI1 counter计数（Reading—IO Module Reading页面）
注：这里的脉冲开关时间（周期）待定，按功能要求大于5ms即可</t>
  </si>
  <si>
    <r>
      <t>2、上位机和HMI设置DI1成功，显示“DI type”为Counter，“DI Pluse Const”为2，上位机和HMI工具界面无报错
4、上位机和HMI DI1 counter计数加</t>
    </r>
    <r>
      <rPr>
        <sz val="10"/>
        <color theme="1"/>
        <rFont val="微软雅黑"/>
        <family val="2"/>
        <charset val="134"/>
      </rPr>
      <t>4</t>
    </r>
    <phoneticPr fontId="10" type="noConversion"/>
  </si>
  <si>
    <t>Function_AcuRev4100_018_01_case24</t>
  </si>
  <si>
    <t>1、连接AcuRev4100电表到Acuview2上，链接状态为connected
2、上位机和HMI设置DI2的“DI type”为Counter，“DI Pluse Const”为1
3、DI2输入1个脉冲信号（20V（dc），大于5ms开和大于5ms关）
4、上位机和HMI查看的DI2 counter计数（Reading—IO Module Reading页面）
注：这里的脉冲开关时间（周期）待定，按功能要求大于5ms即可</t>
  </si>
  <si>
    <t>Function_AcuRev4100_018_01_case25</t>
  </si>
  <si>
    <t>1、连接AcuRev4100电表到Acuview2上，链接状态为connected
2、上位机和HMI设置DI2的“DI type”为Counter，“DI Pluse Const”为1
3、DI2输入2个脉冲信号（20V（dc），大于5ms开和大于5ms关）
4、上位机和HMI查看的DI2 counter计数（Reading—IO Module Reading页面）
注：这里的脉冲开关时间（周期）待定，按功能要求大于5ms即可</t>
    <phoneticPr fontId="10" type="noConversion"/>
  </si>
  <si>
    <t>Function_AcuRev4100_018_01_case26</t>
  </si>
  <si>
    <t>1、连接AcuRev4100电表到Acuview2上，链接状态为connected
2、上位机和HMI设置DI2的“DI type”为Counter，“DI Pluse Const”为 0.1
3、DI2输入2个脉冲信号（20V（dc），大于5ms开和大于5ms关）
4、上位机和HMI查看的DI2 counter计数（Reading—IO Module Reading页面）
注：这里的脉冲开关时间（周期）待定，按功能要求大于5ms即可</t>
  </si>
  <si>
    <r>
      <t>2、上位机和HMI设置DI2成功，显示“DI type”为Counter，“DI Pluse Const”为</t>
    </r>
    <r>
      <rPr>
        <sz val="10"/>
        <color theme="1"/>
        <rFont val="微软雅黑"/>
        <family val="2"/>
        <charset val="134"/>
      </rPr>
      <t>0.1，上位机和HMI工具界面无报错
4、上位机和HMI DI2 counter计数加 0.2</t>
    </r>
    <phoneticPr fontId="10" type="noConversion"/>
  </si>
  <si>
    <t>Function_AcuRev4100_018_01_case27</t>
  </si>
  <si>
    <t>1、连接AcuRev4100电表到Acuview2上，链接状态为connected
2、上位机和HMI设置DI3的“DI type”为Counter，“DI Pluse Const”为1
3、DI3输入1个脉冲信号（20V（dc），大于5ms开和大于5ms关）
4、上位机和HMI查看的DI3 counter计数（Reading—IO Module Reading页面）
注：这里的脉冲开关时间（周期）待定，按功能要求大于5ms即可</t>
    <phoneticPr fontId="10" type="noConversion"/>
  </si>
  <si>
    <t>Function_AcuRev4100_018_01_case27_1</t>
    <phoneticPr fontId="10" type="noConversion"/>
  </si>
  <si>
    <t>1、连接AcuRev4100电表到Acuview2上，链接状态为connected
2、检查上位机DI的脉冲常数是否精确到3位小数。</t>
    <phoneticPr fontId="10" type="noConversion"/>
  </si>
  <si>
    <t>Function_AcuRev4100_018_01_case28</t>
  </si>
  <si>
    <t>1、连接AcuRev4100电表到Acuview2上，链接状态为connected
2、上位机和HMI设置DI3的“DI type”为Counter，“DI Pluse Const”为1
3、DI3输入2个脉冲信号（20V（dc），大于5ms开和大于5ms关）
4、上位机和HMI查看的DI3 counter计数（Reading—IO Module Reading页面）
注：这里的脉冲开关时间（周期）待定，按功能要求大于5ms即可</t>
  </si>
  <si>
    <t>Function_AcuRev4100_018_01_case29</t>
  </si>
  <si>
    <t>1、连接AcuRev4100电表到Acuview2上，链接状态为connected
2、上位机和HMI设置DI3的“DI type”为Counter，“DI Pluse Const”为 100000
3、DI3输入 1个脉冲信号（20V（dc），大于5ms开和大于5ms关）
4、上位机和HMI查看的DI3 counter计数（Reading—IO Module Reading页面）
注：这里的脉冲开关时间（周期）待定，按功能要求大于5ms即可</t>
  </si>
  <si>
    <t>Function_AcuRev4100_018_01_case30</t>
  </si>
  <si>
    <t>上位机和HMI设置DI4的“DI type”为Counter，“DI Pluse Const”为1，DI4输入1个脉冲信号，上位机和HMI上DI的DIcounter为1</t>
  </si>
  <si>
    <t>1、连接AcuRev4100电表到Acuview2上，链接状态为connected
2、上位机和HMI设置DI4的“DI type”为Counter，“DI Pluse Const”为1
3、DI4输入1个脉冲信号（20V（dc），大于5ms开和大于5ms关）
4、上位机和HMI查看的DI4 counter计数（Reading—IO Module Reading页面）</t>
  </si>
  <si>
    <t>2、上位机和HMI设置DI4成功，显示“DI type”为Counter，“DI Pluse Const”为1，上位机和HMI工具界面无报错
4、上位机和HMI DI4 counter计数加1</t>
  </si>
  <si>
    <t>Function_AcuRev4100_018_01_case31</t>
  </si>
  <si>
    <t>上位机和HMI设置DI4的“DI type”为Counter，“DI Pluse Const”为1，DI4输入2个脉冲信号，上位机和HMI上DI的DIcounter为2</t>
  </si>
  <si>
    <t>1、连接AcuRev4100电表到Acuview2上，链接状态为connected
2、上位机和HMI设置DI4的“DI type”为Counter，“DI Pluse Const”为1
3、DI4输入2个脉冲信号（20V（dc），大于5ms开和大于5ms关）
4、上位机和HMI查看的DI4 counter计数（Reading—IO Module Reading页面）
注：这里的脉冲开关时间（周期）待定，按功能要求大于5ms即可</t>
  </si>
  <si>
    <t>2、上位机和HMI设置DI4成功，显示“DI type”为Counter，“DI Pluse Const”为1，上位机和HMI工具界面无报错
4、上位机和HMI DI4 counter计数加2</t>
  </si>
  <si>
    <t>Function_AcuRev4100_018_01_case32</t>
  </si>
  <si>
    <t>上位机和HMI设置DI4的“DI type”为Counter，“DI Pluse Const”为2，DI4输入2个脉冲信号，上位机和HMI上DI的DIcounter为1</t>
  </si>
  <si>
    <t>1、连接AcuRev4100电表到Acuview2上，链接状态为connected
2、上位机和HMI设置DI4的“DI type”为Counter，“DI Pluse Const”为10
3、DI4输入2个脉冲信号（20V（dc），大于5ms开和大于5ms关）
4、上位机和HMI查看的DI4 counter计数（Reading—IO Module Reading页面）
注：这里的脉冲开关时间（周期）待定，按功能要求大于5ms即可</t>
  </si>
  <si>
    <t>2、上位机和HMI设置DI4成功，显示“DI type”为Counter，“DI Pluse Const”为10，上位机和HMI工具界面无报错
4、上位机和HMI DI4 counter计数加20</t>
    <phoneticPr fontId="10" type="noConversion"/>
  </si>
  <si>
    <t>Function_AcuRev4100_018_01_case33</t>
  </si>
  <si>
    <t>上位机和HMI设置DI1、DI2、DI3、DI4的“DI type”为Counter，“DI Pluse Const”为1，DI1、DI2、DI3、DI4同时输入1个脉冲信号，上位机和HMI上DI1、DI2、DI3、DI4的DIcounter为1</t>
  </si>
  <si>
    <t>1、连接AcuRev4100电表到Acuview2上，链接状态为connected
2、上位机和HMI设置DI1、DI2、DI3、DI4的“DI type”为Counter，“DI Pluse Const”为1
3、DI1、DI2、DI3、DI4同时输入1个脉冲信号（20V（dc），大于5ms开和大于5ms关）
4、上位机和HMI查看的DI1、DI2、DI3、DI4 counter计数（Reading—IO Module Reading页面）
注：这里的脉冲开关时间（周期）待定，按功能要求大于5ms即可</t>
  </si>
  <si>
    <t>2、上位机和HMI设置DI1、DI2、DI3、DI4成功，显示“DI type”为Counter，“DI Pluse Const”为1，上位机和HMI工具界面无报错
4、上位机和HMI DI1、DI2、DI3、DI4 counter计数都加1</t>
  </si>
  <si>
    <t>Function_AcuRev4100_018_01_case34</t>
  </si>
  <si>
    <t>上位机和HMI设置DI1、DI2、DI3、DI4的“DI type”为Counter，“DI Pluse Const”为1，DI1、DI2、DI3、DI4同时输入2个脉冲信号，上位机和HMI上DI的DIcounter为2，且DI状态正</t>
  </si>
  <si>
    <t>1、连接AcuRev4100电表到Acuview2上，链接状态为connected
2、上位机和HMI设置DI1、DI2、DI3、DI4的“DI type”为Counter，“DI Pluse Const”为1
3、DI1、DI2、DI3、DI4同时输入2个脉冲信号（20V（dc），5ms开和5ms关）
4、上位机和HMI查看的DI1、DI2、DI3、DI4 counter计数（Reading—IO Module Reading页面）
注：这里的脉冲开关时间（周期）待定，按功能要求大于5ms即可</t>
  </si>
  <si>
    <t>2、上位机和HMI设置DI1、DI2、DI3、DI4成功，显示“DI type”为Counter，“DI Pluse Const”为1，上位机和HMI工具界面无报错
4、上位机和HMI DI1、DI2、DI3、DI4 counter计数都加2</t>
  </si>
  <si>
    <t>Function_AcuRev4100_018_01_case35</t>
  </si>
  <si>
    <t>上位机和HMI设置DI1、DI2、DI3、DI4的“DI type”为Counter，“DI Pluse Const”为2，DI1、DI2、DI3、DI4同时输入2个脉冲信号，上位机和HMI上DI的DIcounter为1，且DI状态正确</t>
  </si>
  <si>
    <t>1、连接AcuRev4100电表到Acuview2上，链接状态为connected
2、上位机和HMI设置DI1、DI2、DI3、DI4的“DI type”为Counter，“DI Pluse Const”为2
3、DI1、DI2、DI3、DI4同时输入2个脉冲信号（20V（dc），大于5ms开和大于5ms关）
4、上位机和HMI查看的DI1、DI2、DI3、DI4 counter计数（Reading—IO Module Reading页面）
注：这里的脉冲开关时间（周期）待定，按功能要求大于5ms即可</t>
  </si>
  <si>
    <r>
      <t>2、上位机和HMI设置DI1、DI2、DI3、DI4成功，显示“DI type”为Counter，“DI Pluse Const”为2，上位机和HMI工具界面无报错
4、上位机和HMI DI1、DI2、DI3、DI4 counter计数都加</t>
    </r>
    <r>
      <rPr>
        <sz val="10"/>
        <color theme="1"/>
        <rFont val="微软雅黑"/>
        <family val="2"/>
        <charset val="134"/>
      </rPr>
      <t xml:space="preserve"> 4</t>
    </r>
    <phoneticPr fontId="10" type="noConversion"/>
  </si>
  <si>
    <t>Function_AcuRev4100_018_01_case35</t>
    <phoneticPr fontId="10" type="noConversion"/>
  </si>
  <si>
    <t>1、连接AcuRev4100电表到Acuview2上，链接状态为connected
2、上位机和HMI设置DI1、DI2、DI3、DI4的“DI Pluse Const”为0.1
3、上位机和HMI设置DI1、DI2、DI3、DI4的“DI Pluse Const”为10
4、上位机和HMI设置DI1、DI2、DI3、DI4的“DI Pluse Const”为100000
5、上位机和HMI设置DI1、DI2、DI3、DI4的“DI Pluse Const”为0.01
6、上位机和HMI设置DI1、DI2、DI3、DI4的“DI Pluse Const”为100000.1</t>
  </si>
  <si>
    <t>Function_AcuRev4100_018_01_case36</t>
    <phoneticPr fontId="10" type="noConversion"/>
  </si>
  <si>
    <t>1、连接AcuRev4100电表到Acuview2上，链接状态为connected，电表非铅封状态
2、上位机和HMI上重置DI counter数据（Reading—IO Module Reading页面，点击Clear DI counter）</t>
    <phoneticPr fontId="10" type="noConversion"/>
  </si>
  <si>
    <r>
      <t>3、DI counter数据清除成功，DI counter：0，上位机</t>
    </r>
    <r>
      <rPr>
        <sz val="10"/>
        <color theme="1"/>
        <rFont val="微软雅黑"/>
        <family val="2"/>
        <charset val="134"/>
      </rPr>
      <t>和HMI</t>
    </r>
    <r>
      <rPr>
        <sz val="10"/>
        <color theme="1"/>
        <rFont val="微软雅黑"/>
        <family val="2"/>
      </rPr>
      <t>工具界面无报错</t>
    </r>
    <phoneticPr fontId="10" type="noConversion"/>
  </si>
  <si>
    <t>Function_AcuRev4100_018_01_case37</t>
  </si>
  <si>
    <t>1、连接AcuRev4100电表到Acuview2上，链接状态为connected，电表非铅封状态
2、记录当前所有DI counter数据，上位机和HMIIO Module Reading页面查看DI counter值
3、电表上下电
4、查看所有DI counter数据是否丢失，上位机和HMI再次查看IO Module Reading页面DI counter值</t>
  </si>
  <si>
    <t>Function_AcuRev4100_018_01_case38</t>
  </si>
  <si>
    <t>Function_AcuRev4100_018_01_case39</t>
    <phoneticPr fontId="10" type="noConversion"/>
  </si>
  <si>
    <t>电表最多携带配置4个DI，modbus接口验证</t>
    <phoneticPr fontId="10" type="noConversion"/>
  </si>
  <si>
    <t>1、观测电表外观，是否只存在4个DI硬件接口
2、使用串口工具（Sscom），是否能正常读取4个DI pulse count或Status寄存器。（4个DI可正常使用）
读DI1 pulse count：01 03 64 00 00 02
读DI2 pulse count：01 03 64 02 00 02
读DI3 pulse count：01 03 64 04 00 02
读DI4 pulse count：01 03 64 06 00 02
读出的值需要乘以pulseconstant的值</t>
  </si>
  <si>
    <t>1、电表外观，只存在4个DI硬件接口
2、使用串口工具（Sscom），读取4个DI pulse count或Status寄存器成功</t>
  </si>
  <si>
    <t>Function_AcuRev4100_018_01_case40</t>
  </si>
  <si>
    <r>
      <t>1、Acuview2上位机</t>
    </r>
    <r>
      <rPr>
        <sz val="10"/>
        <color theme="1"/>
        <rFont val="微软雅黑"/>
        <family val="2"/>
        <charset val="134"/>
      </rPr>
      <t xml:space="preserve">
2、网线/RTU串口线
3、AcuRev4100电表
4、“DI type”为state</t>
    </r>
  </si>
  <si>
    <t>1、连接AcuRev4100电表到Acuview2上，链接状态为connected
2、“DI type”为State monitor，电表DI1、DI2、DI3、DI4 输入电压改变：0V-&gt;15V（DC）
3、上位机和HMI查看SOE记录</t>
  </si>
  <si>
    <t>3、DI 状态变化，上位机和HMI会新增记录1条SOE log，DI1、DI2、DI3、DI4 status 改变为：ON</t>
  </si>
  <si>
    <t>Function_AcuRev4100_018_01_case41</t>
  </si>
  <si>
    <t>1、Acuview2上位机
2、网线/RTU串口线
3、AcuRev4100电表
4、“DI type”为state</t>
  </si>
  <si>
    <t>1、连接AcuRev4100电表到Acuview2上，链接状态为connected
2、“DI type”为state，电表DI1、DI2、DI3、DI4 输入电压改变：15V-&gt;5V（DC）
3、上位机和HMI查看SOE记录</t>
  </si>
  <si>
    <t>3、DI 状态变化，上位机和HMI会新增记录1条SOE log，DI1、DI2、DI3、DI4 status 改变为：OFF
注：DC电源降压时存在抖动，可能产生4条SOE log，这里测试目的是5V时观察DI的状态是否发生改变，发生改变passed</t>
  </si>
  <si>
    <t>Function_AcuRev4100_018_01_case42</t>
  </si>
  <si>
    <t>DI 外部电源电压范围验证，20～160V DC</t>
    <phoneticPr fontId="10" type="noConversion"/>
  </si>
  <si>
    <t>1、连接AcuRev4100电表到Acuview2上，链接状态为connected
2、电表DI1、DI2、DI3、DI4输入电压改变：0V-&gt;20V（DC）
3、电表DI1、DI2、DI3、DI4 输入电压改变：0V-&gt;60V（DC）
4、电表DI1、DI2、DI3、DI4 输入电压改变：0V-&gt;72V（DC）
5、电表DI1、DI2、DI3、DI4 输入电压改变：0V-&gt;20V（AC）
6、电表DI1、DI2、DI3、DI4 输入电压改变：0V-&gt;33V（AC）
2025/4/28:与范工确认最大电压支持60V DC，33V AC
交流9V-33V均能</t>
  </si>
  <si>
    <t>3、上位机和HMI新增记录1条SOE log，DI1、DI2、DI3、DI4 status 改变为：ON
4、上位机和HMI新增记录1条SOE log，DI1、DI2、DI3、DI4 status 改变为：ON
5、上位机和HMI新增记录1条SOE log，DI1、DI2、DI3、DI4 status 改变为：ON</t>
  </si>
  <si>
    <t>Function_AcuRev4100_018_01_case43</t>
  </si>
  <si>
    <t xml:space="preserve">1、连接AcuRev4100电表到Acuview2上，链接状态为connected
2、上位机和HMI设置DI1、DI2、DI3、DI4的“DI type”为Counter，“DI Pluse Const”为1
3、 接入直流源将环境搭建好后，给IOM单板上电
4、 等待6s左右后，绿色灯开始闪烁
5、4100单板连接上位机，等绿色灯常亮后，观察DI 1-4计数是否为700次
</t>
  </si>
  <si>
    <t>3、DI 1-4计数为700次</t>
  </si>
  <si>
    <t>Function_AcuRev4100_018_01_case44</t>
  </si>
  <si>
    <t xml:space="preserve">1、连接AcuRev4100电表到Acuview2上，链接状态为connected
2、上位机和HMI设置DI1、DI2、DI3、DI4的“DI type”为Counter，“DI Pluse Const”为1
3、 接入交流源将环境搭建好后，给IOM单板上电
4、 等待6s左右后，绿色灯开始闪烁
5、4100单板连接上位机，等绿色灯常亮后，观察DI 1-4计数是否为700次
</t>
  </si>
  <si>
    <t>Function_AcuRev4100_018_02_case1</t>
    <phoneticPr fontId="10" type="noConversion"/>
  </si>
  <si>
    <t>上位机和HMI设置DO的“DO type”为Alarm，alarm栏配置告警门限值并勾选"To DOxx"，告警触发时候DOxx值为高电平(逻辑1)，告警消除时候DOxx值为低电平(逻辑0)。</t>
  </si>
  <si>
    <t>1、连接AcuRev4100电表到Acuview2上，链接状态为connected
2、上位机和HMI设置DO的“DO type”为Alarm（Setting—IO Module页面）
3、alarm栏配置告警门限值并勾选"To DOxx"
4、当告警触发时，观测对应DO值是否高电平(逻辑1)
5、当告警消除时，观测对应DO值是否低电平(逻辑0)
注：alarm在告警模块覆盖，此处只考虑告警后触发DO状态</t>
  </si>
  <si>
    <t>Function_AcuRev4100_018_02_case2</t>
  </si>
  <si>
    <t>上位机和HMI设置DO的“DO type”为Alarm，alarm栏配置告警门限值并勾选"To DOxx"，配置2个，告警触发时候DOxx值均为高电平(逻辑1)，告警消除时候DOxx值均为低电平(逻辑0)。</t>
  </si>
  <si>
    <t>1、连接AcuRev4100电表到Acuview2上，链接状态为connected
2、上位机和HMI设置DO的“DO type”为Alarm（Setting—IO Module页面）
3、alarm栏配置告警门限值并勾选"To DOxx"，配置2个
4、当告警触发时，观测对应2个DOxx值是否高电平(逻辑1)
5、当告警消除时，观测对应2个DOxx值是否低电平(逻辑0)
注：alarm在告警模块覆盖，此处只考虑告警后触发DO状态</t>
  </si>
  <si>
    <t xml:space="preserve">2、上位机和HMI设置“DO type”为Alarm成功，界面无报错
4、当告警触发时，观测对应2个DO值是高电平(逻辑1)
5、当告警消除时，观测对应2个DO值是低电平(逻辑0)
</t>
    <phoneticPr fontId="10" type="noConversion"/>
  </si>
  <si>
    <t>Function_AcuRev4100_018_02_case3</t>
  </si>
  <si>
    <t>上位机和HMI设置DO的“DO type”为Alarm，alarm栏配置告警门限值并勾选"To DOxx"，配置8个，告警触发时候DOxx值均为高电平(逻辑1)，告警消除时候DOxx值均为低电平(逻辑0)。</t>
  </si>
  <si>
    <t>1、连接AcuRev4100电表到Acuview2上，链接状态为connected
2、上位机和HMI设置DO的“DO type”为Alarm（Setting—IO Module页面）
3、alarm栏配置告警门限值并勾选"To DOxx"，配置8个
4、当告警触发时，观测对应8个DOxx值是否高电平(逻辑1)
5、当告警消除时，观测对应8个DOxx值是否低电平(逻辑0)
注：alarm在告警模块覆盖，此处只考虑告警后触发DO状态</t>
  </si>
  <si>
    <t>2、上位机和HMI设置“DO type”为Alarm成功，界面无报错
4、当告警触发时，观测对应8个DO值是高电平(逻辑1)
5、当告警消除时，观测对应8个DO值是低电平(逻辑0)
备注: 可使用DI触发告警， 进而触发DO</t>
    <phoneticPr fontId="10" type="noConversion"/>
  </si>
  <si>
    <t>Function_AcuRev4100_018_02_case4</t>
    <phoneticPr fontId="10" type="noConversion"/>
  </si>
  <si>
    <t>1、连接AcuRev4100电表到Acuview2上，链接状态为connected
2、上位机和HMI设置DO的“DO type”为Energy Pluse（Setting—IO Module页面）
3、上位机和HMI中设置DO1  parameter：1，Pluse Width选择20ms
4、使用校表台测出脉冲常数精度，输入：200V，5A，夹角0°，脉冲常数配置3600，示波器抓取波形
注：这里能量脉冲常数精度测量参考脉冲常数章节，后续更新具体方法
paramter 1 表示有功电能
3600s 对应一度电， 闪灯3600个， 即为1s闪一次</t>
  </si>
  <si>
    <t>Function_AcuRev4100_018_02_case5</t>
  </si>
  <si>
    <t>1、连接AcuRev4100电表到Acuview2上，链接状态为connected
2、上位机和HMI设置DO的“DO type”为Energy Pluse（Setting—IO Module页面）
3、上位机和HMI 设置DO1  parameter：1,Pluse Width选择2000ms
4、使用校表台测出脉冲常数精度，输入：200V，5A，夹角0°，脉冲常数配置1200，示波器抓取波形
注：这里能量脉冲常数精度测量参考脉冲常数章节，后续更新具体方法</t>
  </si>
  <si>
    <t>Function_AcuRev4100_018_02_case6</t>
  </si>
  <si>
    <t>上位机和HMI设置DO的“DO type”为Energy Pluse，“DO1  parameter：1（A项有功输入）,Pluse Width选择3000ms，观察是否有3000ms脉冲。</t>
    <phoneticPr fontId="10" type="noConversion"/>
  </si>
  <si>
    <t>1、连接AcuRev4100电表到Acuview2上，链接状态为connected
2、上位机和HMI设置DO的“DO type”为Energy Pluse（Setting—IO Module页面）
3、上位机和HMI设置DO1  parameter：1,Pluse Width选择3000ms
4、使用校表台测出脉冲常数精度，输入：200V，5A，夹角0°，脉冲常数配置600，示波器抓取波形
注：这里能量脉冲常数精度测量参考脉冲常数章节，后续更新具体方法</t>
  </si>
  <si>
    <t>Function_AcuRev4100_018_02_case7</t>
  </si>
  <si>
    <t>上位机和HMI设置DO的“DO type”为Energy Pluse，alarm栏配置告警门限值勾选"To DOxx"，“Energy Pluse”中DO1OutPut为EP_Export,DO2OutPut为EP_Export,Pluse Width选择2000ms，观察是否有2000ms脉冲。</t>
  </si>
  <si>
    <t>1、连接AcuRev4100电表到Acuview2上，链接状态为connected
2、上位机和HMI设置DO的“DO type”为Energy Pluse（Setting—IO Module页面）
3、上位机和HMI“设置DO1  parameter：5,Pluse Width选择2000ms
4、使用校表台测出脉冲常数精度，输入：200V，5A，夹角0°，脉冲常数配置1200，示波器抓取波形
注：这里能量脉冲常数精度测量参考脉冲常数章节，后续更新具体方法</t>
  </si>
  <si>
    <t>Function_AcuRev4100_018_02_case8</t>
  </si>
  <si>
    <t>上位机和HMI设置DO的“DO type”为Energy Pluse，“DO2  parameter：1（A项有功输入）Pluse Width选择2000ms，观察是否有2000ms脉冲。</t>
  </si>
  <si>
    <t>1、连接AcuRev4100电表到Acuview2上，链接状态为connected
2、上位机和HMI设置DO的“DO type”为Energy Pluse（Setting—IO Module页面）
3、上位机和HMI设置DO2  parameter：1,Pluse Width选择2000ms
4、使用校表台测出脉冲常数精度，输入：200V，5A，夹角0°，脉冲常数配置1200，示波器抓取波形
注：这里能量脉冲常数精度测量参考脉冲常数章节，后续更新具体方法</t>
  </si>
  <si>
    <t>2、上位机和HMI设置“DO type”为Energy Pluse成功，界面无报错
4、DO输出Pluse Width2000ms，3S周期，脉冲常数精度满足首选0.2%</t>
  </si>
  <si>
    <t>Function_AcuRev4100_018_02_case9</t>
  </si>
  <si>
    <t>上位机和HMI设置DO的“DO type”为Energy Pluse，“DO3  parameter：1（A项有功输入）,Pluse Width选择2000ms，观察是否有2000ms脉冲。</t>
  </si>
  <si>
    <t>1、连接AcuRev4100电表到Acuview2上，链接状态为connected
2、上位机和HMI设置DO的“DO type”为Energy Pluse（Setting—IO Module页面）
3、上位机和HMI DO3  parameter：1,Pluse Width选择2000ms,Pluse Width选择2000ms
4、使用校表台测出脉冲常数精度，输入：200V，5A，夹角0°，脉冲常数配置1200，示波器抓取波形
注：这里能量脉冲常数精度测量参考脉冲常数章节，后续更新具体方法</t>
  </si>
  <si>
    <t>2、上位机和HMI设置“DO type”为Energy Pluse成功，界面无报错
4、DO输出Pluse Width2000ms，3S周期，脉冲常数精度满足首选1或可接受1.5</t>
  </si>
  <si>
    <t>Function_AcuRev4100_018_02_case9_1</t>
    <phoneticPr fontId="10" type="noConversion"/>
  </si>
  <si>
    <t>上位机和HMI设置DO的“DO type”为Energy Pluse，“DO4  parameter：1（A项有功输入）,Pluse Width选择2000ms，观察是否有2000ms脉冲。</t>
    <phoneticPr fontId="10" type="noConversion"/>
  </si>
  <si>
    <t>1、连接AcuRev4100电表到Acuview2上，链接状态为connected
2、上位机和HMI设置DO的“DO type”为Energy Pluse（Setting—IO Module页面）
3、上位机和HMI DO4  parameter：1,Pluse Width选择2000ms,Pluse Width选择2000ms
4、使用校表台测出脉冲常数精度，输入：200V，5A，夹角0°，脉冲常数配置1200，示波器抓取波形
注：这里能量脉冲常数精度测量参考脉冲常数章节，后续更新具体方法</t>
  </si>
  <si>
    <t>Function_AcuRev4100_018_02_case9_2</t>
  </si>
  <si>
    <t>上位机和HMI设置DO的“DO type”为Energy Pluse“DO5 parameter：1（A项有功输入）t,Pluse Width选择2000ms，观察是否有2000ms脉冲。</t>
    <phoneticPr fontId="10" type="noConversion"/>
  </si>
  <si>
    <t>1、连接AcuRev4100电表到Acuview2上，链接状态为connected
2、上位机和HMI设置DO的“DO type”为Energy Pluse（Setting—IO Module页面）
3、上位机和HMI DO5  parameter：1,Pluse Width选择2000ms,Pluse Width选择2000ms
4、使用校表台测出脉冲常数精度，输入：200V，5A，夹角0°，脉冲常数配置1200，示波器抓取波形
注：这里能量脉冲常数精度测量参考脉冲常数章节，后续更新具体方法</t>
  </si>
  <si>
    <t>2、上位机和HMI设置“DO type”为Energy Pluse成功，界面无报错
4、DO输出Pluse Width2000ms，3S周期，脉冲常数精度满足首选1或可接受1.5</t>
    <phoneticPr fontId="10" type="noConversion"/>
  </si>
  <si>
    <t>Function_AcuRev4100_018_02_case9_3</t>
    <phoneticPr fontId="10" type="noConversion"/>
  </si>
  <si>
    <t>上位机和HMI设置DO的“DO type”为Energy Pluse，“DO6  parameter：1（A项有功输入）,Pluse Width选择2000ms，观察是否有2000ms脉冲。</t>
    <phoneticPr fontId="10" type="noConversion"/>
  </si>
  <si>
    <t>1、连接AcuRev4100电表到Acuview2上，链接状态为connected
2、上位机和HMI设置DO的“DO type”为Energy Pluse（Setting—IO Module页面）
3、上位机和HMI DO6  parameter：1,Pluse Width选择2000ms,Pluse Width选择2000ms
4、使用校表台测出脉冲常数精度，输入：200V，5A，夹角0°，脉冲常数配置1200，示波器抓取波形
注：这里能量脉冲常数精度测量参考脉冲常数章节，后续更新具体方法</t>
  </si>
  <si>
    <t>Function_AcuRev4100_018_02_case9_4</t>
  </si>
  <si>
    <t>上位机和HMI设置DO的“DO type”为Energy Pluse，“DO7  parameter：1（A项有功输入）,Pluse Width选择2000ms，观察是否有2000ms脉冲。</t>
    <phoneticPr fontId="10" type="noConversion"/>
  </si>
  <si>
    <t>1、连接AcuRev4100电表到Acuview2上，链接状态为connected
2、上位机和HMI设置DO的“DO type”为Energy Pluse（Setting—IO Module页面）
3、上位机和HMI DO7  parameter：1,Pluse Width选择2000ms,Pluse Width选择2000ms
4、使用校表台测出脉冲常数精度，输入：200V，5A，夹角0°，脉冲常数配置1200，示波器抓取波形
注：这里能量脉冲常数精度测量参考脉冲常数章节，后续更新具体方法</t>
  </si>
  <si>
    <t>2、上位机和HMI设置“DO type”为Energy Pluse成功，界面无报错
4、DO输出Pluse Width2000ms，3S周期，脉冲常数精度满足0.2%</t>
  </si>
  <si>
    <t>Function_AcuRev4100_018_02_case9_5</t>
    <phoneticPr fontId="10" type="noConversion"/>
  </si>
  <si>
    <t>上位机和HMI设置DO的“DO type”为Energy Pluse，“DO8 parameter：1（A项有功输入）Pluse Width选择2000ms，观察是否有2000ms脉冲。</t>
    <phoneticPr fontId="10" type="noConversion"/>
  </si>
  <si>
    <t>1、连接AcuRev4100电表到Acuview2上，链接状态为connected
2、上位机和HMI设置DO的“DO type”为Energy Pluse（Setting—IO Module页面）
3、上位机和HMI DO8  parameter：1,Pluse Width选择2000ms,Pluse Width选择2000ms
4、使用校表台测出脉冲常数精度，输入：200V，5A，夹角0°，脉冲常数配置1200，示波器抓取波形
注：这里能量脉冲常数精度测量参考脉冲常数章节，后续更新具体方法</t>
  </si>
  <si>
    <t>Function_AcuRev4100_018_02_case9_6</t>
    <phoneticPr fontId="10" type="noConversion"/>
  </si>
  <si>
    <r>
      <t>1、Acuview2上位机</t>
    </r>
    <r>
      <rPr>
        <sz val="10"/>
        <color theme="1"/>
        <rFont val="微软雅黑"/>
        <family val="2"/>
        <charset val="134"/>
      </rPr>
      <t xml:space="preserve">
2、网线/RTU串口线
3、AcuRev4100电表
4、Pluse Width选择20ms，</t>
    </r>
    <phoneticPr fontId="10" type="noConversion"/>
  </si>
  <si>
    <t>1、连接AcuRev4100电表到Acuview2上，连接状态为connected，上位机和HMI设置DO的“DO type”为Energy Pluse
2、三相电压200V，电流5A,电压电流相角差30°，Energy pulse constant设置为100000，DO  parameter：为A相有功电能（Import、Export、Net、Total）。
3、检查能量脉冲精度是否满足0.3%
注：parameter selection:1(为A相有功电能Import)，周期(S)：0.041569
parameter selection:2(为A相有功电能Export)，周期(S)：0
parameter selection:3(为A相有功电能Net)，周期(S)：0.041569
parameter selection:4(为A相有功电能Total)，周期(S)：0.041569</t>
  </si>
  <si>
    <t>Function_AcuRev4100_018_02_case9_7</t>
  </si>
  <si>
    <t>1、Acuview2上位机
2、网线/RTU串口线
3、AcuRev4100电表
4、Pluse Width选择20ms，</t>
    <phoneticPr fontId="10" type="noConversion"/>
  </si>
  <si>
    <t>1、连接AcuRev4100电表到Acuview2上，连接状态为connected，上位机和HMI设置DO的“DO type”为Energy Pluse
2、三相电压200V，电流5A,电压电流相角差30°，Energy pulse constant设置为100000，DO  parameter：为A相无功电能（Import、Export、Net、Total）
3、检查能量脉冲精度是否满足0.3%
注：parameter selection:5(为A相无功电能Import)，周期(S)：0.072
parameter selection:6(为A相无功电能Export)，周期(S)：0
parameter selection:7(为A相无功电能Net)，周期(S)：0.072
parameter selection:8(为A相无功电能Total)，周期(S)：0.072</t>
  </si>
  <si>
    <t>3、A相无功电能（Import、Export、Net、Total）DO电能量脉冲精度均满足0.2%
备注:脉冲测试方法待和硬件开发讨论
注：parameter selection:5(为A相无功电能Import)，周期(S)：0.072
parameter selection:6(为A相无功电能Export)，周期(S)：0
parameter selection:7(为A相无功电能Net)，周期(S)：0.072
parameter selection:8(为A相无功电能Total)，周期(S)：0.072</t>
    <phoneticPr fontId="10" type="noConversion"/>
  </si>
  <si>
    <t>Function_AcuRev4100_018_02_case9_7</t>
    <phoneticPr fontId="10" type="noConversion"/>
  </si>
  <si>
    <t>1、连接AcuRev4100电表到Acuview2上，连接状态为connected，上位机和HMI设置DO的“DO type”为Energy Pluse
2、,三相电压200V，电流5A,电压电流相角差30°，Energy pulse constant设置为100000，DO  parameter：为A相视在电能
3、检查能量脉冲精度是否满足0.3%
注：parameter selection:9(为A相视在电能)，周期(S)：0.036</t>
  </si>
  <si>
    <t>Function_AcuRev4100_018_02_case9_8</t>
  </si>
  <si>
    <t>上位机和HMI设置DO的“DO type”为Energy Pluse，“DO1  parameter：input1有功电能,Pluse Width选择20ms，观察是否有20ms脉冲。</t>
  </si>
  <si>
    <t>1、Acuview2上位机
2、网线/RTU串口线
3、AcuRev4100电表
4、接线方式3E3p4w
5、Pluse Width选择20ms，</t>
    <phoneticPr fontId="10" type="noConversion"/>
  </si>
  <si>
    <t>1、连接AcuRev4100电表到Acuview2上，连接状态为connected
2、三相电压200V，电流5A,电压电流相角差30°，Energy pulse constant设置为100000，DO  parameter：为input1有功电能（Import、Export、Net、Total）
3、检查能量脉冲精度是否满足0.3%
注：parameter selection:37(为input1有功电能Import)，周期(S)：0.041569
parameter selection:38(为input1有功电能Export)，周期(S)：0
parameter selection:39(为input1有功电能Net)，周期(S)：0.041569
parameter selection:40(为input1有功电能Total)，周期(S)：0.041569</t>
  </si>
  <si>
    <t>3、input1有功电能（Import、Export、Net、Total）DO电能量脉冲精度均满足0.2%
备注:脉冲测试方法待和硬件开发讨论</t>
  </si>
  <si>
    <t>Function_AcuRev4100_018_02_case9_9</t>
  </si>
  <si>
    <t>上位机和HMI设置DO的“DO type”为Energy Pluse，“DO1  parameter：input1无功电能,Pluse Width选择20ms，观察是否有20ms脉冲。</t>
  </si>
  <si>
    <t>1、连接AcuRev4100电表到Acuview2上，连接状态为connected
2、三相电压200V，电流5A,电压电流相角差30°，Energy pulse constant设置为100000，DO  parameter：为input1无功电能（Import、Export、Net、Total）
3、检查能量脉冲精度是否满足0.2%
注：parameter selection:41(为input1无功电能Import)，周期(S)：0.072
parameter selection:42(为input1无功电能Export)，周期(S)：0
parameter selection:43(为input1无功电能Net)，周期(S)：0.072
parameter selection:44(为input1无功电能Total)，周期(S)：0.072</t>
  </si>
  <si>
    <t>3、input1无功电能（Import、Export、Net、Total）DO电能量脉冲精度均满足0.2%
备注:脉冲测试方法待和硬件开发讨论</t>
  </si>
  <si>
    <t>Function_AcuRev4100_018_02_case9_10</t>
    <phoneticPr fontId="10" type="noConversion"/>
  </si>
  <si>
    <t>上位机和HMI设置DO的“DO type”为Energy Pluse，“DO1  parameter：input1视在电能,Pluse Width选择20ms，观察是否有20ms脉冲。</t>
  </si>
  <si>
    <t>1、连接AcuRev4100电表到Acuview2上，连接状态为connected
2、三相电压200V，电流5A,电压电流相角差30°，Energy pulse constant设置为100000，DO  parameter：为input1视在电能
3、检查能量脉冲精度是否满足0.2%
注：parameter selection:45(为input1视在电能)，周期(S)：0.036</t>
  </si>
  <si>
    <t>3、input1视在电能（Import、Export、Net、Total）DO电能量脉冲精度均满足0.2%
备注:脉冲测试方法待和硬件开发讨论</t>
    <phoneticPr fontId="10" type="noConversion"/>
  </si>
  <si>
    <t>Function_AcuRev4100_018_02_case9_11</t>
  </si>
  <si>
    <t>上位机和HMI设置DO的“DO type”为Energy Pluse，“DO1  parameter：user1有功电能,Pluse Width选择50ms</t>
  </si>
  <si>
    <t>1、Acuview2上位机
2、网线/RTU串口线
3、AcuRev4100电表
4、接线方式3E3p4w
5、Pluse Width选择50ms，
6、Energy pulse constant设置为1500</t>
  </si>
  <si>
    <t>1、连接AcuRev4100电表到Acuview2上，连接状态为connected
2、三相电压69V，电流8A, 三路负载的电压电流相角差0°，Energy pulse constant设置为1500，DO  parameter：为user1有功电能（Import、Export、Net、Total）
3、检查能量脉冲精度是否满足0.2%
注：parameter selection:253(为user1有功电能Import)，周期(S)：1.450311
parameter selection:254(为user1有功电能Export)，周期(S)：0
parameter selection:255(为user1有功电能Net)，周期(S)：1.450311
parameter selection:256(为user1有功电能Total)，周期(S)：1.450311
 备注： 三路负载的电压电流相角差30°， 否在测试数据有误差</t>
  </si>
  <si>
    <t>3、user1有功电能（Import、Export、Net、Total）DO电能量脉冲精度均满足0.2%
备注:脉冲测试方法待和硬件开发讨论
注：parameter selection:253(为user1有功电能Import)，周期(S)：1.450311
parameter selection:254(为user1有功电能Export)，周期(S)：0
parameter selection:255(为user1有功电能Net)，周期(S)：1.450311
parameter selection:256(为user1有功电能Total)，周期(S)：1.450311</t>
  </si>
  <si>
    <t>Function_AcuRev4100_018_02_case9_12</t>
  </si>
  <si>
    <t>上位机和HMI设置DO的“DO type”为Energy Pluse，“DO1  parameter：user1无功电能,Pluse Width选择20ms，观察是否有20ms脉冲。</t>
  </si>
  <si>
    <t>1、Acuview2上位机
2、网线/RTU串口线
3、AcuRev4100电表
4、接线方式3E3p4w
5、Pluse Width选择20ms，
6、Energy pulse constant设置为10000</t>
    <phoneticPr fontId="10" type="noConversion"/>
  </si>
  <si>
    <t>1、连接AcuRev4100电表到Acuview2上，连接状态为connected
2、三相电压200V，电流5A,电压电流相角差30°，Energy pulse constant设置为10000，DO  parameter：为user1无功电能（Import、Export、Net、Total）
3、检查能量脉冲精度是否满足0.2%
注：parameter selection:257(为user1无功电能Import)，周期(S)：0.24
parameter selection:258(为user1无功电能Export)，周期(S)：0
parameter selection:259(为user1无功电能Net)，周期(S)：0.24
parameter selection:260(为user1无功电能Total)，周期(S)：0.24</t>
  </si>
  <si>
    <t>3、user1无功电能（Import、Export、Net、Total）DO电能量脉冲精度均满足0.2%
备注:脉冲测试方法待和硬件开发讨论
注：parameter selection:257(为user1无功电能Import)，周期(S)：0.24
parameter selection:258(为user1无功电能Export)，周期(S)：0
parameter selection:259(为user1无功电能Net)，周期(S)：0.24
parameter selection:260(为user1无功电能Total)，周期(S)：0.24</t>
  </si>
  <si>
    <t>Function_AcuRev4100_018_02_case9_13</t>
  </si>
  <si>
    <t>上位机和HMI设置DO的“DO type”为Energy Pluse，“DO1  parameter：user1视在电能,Pluse Width选择20ms，观察是否有20ms脉冲。</t>
  </si>
  <si>
    <t>1、Acuview2上位机
2、网线/RTU串口线
3、AcuRev4100电表
4、接线方式3E3p4w
5、Pluse Width选择20ms，
6、Energy pulse constant设置为10000</t>
  </si>
  <si>
    <t>1、连接AcuRev4100电表到Acuview2上，连接状态为connected
2、三相电压200V，电流5A,电压电流相角差30°，Energy pulse constant设置为1000，DO  parameter：为user1视在电能
3、检查能量脉冲精度是否满足0.2%
注：parameter selection:261(为user1视在电能)，周期(S)：1.2</t>
  </si>
  <si>
    <t>3、user1视在电能电能量脉冲精度均满足0.2%
备注:脉冲测试方法待和硬件开发讨论
注：parameter selection:261(为user1视在电能)，周期(S)：1.2
应该是0.12s</t>
  </si>
  <si>
    <t>1、连接AcuRev4100电表到Acuview2上，连接状态为connected
2、三相电压200V，电流5A,电压电流相角差30°，Energy pulse constant设置为10000，DO  parameter:为系统有功电能（Import、Export、Net、Total）
3、检查能量脉冲精度是否满足0.3%
注：parameter selection:28(为系统有功电能Import)，周期(S)：0.138564
parameter selection:29(为系统有功电能Export)，周期(S)：0
parameter selection:30(为系统有功电能Net)，周期(S)：0.138564
parameter selection:31(为系统有功电能Total)，周期(S)：0.138564</t>
  </si>
  <si>
    <t>1、连接AcuRev4100电表到Acuview2上，连接状态为connected
2、三相电压200V，电流5A,电压电流相角差30°，Energy pulse constant设置为10000，DO  parameter:为系统无功电能（Import、Export、Net、Total）
3、检查能量脉冲精度是否满足0.2%
注：parameter selection:32(为系统无功电能Import)，周期(S)：0.24
parameter selection:33(为系统无功电能Export)，周期(S)：0
parameter selection:34(为系统无功电能Net)，周期(S)：0.24
parameter selection:35(为系统无功电能Total)，周期(S)：0.24</t>
  </si>
  <si>
    <t>1、连接AcuRev4100电表到Acuview2上，连接状态为connected
2、三相电压200V，电流5A,电压电流相角差30°，Energy pulse constant设置为1000，DO  parameter:为系统视在电能（Import、Export、Net、Total）
3、检查能量脉冲精度是否满足0.3%
注：parameter selection:261(为user1视在电能)，周期(S)：1.2</t>
  </si>
  <si>
    <t>Function_AcuRev4100_018_02_case9_14</t>
  </si>
  <si>
    <t>1、Acuview2上位机
2、网线/RTU串口线
3、AcuRev4100电表
4、电压电流相角差240°</t>
    <phoneticPr fontId="10" type="noConversion"/>
  </si>
  <si>
    <t xml:space="preserve">1、连接AcuRev4100电表到Acuview2上，连接状态为connected
2、三相电压200V，电流5A, 电压电流相角差240°，Energy pulse constant设置为100000，
DO  parameter:3(A相有功电能net)， 周期s: 0
3、检查能量脉冲精度是否满足0.2%,  </t>
  </si>
  <si>
    <t>Function_AcuRev4100_018_02_case9_15</t>
  </si>
  <si>
    <t>1、Acuview2上位机
2、网线/RTU串口线
3、AcuRev4100电表
5、Pluse Width选择20ms，
6、Energy pulse constant设置为10000</t>
    <phoneticPr fontId="10" type="noConversion"/>
  </si>
  <si>
    <t>1、连接AcuRev4100电表到Acuview2上，连接状态为connected
2、三相电压200V，电流5A,电压电流相角差0°，Energy pulse constant设置为100000，
DO  parameter:2(A相有功电能Export)， 周期s: 0  
3、检查能量脉冲精度是否满足0.2%</t>
  </si>
  <si>
    <t>Function_AcuRev4100_018_02_case9_16</t>
  </si>
  <si>
    <t>构造进线能量为正， 且不断增长，能量脉冲选择进线，改变电流方向为Negative Phase，脉冲灯立即停止闪烁。</t>
    <phoneticPr fontId="10" type="noConversion"/>
  </si>
  <si>
    <t>1、Acuview2上位机
2、网线/RTU串口线
3、AcuRev4100电表
5、Pluse Width选择20ms，
6、Energy pulse constant设置为10000</t>
  </si>
  <si>
    <t>1、连接AcuRev4100电表到Acuview2上，连接状态为connected
2、三相电压200V，电流5A,电压电流相角差0°，Energy pulse constant设置为100000，
DO  parameter:1(A相有功电能Import)，检查能量脉冲精度是否满足0.2%， 周期s: 0.036
3、改变电流方向为Negative Phase， 观察脉冲周期是否为0s</t>
  </si>
  <si>
    <t>Function_AcuRev4100_018_02_case10</t>
  </si>
  <si>
    <t>上位机和HMI设置DO的“DO type”为Energy Pluse，alarm栏配置告警门限值勾选"To DOxx"，“Energy Pluse”中DO1OutPut为None,DO2OutPut为None,Pluse Width选择2000ms，观察是否有2000ms脉冲。</t>
  </si>
  <si>
    <t>1、连接AcuRev4100电表到Acuview2上，链接状态为connected
2、上位机和HMI设置DO的“DO type”为Energy Pluse（Setting—IO Module页面）
3、上位机和HMI, DO1  parameter：0，Pluse Width选择2000ms
4、使用校表台测出脉冲常数精度
注：这里能量脉冲常数精度测量参考脉冲常数章节，后续更新具体方法</t>
  </si>
  <si>
    <t>Function_AcuRev4100_018_02_case11</t>
  </si>
  <si>
    <t>1、连接AcuRev4100电表到Acuview2上，链接状态为connected
2、上位机和HMI设置Pluse Width 为20ms
3、上位机和HMI设置Pluse Width 为200ms
4、上位机和HMI设置Pluse Width 为3000ms
5、上位机和HMI设置Pluse Width 为19ms
6、上位机和HMI设置Pluse Width 为3001ms</t>
  </si>
  <si>
    <t>Function_AcuRev4100_018_02_case12</t>
  </si>
  <si>
    <t>Function_AcuRev4100_018_02_case13</t>
  </si>
  <si>
    <t>电表最多携带配置8个DO，接口测试覆盖</t>
    <phoneticPr fontId="10" type="noConversion"/>
  </si>
  <si>
    <t>1、观测电表外观，是否只存在8个DO硬件接口
2、使用串口工具（Sscom），是否能正常读取8个DO Status寄存器。（8个DO可正常使用）
读DO1 Status：01 01 00 00 00 01
读DO2 Status：01 01 00 01 00 01
~~~~
读DO7 Status：01 01 00 06 00 01
读DO8 Status：01 01 00 07 00 01</t>
  </si>
  <si>
    <t>1、电表外观，只存在8个DO硬件接口
2、使用串口工具（Sscom），读取8个DO Status寄存器成功</t>
  </si>
  <si>
    <t>继电器输出(RO)验证</t>
  </si>
  <si>
    <t>Function_AcuRev4100_018_03_case1</t>
  </si>
  <si>
    <t>电表最多携带或配置2个RO，接口测试</t>
  </si>
  <si>
    <t>1、观测电表外观，是否只存在2个RO硬件接口
2、使用串口工具（Sscom），是否能正常读取2个RO Status寄存器。（2个RO可正常使用）
读RO1 Status：01 01 00 20 00 01
读RO2 Status：01 01 00 21 00 01</t>
  </si>
  <si>
    <t>1、电表外观，只存在2个RO硬件接口
2、使用串口工具（Sscom），读取2个RO Status寄存器成功， 错误返回</t>
    <phoneticPr fontId="10" type="noConversion"/>
  </si>
  <si>
    <t>Function_AcuRev4100_018_03_case2</t>
  </si>
  <si>
    <t>上位机和HMI的Alarm界面，最多配置配置2个RO</t>
  </si>
  <si>
    <t>1、连接AcuRev4100电表到Acuview2上，链接状态为connected
2、上位机和HMISetting—IO Module页面
3、查看RO Setting模块是否最多2个RO可配置</t>
  </si>
  <si>
    <t>3、RO Setting模块最多2个RO可配置</t>
  </si>
  <si>
    <t>Function_AcuRev4100_018_03_case3</t>
    <phoneticPr fontId="10" type="noConversion"/>
  </si>
  <si>
    <t>上位机和HMI设置RO的“RO Type”为Alarm，“output mode”选择latch，alarm栏配置告警门限值并勾选"To ROxx"，告警触发时候Roxx导通(逻辑1)，告警消除时候Doxx断开(逻辑0)。</t>
    <phoneticPr fontId="10" type="noConversion"/>
  </si>
  <si>
    <t>1、连接AcuRev4100电表到Acuview2上，链接状态为connected
2、上位机和HMI设置RO的“RO type”为Alarm，“output mode”选择latch（Setting—IO Module页面）
3、alarm栏配置告警门限值并勾选"To ROxx"
4、当告警触发时，观测对应RO是否导通(逻辑1)
5、当告警消除时，观测对应RO是否断开(逻辑0)
注：alarm在告警模块覆盖，此处只考虑告警后触发RO状态</t>
  </si>
  <si>
    <t>2、上位机和HMI设置“RO type”为Alarm成功，界面无报错
4、当告警触发时，观测对应RO导通(逻辑1)
5、当告警消除时，观测对应RO断开(逻辑0)</t>
  </si>
  <si>
    <t>Function_AcuRev4100_018_03_case4</t>
    <phoneticPr fontId="10" type="noConversion"/>
  </si>
  <si>
    <t>上位机和HMI设置RO的“RO Type”为Alarm，“output mode”选择Manual，alarm栏配置告警门限值并勾选"To ROxx"，告警触发时候Rox导通(逻辑1)，上位机和HMI上手动解除告警Doxx断开(逻辑0)。</t>
  </si>
  <si>
    <t>1、连接AcuRev4100电表到Acuview2上，链接状态为connected
2、上位机和HMI设置RO的“RO type”为Alarm，“output mode”选择Manual（Setting—IO Module页面）
3、alarm栏配置告警门限值并勾选"To ROxx"
4、当告警触发时，观测对应RO是否导通(逻辑1)
5、当告警消除时，观测对应RO是否断开(逻辑1)
6、上位机手动解除RO，观测对应RO是否断开(逻辑0)
注：alarm在告警模块覆盖，此处只考虑告警后触发RO状态；这里的上位机上手动解除RO是否在Reading-IO Module Reading里的RO control待确认</t>
  </si>
  <si>
    <t>2、上位机和HMI设置“RO type”为Alarm成功，界面无报错
4、当告警触发时，观测对应RO导通(逻辑1)
5、当告警消除时，观测对应RO依然是导通(逻辑1)
6、上位机上手动解除告警，观测对应RO断开(逻辑0)</t>
  </si>
  <si>
    <t>Function_AcuRev4100_018_03_case5</t>
    <phoneticPr fontId="10" type="noConversion"/>
  </si>
  <si>
    <t>上位机和HMI设置RO的“RO Type”为Relay Control，“output mode”选择latch，RO导通（逻辑1）、RO断开（逻辑0）正常</t>
  </si>
  <si>
    <t>1、连接AcuRev4100电表到Acuview2上，链接状态为connected
2、上位机和HMI设置RO的“RO type”为Relay Control（Setting—IO Module页面）
3、“output mode”选择latch
4、上位机上开启RO（逻辑1）（点击Reading-IO Module Reading里的RO control）
5、上位机上关闭RO（逻辑0）（点击Reading-IO Module Reading里的RO control）
注：这里的RO开启是否在Reading-IO Module Reading里的RO control待确认
2025/4/1：触发RO  Relay状态方法：上位机点击Reading-IO Module Reading里的RO control</t>
  </si>
  <si>
    <t>3、上位机和HMI设置“RO type”为Relay Control成功，界面无报错
4、RO导通（逻辑1），上位机和HMIReading-IO Module Reading里RO状态变为ON
5、RO断开（逻辑0），上位机和HMIReading-IO Module Reading里RO状态变为OFF</t>
  </si>
  <si>
    <t>Function_AcuRev4100_018_03_case6</t>
  </si>
  <si>
    <t>上位机和HMI设置RO的“RO Type”为Relay Control，“output mode”选择Momentary，“ON time”选择20ms，RO开启时导通（逻辑1），持续20ms</t>
  </si>
  <si>
    <t>1、连接AcuRev4100电表到Acuview2上，链接状态为connected
2、上位机和HMI设置RO的“RO type”为Relay Control（Setting—IO Module页面）
3、“output mode”选择Momentary，“ON time”选择20ms
4、上位机和HMI上开启RO（逻辑1）（点击Reading-IO Module Reading里的RO control）
注：触发RO  Relay状态方法，待后续更新
20251016 RO脉冲宽度范围确认为20ms~3000ms</t>
  </si>
  <si>
    <t>3、上位机和HMI设置“RO type”为Relay Control成功，界面无报错
4、RO开启时导通（逻辑1），一个20ms脉冲</t>
  </si>
  <si>
    <t>Function_AcuRev4100_018_03_case7</t>
  </si>
  <si>
    <t>上位机和HMI设置RO的“RO Type”为Relay Control，“output mode”选择Momentary，“ON time”选择2000ms，RO开启时导通（逻辑1），持续2000ms</t>
  </si>
  <si>
    <t>1、连接AcuRev4100电表到Acuview2上，链接状态为connected
2、上位机和HMI设置RO的“RO type”为Relay Control（Setting—IO Module页面）
3、“output mode”选择Momentary，“ON time”选择2000ms
4、上位机和HMI上开启RO（逻辑1）（点击Reading-IO Module Reading里的RO control）
注：触发RO  Relay状态方法，待后续更新
2025/4/1：触发RO  Relay状态方法：上位机点击Reading-IO Module Reading里的RO control</t>
  </si>
  <si>
    <t>3、上位机和HMI设置“RO type”为Relay Control成功，界面无报错
4、RO开启时导通（逻辑1），一个2000ms脉冲</t>
  </si>
  <si>
    <t>Function_AcuRev4100_018_03_case8</t>
    <phoneticPr fontId="10" type="noConversion"/>
  </si>
  <si>
    <t>上位机和HMI设置RO的“RO Type”为Relay Control，“output mode”选择Momentary，“ON time”选择3000ms，RO开启时导通（逻辑1），持续3000ms</t>
  </si>
  <si>
    <t>1、连接AcuRev4100电表到Acuview2上，链接状态为connected
2、上位机和HMI设置RO的“RO type”为Relay Control（Setting—IO Module页面）
3、“output mode”选择Momentary，“ON time”选择3000ms
4、RO在开启时生成高电压输出（逻辑1）
注：触发RO  Relay状态方法，待后续更新</t>
  </si>
  <si>
    <t>3、上位机和HMI设置“RO type”为Relay Control成功，界面无报错
4、RO开启时导通（逻辑1），一个3000ms脉冲</t>
  </si>
  <si>
    <t>Function_AcuRev4100_018_03_case9</t>
  </si>
  <si>
    <t>上位机和HMI设置RO的“RO Type”为Relay Control，“output mode”选择Momentary，“ON time”选择3001ms和19ms失败。</t>
  </si>
  <si>
    <t>1、连接AcuRev4100电表到Acuview2上，链接状态为connected
2、上位机和HMI设置RO的“RO type”为Relay Control（Setting—IO Module页面）
3、“output mode”选择Momentary
4、“ON time”选择3001ms
5、“ON time”选择19ms
注：
20251016 RO脉冲宽度范围确认为20ms~3000ms</t>
  </si>
  <si>
    <t>2、上位机和HMI设置“RO type”为Relay Control成功，界面无报错
4、“ON time”选择3001ms失败，上位机和HMI无法设置
5、“ON time”选择19ms失败，上位机和HMI无法设置</t>
  </si>
  <si>
    <t>Function_AcuRev4100_018_03_case10</t>
  </si>
  <si>
    <t>电表上“On time”的寄存器写入范围20ms-3000ms</t>
  </si>
  <si>
    <t>1、通过串口工具（Sscom）设置
2、RO的“On time”为20ms，发送报文：01 10 11 26 00 01 02 00 14
3、RO的“On time”为200ms，发送报文：01 10 11 26 00 01 02 00 C8
4、RO的“On time” 为3000ms，发送报文：01 10 11 26 00 01 02 0B B8
5、RO的“On time” 为19ms，发送报文：01 10 11 26 00 01 02 00 13
6、RO的“On time” 为3001ms，发送报文：01 10 11 26 00 01 02 0B B9
注：待更新后补充报文
20251016 RO脉冲宽度范围确认为20ms~3000ms</t>
  </si>
  <si>
    <t>2、设置RO的“On time”为50ms，设置成功
3、设置RO的“On time” 为200ms，设置成功
5、设置RO的“On time” 为3000ms，设置成功
6、设置RO的“On time”为19ms，设置失败
7、设置RO的“On time” 为3001ms，设置失败</t>
  </si>
  <si>
    <t>Function_AcuRev4100_019_01_case1</t>
    <phoneticPr fontId="10" type="noConversion"/>
  </si>
  <si>
    <t>1、连接AcuRev4100电表到Acuview2上，链接状态为connected
2、设置电表上“Use PC Time ”为PC时间
3、检查电表时间设置是否成功
4、掉电重启电表
5、检查电表时间是否和PC时间一致
6、设置电表上“Use Customer Time ”时间， 
    2024-11-04 00:00:00      ---周1
    2024-11-15 23:00:00      ---周5
    2024-11-16 23:59:00      ---周6
    2024-11-24 23:58:59      ---周日
    2024-02-29 23:58:00      ---闰年日期
7、检查设置是否成功
8、掉电重启电表
9、检查电表时间是否未丢失</t>
  </si>
  <si>
    <t>Function_AcuRev4100_019_01_case2</t>
  </si>
  <si>
    <r>
      <t>未断电</t>
    </r>
    <r>
      <rPr>
        <sz val="10"/>
        <color theme="1"/>
        <rFont val="微软雅黑"/>
        <family val="2"/>
        <charset val="134"/>
      </rPr>
      <t>情况下跟踪当前时间，漂移优于±0.5秒/天  ---每天观测，持续4天，防止正负漂移</t>
    </r>
    <phoneticPr fontId="10" type="noConversion"/>
  </si>
  <si>
    <t>1、连接AcuRev4100电表到Acuview2上，链接状态为connected
2、设置电表上“Use PC Time ”为当前PC时间。
3、检查设置是否成功
4、等待两天,检查时间误差是否小于1s
5、等待四两天,检查时间误差是否小于2s</t>
  </si>
  <si>
    <t>Function_AcuRev4100_019_01_case3</t>
  </si>
  <si>
    <t>1、连接AcuRev4100电表到Acuview2上，链接状态为connected
2、设置电表上“Use PC Time ”为当前PC时间。
3、检查设置是否成功
4、断开电表电源
5、等待7天
7、连接电表到Acuview2，检查电表时间是否和PC时间误差小于3s</t>
  </si>
  <si>
    <t>Function_AcuRev4100_019_01_case4</t>
  </si>
  <si>
    <t>Function_AcuRev4100_019_02_case1</t>
  </si>
  <si>
    <t>1、连接AcuRev4100电表到Acuview2上，链接状态为connected
2、设置电表上“Use Customer Time ”时间， 
    2000-01-01 00:00:00      ---周6
    2099-12-31 23:59:00      ---周4
    2024-11-04 00:00:00      ---周1
    2024-11-05 00:00:00      ---周2
    2024-11-13 00:00:00      ---周3
    2024-11-15 23:00:00      ---周5
    2024-11-30 23:59:00      ---周6
    2024-11-24 23:58:59      ---周日
    2024-02-29 23:58:00      ---闰年日期
3、检查设置是否成功
3、掉电重启电表
4、检查电表的set目录电表时间是否未丢失，且电表计时功能正常</t>
  </si>
  <si>
    <t>Function_AcuRev4100_019_02_case2</t>
  </si>
  <si>
    <t>1、连接AcuRev4100电表到Acuview2上，链接状态为connected
2、设置电表上“Use PC Time ”为PC时间，时间精度为1s
3、检查设置是否成功
4、掉电重启电表
5、检查电表时间是否和PC时间一致</t>
  </si>
  <si>
    <t>Function_AcuRev4100_019_02_case3</t>
  </si>
  <si>
    <t>Function_AcuRev4100_019_02_case3</t>
    <phoneticPr fontId="10" type="noConversion"/>
  </si>
  <si>
    <t>铅封未封闭，通过上位机设置时间，年/月/日和时/分/秒，遍历所有时间，遍历所有日期(包括闰年)，遍历所有周，查看时间切换是否有误（包含掉电期间时间的切换）</t>
  </si>
  <si>
    <t xml:space="preserve">1、连接AcuRev4100电表到Acuview2上，链接状态为connected
2、设置电表上“Use Customer Time ”时间为2000-01-01 00：00：05 ，等待6s，查看HMI时间是否会切换为2000-01-01 00：00：11
3、设置电表上“Use Customer Time ”时间为2000-01-01 00：00：55 ，等待6s，查看HMI时间是否会切换为2000-01-01 00：01：01
4、设置电表上“Use Customer Time ”时间为2000-01-01 00：09：55 ，等待6s，查看HMI时间是否会切换为2000-01-01 00：10：01
5、设置电表上“Use Customer Time ”时间为2000-01-01 00：15：55 ，等待6s，查看HMI时间是否会切换为2000-01-01 00：16：01
6、设置电表上“Use Customer Time ”时间为2000-01-01 00：59：55 ，等待6s，查看HMI时间是否会切换为2000-01-01 01：00：01
7、设置电表上“Use Customer Time ”时间为2000-01-01 09：59：55 ，等待6s，查看HMI时间是否会切换为2000-01-01 10：00：01
8、设置电表上“Use Customer Time ”时间为2000-01-01 15：59：55 ，等待6s，查看HMI时间是否会切换为2000-01-01 16：00：01
9、设置电表上“Use Customer Time ”时间为2000-01-01 23：59：55 ，等待6s，查看HMI时间是否会切换为2000-01-02 00：00：01
10、设置电表上“Use Customer Time ”时间为2025-01-09 23：59：55（周四） ，等待6s，查看HMI时间是否会切换为2025-01-10 00：00：01（周五）
11、设置电表上“Use Customer Time ”时间为2025-02-15 23：59：55 （周五），等待6s，查看HMI时间是否会切换为2025-02-16 00：00：01（周六）
12、设置电表上“Use Customer Time ”时间为2024-02-27 23：59：55 （周二），等待6s，查看HMI时间是否会切换为2025-02-28 00：00：01（周三）
13、设置电表上“Use Customer Time ”时间为2024-02-27 23：59：55 （周二），等待6s，查看HMI时间是否会切换为2025-02-28 00：00：01（周三）
14、设置电表上“Use Customer Time ”时间为2024-02-28 23：59：55 （周三），等待6s，查看HMI时间是否会切换为2025-02-29 00：00：01（周四）
15、设置电表上“Use Customer Time ”时间为2024-02-29 23：59：55 ，等待6s，查看HMI时间是否会切换为2024-03-01 00：00：01
16、设置电表上“Use Customer Time ”时间为2025-02-28 23：59：55 ，等待6s，查看HMI时间是否会切换为2025-03-01 00：00：01
17、设置电表上“Use Customer Time ”时间为2025-09-30 23：59：55 ，等待6s，查看HMI时间是否会切换为2025-10-01 00：00：01
18、设置电表上“Use Customer Time ”时间为2025-12-31 23：59：55 ，等待6s，查看HMI时间是否会切换为2026-01-01 00：00：01
19、设置电表上“Use Customer Time ”时间为2009-12-31 23：59：55 ，等待6s，查看HMI时间是否会切换为2010-01-01 00：00：01
20、设置电表上“Use Customer Time ”时间为2015-12-31 23：59：55 ，等待6s，查看HMI时间是否会切换为2016-01-01 00：00：01
</t>
  </si>
  <si>
    <t xml:space="preserve">2、电表时钟设置成功，时间切换正常
3、电表时钟设置成功，时间切换正常
4、电表时钟设置成功，时间切换正常
5、电表时钟设置成功，时间切换正常
6、电表时钟设置成功，时间切换正常
7、电表时钟设置成功，时间切换正常
8、电表时钟设置成功，时间切换正常
9、电表时钟设置成功，时间切换正常
10、电表时钟设置成功，时间切换正常
11、电表时钟设置成功，时间切换正常
12、电表时钟设置成功，时间切换正常
13、电表时钟设置成功，时间切换正常
14、电表时钟设置成功，时间切换正常
15、电表时钟设置成功，时间切换正常
16、电表时钟设置成功，时间切换正常
17、电表时钟设置成功，时间切换正常
18、电表时钟设置成功，时间切换正常
20、电表时钟设置成功，时间切换正常
</t>
  </si>
  <si>
    <t>Function_AcuRev4100_019_02_case4</t>
  </si>
  <si>
    <t>Function_AcuRev4100_019_02_case5</t>
  </si>
  <si>
    <t>Function_AcuRev4100_019_02_case6</t>
  </si>
  <si>
    <t>Function_AcuRev4100_019_03_case1</t>
  </si>
  <si>
    <t>Function_AcuRev4100_019_03_case1_01</t>
  </si>
  <si>
    <t>Function_AcuRev4100_019_03_case2</t>
  </si>
  <si>
    <t>Function_AcuRev4100_019_03_case3</t>
  </si>
  <si>
    <t>Function_AcuRev4100_019_03_case4</t>
  </si>
  <si>
    <t>1、铅封封闭，连接AcuRev4100电表到Acuview2上，链接状态为connected
2、上位机上重置设备运行时间</t>
  </si>
  <si>
    <t>Function_AcuRev4100_019_03_case5</t>
  </si>
  <si>
    <t>1、铅封封闭，连接AcuRev4100电表到Acuview2上，链接状态为connected
2、上位机上重置设备负载时间</t>
  </si>
  <si>
    <t>Function_AcuRev4100_019_03_case6</t>
  </si>
  <si>
    <t>1、铅封未封闭，连接AcuRev4100电表到Acuview2上，链接状态为connected
2、上位机上重置设备运行时间</t>
  </si>
  <si>
    <t>Function_AcuRev4100_019_03_case7</t>
  </si>
  <si>
    <t>1、铅封未封闭，连接AcuRev4100电表到Acuview2上，链接状态为connected
2、上位机上重置设备负载时间</t>
  </si>
  <si>
    <t>Function_AcuRev4100_019_03_case8</t>
  </si>
  <si>
    <t>Function_AcuRev4100_019_03_case9</t>
  </si>
  <si>
    <t>Function_AcuRev4100_019_03_case10</t>
  </si>
  <si>
    <t>Function_AcuRev4100_019_03_case11</t>
  </si>
  <si>
    <t>Function_AcuRev4100_019_03_case12</t>
  </si>
  <si>
    <t>Function_AcuRev4100_020_01_case1</t>
  </si>
  <si>
    <t>1、Acuview2上位机
2、网线/RTU串口线
3、AcuRev4100电表
4、铅封未封闭</t>
  </si>
  <si>
    <t>1、分别通过Tcp/Rtu连接AcuRev4100电表到Acuview2上，链接状态为connected
2、断开输入源，Acuview2上进行重置能量 (clear energy)操作
3、检查电表的能量是否被清0</t>
  </si>
  <si>
    <t>Function_AcuRev4100_020_01_case2</t>
  </si>
  <si>
    <t>1、分别通过Tcp/Rtu连接AcuRev4100电表到Acuview2上，链接状态为connected
2、断开输入源，Acuview2上进行重置最大/最小 (clear max/min)操作
3、检查电表的最大/最小 (clear max/min)是否被清0</t>
  </si>
  <si>
    <t>Function_AcuRev4100_020_01_case3</t>
  </si>
  <si>
    <t>1、分别通过Tcp/Rtu连接AcuRev4100电表到Acuview2上，链接状态为connected
2、断开输入源，Acuview2上进行重置TOU能量 (Clear TOU Energy  )操作
3、检查电表的TOU能量 (Clear TOU Energy )，包括sharp、peak、Valley、Normal、Total,是否被清0</t>
  </si>
  <si>
    <t>Function_AcuRev4100_020_01_case5</t>
  </si>
  <si>
    <t>1、分别通过Tcp/Rtu连接AcuRev4100电表到Acuview2上，链接状态为connected
2、Acuview2上进行重置DI counter(clear DI Counter)操作
3、检查电表的DI counter(clear DI Counter)是否被清0</t>
  </si>
  <si>
    <t>Function_AcuRev4100_020_01_case6</t>
  </si>
  <si>
    <t>1、分别通过Tcp/Rtu连接AcuRev4100电表到Acuview2上，链接状态为connected
2、Acuview2上进行清除告警日志(clear alarm log)操作
3、检查电表的告警日志(clear alarm log)是否被清0</t>
  </si>
  <si>
    <t>Function_AcuRev4100_020_01_case7</t>
  </si>
  <si>
    <t>1、分别通过Tcp/Rtu连接AcuRev4100电表到Acuview2上，链接状态为connected
2、Acuview2上进行清除录波日志(clear log)操作
3、检查电表的录波日志(clear log)是否被清0</t>
  </si>
  <si>
    <t>Function_AcuRev4100_020_01_case8</t>
  </si>
  <si>
    <t>1、分别通过Tcp/Rtu连接AcuRev4100电表到Acuview2上，链接状态为connected
2、Acuview2上进行清除电能质量事件日志 (clear PQ eventlog)操作
3、检查电表的电能质量事件日志 (clear PQ eventlog)是否被清0</t>
  </si>
  <si>
    <t>Function_AcuRev4100_020_01_case9</t>
  </si>
  <si>
    <t>1、分别通过Tcp/Rtu连接AcuRev4100电表到Acuview2上，链接状态为connected
2、Acuview2上进行清除SOE日志 (clear SOE log)操作
3、检查电表的SOE日志 (clear SOE log)是否被清0</t>
  </si>
  <si>
    <t>Function_AcuRev4100_020_01_case10</t>
  </si>
  <si>
    <t>Function_AcuRev4100_020_01_case11</t>
  </si>
  <si>
    <t>Function_AcuRev4100_020_01_case12</t>
  </si>
  <si>
    <t>Function_AcuRev4100_020_01_case13</t>
  </si>
  <si>
    <t>1、Acuview2上位机
2、网线/RTU串口线
3、AcuRev4100电表
4、铅封未封闭
5、已存在最大需量数据</t>
  </si>
  <si>
    <t>Function_AcuRev4100_020_01_case14</t>
  </si>
  <si>
    <t>Function_AcuRev4100_020_01_case15</t>
  </si>
  <si>
    <t>Function_AcuRev4100_020_01_case16</t>
  </si>
  <si>
    <t>Function_AcuRev4100_020_01_case17</t>
  </si>
  <si>
    <t>Function_AcuRev4100_020_01_case18</t>
  </si>
  <si>
    <t>Function_AcuRev4100_020_01_case19</t>
  </si>
  <si>
    <t>1、Acuview2上位机
2、网线/RTU串口线
3、AcuRev4100电表
4、铅封封闭</t>
  </si>
  <si>
    <t>Function_AcuRev4100_020_01_case20</t>
  </si>
  <si>
    <t>Function_AcuRev4100_020_01_case21</t>
  </si>
  <si>
    <t>1、HMI上设置最大需量复位选项为：自动；配置自动复位的日期：如Day 3 00:00:00
2、HMI上设置电表时间为Day 2 23:59:00，等待一分钟
3、HMI上查看最大需量数据</t>
  </si>
  <si>
    <t>Function_AcuRev4100_020_01_case22</t>
  </si>
  <si>
    <t>Function_AcuRev4100_020_01_case23</t>
  </si>
  <si>
    <t>Function_AcuRev4100_020_01_case24</t>
    <phoneticPr fontId="10" type="noConversion"/>
  </si>
  <si>
    <t>Function_AcuRev4100_020_01_case25</t>
  </si>
  <si>
    <t>Function_AcuRev4100_020_01_case25_01</t>
  </si>
  <si>
    <t>Function_AcuRev4100_020_01_case26</t>
  </si>
  <si>
    <t>Function_AcuRev4100_020_01_case26_01</t>
  </si>
  <si>
    <t>Function_AcuRev4100_020_02_case1</t>
  </si>
  <si>
    <t>1、分别通过Tcp/Rtu连接AcuRev4100电表到Acuview2上，链接状态为connected
2、Acuview2上进行重启电表操作（"Reading"-&gt;"system status"-&gt;"Reboot Meter"）
3、检查电表是否重启，重启后电表功能是否正常</t>
  </si>
  <si>
    <t>Function_AcuRev4100_020_02_case2</t>
  </si>
  <si>
    <t>1、分别通过Tcp/Rtu连接AcuRev4100电表到Acuview2上，链接状态为connected
2、Acuview2上进行恢复出厂设置并重启 (factory reset and reboot)操作
3、检查电表是否恢复出厂设置并重启 (factory reset and reboot)，重启后电表功能是否正常
【出厂设置】基本配置信息
Password:0000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1
LCD Backlight Time： 1
Device run time ： 0
Device load time ： 0
默认时间:2024.1.1 00:00:00 week:1
Frequency selection 1（60）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</si>
  <si>
    <t>Function_AcuRev4100_020_02_case3</t>
  </si>
  <si>
    <t>1、分别通过Tcp/Rtu连接AcuRev4100电表到Acuview2上，链接状态为connected
2、Acuview2上进行恢复TOU操作（“Setting”-&gt;“TOU Setting”-&gt;"TOU"-&gt;"Reset To Default"）
3、检查电表是否恢复TOU的设置为默认值
注：具体参数待更新</t>
  </si>
  <si>
    <t>Function_AcuRev4100_020_02_case4</t>
  </si>
  <si>
    <t>1、分别通过Tcp/Rtu连接AcuRev4100电表到Acuview2上，链接状态为connected
2、Acuview2上进行恢复出厂设置并重启 (factory reset and reboot)操作
3、检查电表是否恢复出厂设置并重启 (factory reset and reboot)，重启后电表功能是否正常
【出厂设置】基本配置信息
Password:9999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1（60）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</si>
  <si>
    <t>Function_AcuRev4100_020_02_case5</t>
  </si>
  <si>
    <t>Function_AcuRev4100_021_01_case1</t>
    <phoneticPr fontId="10" type="noConversion"/>
  </si>
  <si>
    <t>1、Acuview2上位机
2、网线/RTU串口线
3、AcuRev4100电表
4、modbus RTU ON
5、modbus TCP ON</t>
  </si>
  <si>
    <t>1、分别通过Tcp/Rtu/USB连接AcuRev4100电表到Acuview2上，链接状态为connected
设置网络参数（如下参数可参考）：
DHCP enable:0 （0: manual1: DHCP）
IP address:192.168.1.160
Subnet mask:255.255.255.0
Gateway:192.168.1.2
DNS primary server:7.7.8.8
DNS secondary server: 7.7.4.4
port：503
3、检查电表的网络配置是否为：IP2地址，Gateway2，DNS 3，DNS 4 ,port2
4、本地PC机设置和IP2同网段的地址IP22:192.168.1.100
5、cmd窗口下ping IP2， 检查是佛可以ping 通 
6、掉电重启电表
7、检查电表IP配置是否丢失
8、cmd窗口下ping IP2， 检查是否可以ping 通</t>
  </si>
  <si>
    <t>Function_AcuRev4100_021_01_case2</t>
  </si>
  <si>
    <t>1、分别通过Tcp/Rtu/USB连接AcuRev4100电表到Acuview2上，链接状态为connected
设置网络参数（如下参数可参考）：
DHCP enable:0 （0: manual1: DHCP）
IP address:192.168.1.161
2、Tcp连接时，查看上位机是否重连
3、Tcp重连后，上位机右下角显示的IP地址是否自动更新（继承于DC300问题单）</t>
  </si>
  <si>
    <t>Function_AcuRev4100_021_01_case3</t>
  </si>
  <si>
    <t>1、Acuview2上位机
2、AcuRev4100电表
3、网线插路由器/RTU串口线
4、modbus RTU ON
5、modbus TCP ON</t>
  </si>
  <si>
    <t>1、分别通过Tcp/Rtu/USB连接AcuRev4100电表到Acuview2上，链接状态为connected
设置网络参数：
DHCP enable:1 （0: manual1: DHCP）
01 6A F0 56 00 06 0C 33 30 37 41 35 36 31 30 30 30 30 46</t>
  </si>
  <si>
    <t>Function_AcuRev4100_021_01_case4</t>
  </si>
  <si>
    <t>1、通过Tcp连接AcuRev4100电表到Acuview2上，链接状态为connected
设置网络参数：
DHCP enable:1 （0: manual1: DHCP）
2、观察上位机是否断开连接
3、使用ip地址重新进行tcp连接</t>
  </si>
  <si>
    <t>Function_AcuRev4100_021_01_case5</t>
  </si>
  <si>
    <t>1、分别通过Tcp/Rtu/USB连接AcuRev4100电表到Acuview2上，链接状态为connected
2、设置参数：slaveID:1 
3、设置参数：slaveID:2</t>
  </si>
  <si>
    <t>Function_AcuRev4100_021_01_case6</t>
  </si>
  <si>
    <t>1、分别通过Tcp/Rtu/USB连接AcuRev4100电表到Acuview2上，链接状态为connected
2、设置参数：slaveID:5
3、设置参数：slaveID:247</t>
  </si>
  <si>
    <t>Function_AcuRev4100_021_01_case7</t>
  </si>
  <si>
    <t>1、分别通过Tcp/Rtu/USB连接AcuRev4100电表到Acuview2上，链接状态为connected
2、设置参数：slaveID:0
3、设置参数：slaveID:255</t>
  </si>
  <si>
    <t>Function_AcuRev4100_021_01_case8</t>
  </si>
  <si>
    <t>1、分别通过Tcp/Rtu/USB连接AcuRev4100电表到Acuview2上，链接状态为connected
设置参数（如下参数可参考）：
slaveID:2</t>
  </si>
  <si>
    <t>Function_AcuRev4100_021_01_case9</t>
  </si>
  <si>
    <t>1、分别通过Tcp/Rtu/USB,连接AcuRev4100电表到Acuview2上，链接状态为connected
设置参数：
modbus RTU ：OFF
2、查看Rtu连接是否正常
3.查看USB连接是否正常</t>
  </si>
  <si>
    <t>Function_AcuRev4100_021_01_case10</t>
  </si>
  <si>
    <t>1、Acuview2上位机
2、网线/RTU串口线
3、AcuRev4100电表
4、modbus RTU OFF
5、modbus TCP ON</t>
  </si>
  <si>
    <t xml:space="preserve">1、通过Tcp/USB连接AcuRev4100电表到Acuview2上，链接状态为connected
设置参数：
modbus RTU ：ON
2、通过RTU连接AcuRev4100电表到Acuview2
3.查看USB连接是否正常
</t>
  </si>
  <si>
    <t>Function_AcuRev4100_021_01_case11</t>
  </si>
  <si>
    <t>1、通过Tcp/USB连接AcuRev4100电表到Acuview2上，链接状态为connected
2、设置波特率设置为2400、奇校验(ODD)
3、通过RTU连接AcuRev4100电表到Acuview2上，设置连接参数：波特率设置为2400、奇校验(ODD)，是否连接成功。
4、通过Tcp连接AcuRev4100电表到Acuview2上，链接状态为connected
5、设置波特率设置为4800、奇校验(ODD)
6、通过RTU连接AcuRev4100电表到Acuview2上，设置连接参数：波特率设置为4800、奇校验(ODD)，是否连接成功。</t>
  </si>
  <si>
    <t>Function_AcuRev4100_021_01_case12</t>
  </si>
  <si>
    <t>1、通过Tcp连/USB接AcuRev4100电表到Acuview2上，链接状态为connected
2、设置波特率设置为9600、奇校验(ODD)
3、通过RTU连接AcuRev4100电表到Acuview2上，设置连接参数：波特率设置为9600、奇校验(ODD)，是否连接成功。
4、通过Tcp连接AcuRev4100电表到Acuview2上，链接状态为connected
5、设置波特率设置为19200、奇校验(ODD)
6、通过RTU连接AcuRev4100电表到Acuview2上，设置连接参数：波特率设置为19200、奇校验(ODD)，是否连接成功。</t>
  </si>
  <si>
    <t>Function_AcuRev4100_021_01_case13</t>
  </si>
  <si>
    <r>
      <rPr>
        <sz val="10"/>
        <color rgb="FF000000"/>
        <rFont val="微软雅黑"/>
        <family val="2"/>
        <charset val="134"/>
      </rPr>
      <t xml:space="preserve">1、通过Tcp/USB连接AcuRev4100电表到Acuview2上，链接状态为connected
</t>
    </r>
    <r>
      <rPr>
        <sz val="9"/>
        <color rgb="FF000000"/>
        <rFont val="微软雅黑"/>
        <family val="2"/>
        <charset val="134"/>
      </rPr>
      <t>2、设置波特率设</t>
    </r>
    <r>
      <rPr>
        <sz val="10"/>
        <color rgb="FF000000"/>
        <rFont val="微软雅黑"/>
        <family val="2"/>
        <charset val="134"/>
      </rPr>
      <t>置为38400、奇校验(EVEN)
3、通过RTU连接AcuRev4100电表到Acuview2上，设置连接参数：波特率设置为38400、奇校验(EVEN)，是否连接成功。
4、通过Tcp连接AcuRev4100电表到Acuview2上，链接状态为connected
5、设置波特率设置为57600、奇校验(EVEN)
6、通过RTU连接AcuRev4100电表到Acuview2上，设置连接参数：波特率设置为57600、奇校验(EVEN)，是否连接成功。</t>
    </r>
  </si>
  <si>
    <t>Function_AcuRev4100_021_01_case14</t>
  </si>
  <si>
    <t>1、通过Tcp/USB连接AcuRev4100电表到Acuview2上，链接状态为connected
2、设置波特率设置为76800、奇校验(EVEN)
3、通过RTU连接AcuRev4100电表到Acuview2上，设置连接参数：波特率设置为76800、奇校验(EVEN)，是否连接成功。
4、通过Tcp连接AcuRev4100电表到Acuview2上，链接状态为connected
5、设置波特率设置为115200、奇校验(EVEN)
6、通过RTU连接AcuRev4100电表到Acuview2上，设置连接参数：波特率设置为115200、奇校验(EVEN)，是否连接成功。</t>
  </si>
  <si>
    <t>Function_AcuRev4100_021_01_case15</t>
  </si>
  <si>
    <t>1、通过Tcp/USB连接AcuRev4100电表到Acuview2上，链接状态为connected
2、设置波特率设置为76800、无校验(None1)
3、通过RTU连接AcuRev4100电表到Acuview2上，设置连接参数：波特率设置为76800、无校验(None1)，是否连接成功。
4、通过Tcp连接AcuRev4100电表到Acuview2上，链接状态为connected
5、设置波特率设置为115200、无校验(None2)
6、通过RTU连接AcuRev4100电表到Acuview2上，设置连接参数：波特率设置为115200、无校验(None2)，是否连接成功。</t>
  </si>
  <si>
    <t>Function_AcuRev4100_021_01_case16</t>
  </si>
  <si>
    <t>1、通过RTU连接AcuRev4100电表到Acuview2上，链接状态为connected
2、设置串口参数（如下参数可参考）：
波特率设置为9600、奇校验(ODD)
3、观察上位机是否重连</t>
  </si>
  <si>
    <t>Fault_AcuRev4100_021_01_case17</t>
  </si>
  <si>
    <t>1、通过Tcp连接AcuRev4100电表到Acuview2上，链接状态为connected
2、设置波特率设置为76800、奇校验(ODD)
3、通过RTU连接AcuRev4100电表到Acuview2上，设置连接参数：波特率设置为76800、偶校验(EVEN)，是否连接成功。
4.通过USB连接AcuRev4100电表到Acuview2上，设置连接参数：波特率设置为76800、偶校验(EVEN)，是否连接成功。</t>
  </si>
  <si>
    <t>Fault_AcuRev4100_021_01_case18</t>
  </si>
  <si>
    <t>1、通过Tcp连接AcuRev4100电表到Acuview2上，链接状态为connected
2、设置波特率设置为76800、偶校验(EVEN)
3、通过RTU连接AcuRev4100电表到Acuview2上，设置连接参数：波特率设置为76800、无校验(None2)，是否连接成功。
4.通过USB连接AcuRev4100电表到Acuview2上，设置连接参数：波特率设置为76800、无校验(None2)，是否连接成功。</t>
  </si>
  <si>
    <t>Function_AcuRev4100_021_01_case19</t>
  </si>
  <si>
    <t>1、分别通过Tcp/Rtu/USB连接AcuRev4100电表到Acuview2上，链接状态为connected
设置参数：
modbus TCP ：OFF
2、查看TCP连接是否正常</t>
  </si>
  <si>
    <t>Function_AcuRev4100_021_01_case20</t>
  </si>
  <si>
    <t>1、Acuview2上位机
2、网线/RTU串口线
3、AcuRev4100电表
4、modbus RTU ON
5、modbus TCP OFF</t>
  </si>
  <si>
    <t>1、通过Rtu/USB连接AcuRev4100电表到Acuview2上，链接状态为connected
设置参数：
modbus TCP ：ON
2、通过TCP连接AcuRev4100电表到Acuview2上</t>
  </si>
  <si>
    <t>Function_AcuRev4100_021_01_case20_01</t>
  </si>
  <si>
    <t>1.通过Tcp连接AcuRev4100电表到Acuview2上，链接状态为connected
2.断开网线，随后立即插上网线
3.上位机依次点击断开tcp及连接tcp按钮。
4.查看上位机页面状态</t>
  </si>
  <si>
    <t>Function_AcuRev4100_021_01_case21</t>
  </si>
  <si>
    <t>1、通过RTU连接AcuRev4100电表到Acuview2上，链接状态为connected
2、设置Port为1
3、通过TCP连接AcuRev4100电表到Acuview2上，设置连接参数：Port为1，是否连接成功
4、通过RTU连接AcuRev4100电表到Acuview2上，链接状态为connected
5、设置Port为502
6、通过TCP连接AcuRev4100电表到Acuview2上，设置连接参数：Port为502，是否连接成功</t>
  </si>
  <si>
    <t>Function_AcuRev4100_021_01_case22</t>
  </si>
  <si>
    <t>1、通过RTU连接AcuRev4100电表到Acuview2上，链接状态为connected
2、设置Port为503
3、通过TCP连接AcuRev4100电表到Acuview2上，设置连接参数：Port为503，是否连接成功
4、通过RTU连接AcuRev4100电表到Acuview2上，链接状态为connected
5、设置Port为65534
6、通过TCP连接AcuRev4100电表到Acuview2上，设置连接参数：Port为65534，是否连接成功</t>
  </si>
  <si>
    <t>Function_AcuRev4100_021_01_case23</t>
  </si>
  <si>
    <t>1、分别通过RTU/TCP连接AcuRev4100电表到Acuview2上，链接状态为connected
2、设置Port为0
5、设置Port为65535</t>
  </si>
  <si>
    <t>Function_AcuRev4100_021_01_case24</t>
  </si>
  <si>
    <t>1、通过TCP连接AcuRev4100电表到Acuview2上，链接状态为connected
2、设置Port（如下参数可参考）：
Port：500
3、观察上位机是否重连</t>
  </si>
  <si>
    <t>Function_AcuRev4100_021_01_case25</t>
  </si>
  <si>
    <t>上位机上通过Tcp/Rtu/USB,恢复网络默认配置（network reset）</t>
  </si>
  <si>
    <t>1、分别通过Tcp/Rtu/USB连接AcuRev4100电表到Acuview2上，链接状态为connected
2、上位机上恢复网络默认配置（network reset）
DHCP enable:0  （0: manual1: DHCP）
IP address:192.168.1.254
Subnet mask:255.255.255.0
Gateway:192.168.1.1
DNS primary server:8.8.8.8
DNS secondary server: 8.8.4.4
port：无需恢复</t>
  </si>
  <si>
    <t>2、电表恢复网络默认配置成功
DHCP enable:0
IP address:192.168.1.254
Subnet mask:255.255.255.0
Gateway:192.168.1.1
DNS primary server:8.8.8.8
DNS secondary server: 8.8.4.4
port：保持原值</t>
  </si>
  <si>
    <t>Function_AcuRev4100_021_01_case26</t>
  </si>
  <si>
    <t>Function_AcuRev4100_021_01_case27</t>
  </si>
  <si>
    <t>Function_AcuRev4100_021_01_case28</t>
  </si>
  <si>
    <t>1、HMI上设置网络通信参数：Port为1
2、通过TCP连接AcuRev4100电表到Acuview2上，设置连接参数：Port为1，是否连接成功
3、HMI上设置网络通信参数：Port为502
4、通过TCP连接AcuRev4100电表到Acuview2上，设置连接参数：Port为502，是否连接成功</t>
  </si>
  <si>
    <t>Function_AcuRev4100_021_01_case29</t>
  </si>
  <si>
    <t>1、HMI上设置网络通信参数：Port为503
2、通过TCP连接AcuRev4100电表到Acuview2上，设置连接参数：Port为503，是否连接成功
3、HMI上设置网络参数：Port为65534
4、通过TCP连接AcuRev4100电表到Acuview2上，设置连接参数：Port为65534，是否连接成功</t>
  </si>
  <si>
    <t>Function_AcuRev4100_021_01_case30</t>
  </si>
  <si>
    <t>Function_AcuRev4100_021_01_case31</t>
  </si>
  <si>
    <t>1、HMI上设置网络通信参数：slaveID为1
2、分别通过TCP/RTU连接AcuRev4100电表到Acuview2上，设置连接参数：slaveID：1，是否连接成功
3、HMI上设置网络参数：slaveID为2
4、分别通过TCP/RTU/USB连接AcuRev4100电表到Acuview2上，设置连接参数：slaveID：2，是否连接成功</t>
  </si>
  <si>
    <t>Function_AcuRev4100_021_01_case32</t>
  </si>
  <si>
    <t>1、HMI上设置网络通信参数：slaveID为5
2、分别通过TCP/RTU/USB连接AcuRev4100电表到Acuview2上，设置连接参数：slaveID：5，是否连接成功
3、HMI上设置网络通信参数：slaveID为247
4、分别通过TCP/RTU连接AcuRev4100电表到Acuview2上，设置连接参数：slaveID：247，是否连接成功</t>
  </si>
  <si>
    <t>Function_AcuRev4100_021_01_case33</t>
  </si>
  <si>
    <t>Function_AcuRev4100_021_01_case34</t>
  </si>
  <si>
    <t>1、HMI上设置网络通信参数：modbus RTU ：Disable
2、查看能否通过RTU/USB连接AcuRev4100电表到Acuview2上
3、HMI上设置网络通信参数：modbus RTU： Enable
4、上位机上点击重新连接图标，查看是否能连接成功
备注：测试中发现执行步骤3、4后，上位机会出现闪退</t>
  </si>
  <si>
    <t>Function_AcuRev4100_021_01_case35</t>
  </si>
  <si>
    <t>1、HMI上设置网络通信参数：modbus RTU ：Enable
2、查看能否通过RTU连接AcuRev4100电表到Acuview2上</t>
  </si>
  <si>
    <t>Function_AcuRev4100_021_01_case36</t>
  </si>
  <si>
    <t>1、HMI上设置网络通信参数：波特率设置为2400，奇校验(ODD)
2、通过RTU/USB连接AcuRev4100电表到Acuview2上，设置连接参数：波特率2400，奇校验(ODD)，是否连接成功
3、HMI上设置网络通信参数：波特率设置为4800，奇校验(ODD)
4、通过RTU/USB连接AcuRev4100电表到Acuview2上，设置连接参数：波特率4800，奇校验(ODD)，是否连接成功</t>
  </si>
  <si>
    <t>Function_AcuRev4100_021_01_case37</t>
  </si>
  <si>
    <t>1、HMI上设置网络通信参数：波特率设置为9600，奇校验(ODD)
2、通过RTU/USB连接AcuRev4100电表到Acuview2上，设置连接参数：波特率9600，奇校验(ODD)，是否连接成功
3、HMI上设置网络通信参数：波特率设置为19200，奇校验(ODD)
4、通过RTU/USB连接AcuRev4100电表到Acuview2上，设置连接参数：波特率19200，奇校验(ODD)，是否连接成功</t>
  </si>
  <si>
    <t>Function_AcuRev4100_021_01_case38</t>
  </si>
  <si>
    <t>1、HMI上设置网络通信参数：波特率设置为38400，奇校验(EVEN)
2、通过RTU/USB连接AcuRev4100电表到Acuview2上，设置连接参数：波特率38400，奇校验(EVEN)，是否连接成功
3、HMI上设置网络通信参数：波特率设置为57600，奇校验(EVEN)
4、通过RTU/USB连接AcuRev4100电表到Acuview2上，设置连接参数：波特率57600，奇校验(EVEN)，是否连接成功</t>
  </si>
  <si>
    <t>Function_AcuRev4100_021_01_case39</t>
  </si>
  <si>
    <t>1、HMI上设置网络通信参数：波特率设置为76800，奇校验(EVEN)
2、通过RTU/USB连接AcuRev4100电表到Acuview2上，设置连接参数：波特率76800，奇校验(EVEN)，是否连接成功
3、HMI上设置网络通信参数：波特率设置为115200，奇校验(EVEN)
4、通过RTU/USB连接AcuRev4100电表到Acuview2上，设置连接参数：波特率115200，奇校验(EVEN)，是否连接成功</t>
  </si>
  <si>
    <t>Function_AcuRev4100_021_01_case40</t>
  </si>
  <si>
    <t>1、HMI上设置网络通信参数：波特率设置为76800，无校验(None1)
2、通过RTU/USB连接AcuRev4100电表到Acuview2上，设置连接参数：波特率76800，无校验(None1)，是否连接成功
3、HMI上设置网络通信参数：波特率设置为115200，无校验(None2)
4、通过RTU/USB连接AcuRev4100电表到Acuview2上，设置连接参数：波特率115200，无校验(None2)，是否连接成功</t>
  </si>
  <si>
    <t>Function_AcuRev4100_021_01_case41</t>
  </si>
  <si>
    <t>1、HMI上设置网络通信参数：modbus TCP：Disable
2、查看能否通过TCP连接AcuRev4100电表到Acuview2上</t>
  </si>
  <si>
    <t>Function_AcuRev4100_021_01_case42</t>
  </si>
  <si>
    <t>1、HMI上设置网络通信参数：modbus TCP ：Enable
2、查看能否通过TCP连接AcuRev4100电表到Acuview2上</t>
  </si>
  <si>
    <t>Function_AcuRev4100_021_01_case43</t>
  </si>
  <si>
    <t>1、AcuRev4100电表通过网线连接路由器
2、HMI上设置网络通信参数：DHCP enable:1（0: manual1: DHCP）
3、次时在HMI的IP页面，手动更改IP地址</t>
  </si>
  <si>
    <t>Function_AcuRev4100_021_01_case44</t>
  </si>
  <si>
    <t>Function_AcuRev4100_021_01_case44_01</t>
  </si>
  <si>
    <t>Function_AcuRev4100_021_01_case45</t>
  </si>
  <si>
    <t>两个AcuRev4100通过Daisy Chain接线方式，两个表通信正常。</t>
  </si>
  <si>
    <t>1、两个AcuRev4100已手动分配IP，使用网线通过Daisy Chain接线方式连接在一起，其中一个电表连接电脑PC1
2、PC1上打开两个Acuview2上位机客户端，分别通过TCP方式连接电表A和电表B</t>
  </si>
  <si>
    <t>2、PC1中两个Acuview2上位机都能连接AcuRev4100成功，通信正常</t>
  </si>
  <si>
    <t>Function_AcuRev4100_021_01_case46</t>
  </si>
  <si>
    <t>两个AcuRev4100通过Daisy Chain接线方式，通过DHCP获取IP地址正常，通信正常</t>
  </si>
  <si>
    <t>1、两个AcuRev4100通过Daisy Chain接线方式连接在一起，其中一个电表连接路由器，一个电表直连电脑
2、在HMI上打开两个AcuRev4100的DHCP，查看是否都能获取动态IP, GW，NetMask成功
3、PC1打开两个Acuview2上位机客户端，分别通过AcuRev4100电表自动获取的IP, GW，NetMask进行TCP连接电表A和电表B</t>
  </si>
  <si>
    <t>2、两个AcuRev4100电表都能获取动态IP, GW，NetMask成功
3、两个Acuview2上位机都能连接AcuRev4100成功，通信正常</t>
  </si>
  <si>
    <t>Function_AcuRev4100_021_01_case47</t>
  </si>
  <si>
    <t>两个AcuRev4100通过Daisy Chain接线方式，链接上位机，配置静态IP地址功能正常</t>
  </si>
  <si>
    <t>1、两个AcuRev4100通过Daisy Chain接线方式连接在一起，其中一个电表连接路由器或直连电脑
2、打开两个Acuview2上位机客户端，分别通过TCP方式连接AcuRev4100电表
3、分别通过上位机配置静态IP地址（新配置IP相互不冲突），查看能否配置成功</t>
  </si>
  <si>
    <t>2、两个Acuview2上位机都能连接AcuRev4100成功，通信正常
3、配置静态IP地址成功。上位机（重连）与HMI页面更新显示新配置IP</t>
  </si>
  <si>
    <t>Function_AcuRev4100_021_01_case49</t>
  </si>
  <si>
    <t>1、连接AcuRev4100电表到Acuview2上，链接状态为connected
2、上位机上关闭DHCP（manual），并同时配置网络参数
DHCP enable:0 （0: manual1: DHCP）
IP address:192.168.1.252
Gateway:192.168.1.2
DNS primary server:9.9.9.9
DNS secondary server: 8.8.9.9
port：503
3、检查电表的网络配置是否为：IP2地址，Gateway2，DNS 3，DNS 4 ,port2</t>
  </si>
  <si>
    <t>Stable_AcuRev4100_021_01_case50</t>
  </si>
  <si>
    <t>1、连接AcuRev4100电表到Acuview2上，链接状态为connected
2、DHCP在auto模式下,连续快速插拔网线20次（断开/连接电表和路由器）</t>
  </si>
  <si>
    <t>Stable_AcuRev4100_021_01_case51</t>
  </si>
  <si>
    <t>Stable_AcuRev4100_021_01_case52</t>
  </si>
  <si>
    <t>1、通过RTU连接AcuRev4100电表到Acuview2上，链接状态为connected
2、上位机上反复将DHCP从manual切换至auto,auto切换至manual（切manual时，同时更改IP：192.168.1.252），循环20次，观测电表和上位机是否运行正常</t>
  </si>
  <si>
    <t>Function_AcuRev4100_021_01_case53</t>
  </si>
  <si>
    <t>1、分别通过Tcp/Rtu/USB连接AcuRev4100电表到Acuview2上，链接状态为connected
2、多次手动配置静态IP（循环5次）
3、查看上位机与电表状态</t>
  </si>
  <si>
    <t>Function_AcuRev4100_021_02_case1</t>
  </si>
  <si>
    <t>1、通过TCP方式把连接到AcuRev4100上，链接状态为connected
2、四个客户端分别做查看电压，修改参数，重置能量，配置时间四个操作。
3、检查四个客户端进行的不同操作否是全部成功
4、创建第5个TCP客户端，并配置时间
5、检查第五个客户端配置时间操作是否成功</t>
  </si>
  <si>
    <t>3、四个客户端进行的不同操作全部成功
5、第五个客户端配置时间操作失败</t>
    <phoneticPr fontId="10" type="noConversion"/>
  </si>
  <si>
    <t>Function_AcuRev4100_021_02_case2</t>
  </si>
  <si>
    <t>Function_AcuRev4100_021_02_case3</t>
  </si>
  <si>
    <t>Function_AcuRev4100_021_02_case4</t>
  </si>
  <si>
    <t>Function_AcuRev4100_021_02_case5</t>
  </si>
  <si>
    <t>Function_AcuRev4100_021_02_case6</t>
  </si>
  <si>
    <t>Function_AcuRev4100_021_02_case7</t>
  </si>
  <si>
    <t>1、Acuview2上位机
2、网线/RTU串口线
3、AcuRev4100电表
4、modbus TCP ON
5、日志已配置</t>
  </si>
  <si>
    <t>Function_AcuRev4100_021_02_case8</t>
  </si>
  <si>
    <t>Function_AcuRev4100_021_02_case8_01</t>
  </si>
  <si>
    <t>1.通过RTU/tcp连接AcuRev4100电表到Acuview2上，链接状态为connected
2.断掉RTU/tcp
3.再次连接表计连接上位机时，双击连接按钮，查看页面；
4.点击双击后，在列表头点击一下，查看页面</t>
  </si>
  <si>
    <t>Function_AcuRev4100_021_02_case8_02</t>
  </si>
  <si>
    <t>Function_AcuRev4100_021_03_case1</t>
  </si>
  <si>
    <t>Function_AcuRev4100_021_03_case1_01</t>
  </si>
  <si>
    <t>Function_AcuRev4100_021_03_case2</t>
  </si>
  <si>
    <t>连接1个RTU客户端，同时多次读取日志，读取日志正常， 上位机和电表均为出现闪退或死机现象</t>
  </si>
  <si>
    <t>Function_AcuRev4100_021_03_case4</t>
  </si>
  <si>
    <t>Function_AcuRev4100_021_03_case1_05</t>
  </si>
  <si>
    <t>Function_AcuRev4100_021_03_case6</t>
  </si>
  <si>
    <t>Function_AcuRev4100_021_04_case1</t>
  </si>
  <si>
    <t>1、Acuview2上位机
2、网线连接路由器/RTU串口线
3、AcuRev4100电表</t>
  </si>
  <si>
    <t>Function_AcuRev4100_021_04_case1_01</t>
  </si>
  <si>
    <t>Function_AcuRev4100_021_04_case2</t>
  </si>
  <si>
    <t>Function_AcuRev4100_021_04_case3</t>
  </si>
  <si>
    <t>Function_AcuRev4100_021_04_case4</t>
  </si>
  <si>
    <t>Function_AcuRev4100_021_04_case5</t>
  </si>
  <si>
    <t>Function_AcuRev4100_021_04_case6</t>
  </si>
  <si>
    <t>1、Acuview2上位机
2、网线连接路由器/RTU串口线
3、AcuRev4100电表</t>
    <phoneticPr fontId="10" type="noConversion"/>
  </si>
  <si>
    <t>Function_AcuRev4100_021_04_case7</t>
  </si>
  <si>
    <t>1、Acuview2上位机
2、RTU串口线连接两个AcuRev4100电表</t>
  </si>
  <si>
    <t>Function_AcuRev4100_021_04_case7_01</t>
  </si>
  <si>
    <t>Function_AcuRev4100_021_04_case7_02</t>
  </si>
  <si>
    <t>Function_AcuRev4100_021_04_case7_03</t>
  </si>
  <si>
    <t>Function_AcuRev4100_021_04_case8</t>
  </si>
  <si>
    <t>1、 两个AcuRev4100电表</t>
    <phoneticPr fontId="10" type="noConversion"/>
  </si>
  <si>
    <t>Function_AcuRev4100_021_04_case9</t>
  </si>
  <si>
    <t>Function_AcuRev4100_021_04_case10</t>
  </si>
  <si>
    <t>Function_AcuRev4100_022_01_case1</t>
  </si>
  <si>
    <t>串口工具读取实时量寄存器成功</t>
  </si>
  <si>
    <t>1、Acuview2上位机
2、网线/RTU串口线
3、AcuRev4100电表
4、BACNet 使能</t>
  </si>
  <si>
    <t>1、使用Yabe软件通过BACNet的方式连接AcuRev4100
2、Yabe软件Address Space中选择OBJECT_ANALOG_INPUT:1~276参数（Real time）其中的任意一个
3、检查返回的值为vlaue1
注：BACNet测试工具和报文待更新</t>
  </si>
  <si>
    <t>2、报文发送成功，响应数据帧正确
3、返回的值vlaue1正确。与HMI或上位机展示的读取实时值数据一致（数据实时刷新，存在一定波动，此处满足精度范围即可接受）</t>
    <phoneticPr fontId="10" type="noConversion"/>
  </si>
  <si>
    <t>Function_AcuRev4100_022_01_case2</t>
  </si>
  <si>
    <t>串口工具读取电能寄存器成功</t>
  </si>
  <si>
    <t>1、使用Yabe软件通过BACNet的方式连接AcuRev4100
2、Yabe软件Address Space中选择OBJECT_LARGE_ANALOG_VALUE:1~360参数（Energy）其中的任意一个
3、检查返回的值为vlaue1
注：BACNet测试工具和报文待更新</t>
  </si>
  <si>
    <t>2、报文发送成功，响应数据帧正确
3、返回的值vlaue1正确。与HMI或上位机展示的读取实时数据一致（数据实时刷新，存在一定波动，此处满足精度范围即可接受）</t>
  </si>
  <si>
    <t>Function_AcuRev4100_022_01_case3</t>
  </si>
  <si>
    <t>串口工具读取需量寄存器成功</t>
  </si>
  <si>
    <t>1、使用Yabe软件通过BACNet的方式连接AcuRev4100
2、Yabe软件Address Space中选择OBJECT_ANALOG_INPUT:277~516参数（Demand）其中的任意一个
3、检查返回的值为vlaue1
注：BACNet测试工具和报文待更新</t>
  </si>
  <si>
    <t>Function_AcuRev4100_022_01_case4</t>
  </si>
  <si>
    <t>串口工具读取谐波寄存器成功</t>
  </si>
  <si>
    <t>1、使用串口工具（Sscom）通过BACNet的方式连接AcuRev4100
2、发送读取数据报文:
3、检查返回的值为vlaue1
注：BACNet测试工具和报文待更新</t>
  </si>
  <si>
    <t>Function_AcuRev4100_022_01_case5</t>
  </si>
  <si>
    <t>串口工具读取电能质量参数寄存器成功</t>
  </si>
  <si>
    <t>1、使用Yabe软件通过BACNet的方式连接AcuRev4100
2、Yabe软件Address Space中选择OBJECT_ANALOG_INPUT:517~721参数（Power Quality）其中的任意一个
3、检查返回的值为vlaue1
注：BACNet测试工具和报文待更新</t>
  </si>
  <si>
    <t>Function_AcuRev4100_022_02_case1</t>
  </si>
  <si>
    <t>1、使用Yabe软件通过BACNet的方式连接AcuRev4100
2、上位机（TCP方式）或HMI上设置BACNet开关 OFF
3、查看串口工具与AcuRev4100连接是否断开</t>
    <phoneticPr fontId="10" type="noConversion"/>
  </si>
  <si>
    <t>1、通过BACNet的方式连接AcuRev4100成功，
读取数据成功
2、上位机和HMI无报错，上位机与HMI更新显示BACNet开关OFF（Disable）
3、BACNet串口通信断开
读取数据失败</t>
    <phoneticPr fontId="10" type="noConversion"/>
  </si>
  <si>
    <t>Function_AcuRev4100_022_02_case2</t>
  </si>
  <si>
    <t>1、上位机（TCP方式）或HMI上设置BACNet开关 ON
2、使用Yabe软件通过BACNet的方式连接AcuRev4100</t>
  </si>
  <si>
    <t>Function_AcuRev4100_022_02_case3</t>
    <phoneticPr fontId="10" type="noConversion"/>
  </si>
  <si>
    <t>上位机上设置BACNet开关 ON成功，波特率设置为2400、4800 ，奇校验(ODD)，通信正常</t>
  </si>
  <si>
    <t>1、上位机上设置BACNet开关 ON，波特率设置为2400，奇校验(ODD)
2、使用串口工具（Sscom）通过BACNet的方式连接AcuRev4100，参数波特率设置为2400、奇校验(ODD)
发送读取数据报文:
3、上位机上设置BACNet开关 ON，波特率设置为4800，奇校验(ODD)
4、使用串口工具（Sscom）通过BACNet的方式连接AcuRev4100，参数波特率设置为4800、奇校验(ODD)
发送读取数据报文:
1、HMI上Bacnet使能后不显示2400和4800波特率设置。
2、上位机上Bacnet使能后不显示2400和4800波特率设置，通过串口工具来设置的话返回参数错误。
3、在MODBUS模式下如果原先使用的是2400或者4800波特率，切换到Bacnet后波特率会默认修改为19200。</t>
  </si>
  <si>
    <t>2、连接成功，串口工具无报错
读取数据成功
4、连接成功，串口工具无报错
读取数据成功
1、HMI上Bacnet使能后不显示2400和4800波特率设置。
2、上位机上Bacnet使能后不显示2400和4800波特率设置，通过串口工具来设置的话返回参数错误。
3、在MODBUS模式下如果原先使用的是2400或者4800波特率，切换到Bacnet后波特率会默认修改为19200。</t>
  </si>
  <si>
    <t>Function_AcuRev4100_022_02_case4</t>
  </si>
  <si>
    <t>上位机上设置BACNet开关 ON成功，波特率设置为9600、19200，奇校验(ODD)，通信正常</t>
  </si>
  <si>
    <t>1、上位机上设置BACNet开关 ON，波特率设置为9600，奇校验(ODD)
2、使用串口工具（Sscom）通过BACNet的方式连接AcuRev4100，参数波特率设置为9600，奇校验(ODD)
发送读取数据报文:
3、上位机上设置BACNet开关 ON，波特率设置为19200，奇校验(ODD)
4、使用串口工具（Sscom）通过BACNet的方式连接AcuRev4100，参数波特率设置为19200，奇校验(ODD)
发送读取数据报文:
注：BACNet测试工具和报文待更新</t>
  </si>
  <si>
    <t>Function_AcuRev4100_022_02_case5</t>
  </si>
  <si>
    <t>上位机上设置BACNet开关 ON成功，波特率设置为38400、57600，偶校验(EVEN)，通信正常</t>
  </si>
  <si>
    <t>1、上位机上设置BACNet开关 ON，波特率设置为38400，奇校验(EVEN)
2、使用串口工具（Sscom）通过BACNet的方式连接AcuRev4100，参数波特率设置为38400，奇校验(EVEN)
发送读取数据报文:
3、上位机上设置BACNet开关 ON，波特率设置为57600，奇校验(EVEN)
4、使用串口工具（Sscom）通过BACNet的方式连接AcuRev4100，参数波特率设置为57600，奇校验(EVEN)
发送读取数据报文:
注：具体报文待更新</t>
  </si>
  <si>
    <t>Function_AcuRev4100_022_02_case6</t>
  </si>
  <si>
    <t>上位机上设置BACNet开关 ON成功，波特率设置为76800、115200，偶校验(EVEN)，通信正常</t>
  </si>
  <si>
    <t>1、上位机上设置BACNet开关 ON，波特率设置为76800，奇校验(EVEN)
2、使用串口工具（Sscom）通过BACNet的方式连接AcuRev4100，参数波特率设置为76800，奇校验(EVEN)
发送读取数据报文:
3、上位机上设置BACNet开关 ON，波特率设置为115200，奇校验(EVEN)
4、使用串口工具（Sscom）通过BACNet的方式连接AcuRev4100，参数波特率设置为115200，奇校验(EVEN)
发送读取数据报文:
注：具体报文待更新</t>
  </si>
  <si>
    <t>Function_AcuRev4100_022_02_case7</t>
  </si>
  <si>
    <t>上位机上设置BACNet开关 ON成功，波特率设置为76800、115200，无校验(None1、None2)，通信正常</t>
  </si>
  <si>
    <t>1、上位机上设置BACNet开关 ON，波特率设置为76800，无校验(None1)
2、使用串口工具（Sscom）通过BACNet的方式连接AcuRev4100，参数波特率设置为76800，无校验(None1)
发送读取数据报文:
3、上位机上设置BACNet开关 ON，波特率设置为115200，无校验(None2)
4、使用串口工具（Sscom）通过BACNet的方式连接AcuRev4100，参数波特率设置为115200，无校验(None2)
发送读取数据报文:
注：具体报文待更新</t>
  </si>
  <si>
    <t>Function_AcuRev4100_022_02_case8</t>
  </si>
  <si>
    <t>上位机上设置BACNet开关 ON成功，波特率设置为19200，奇校验(ODD)，串口工具使用偶校验(EVEN)， 链接失败或通信异常</t>
  </si>
  <si>
    <t>1、上位机上设置BACNet开关 ON，波特率设置为19200，奇校验(ODD)
2、使用串口工具（Sscom）通过BACNet的方式连接AcuRev4100，参数波特率设置为19200，偶校验(EVEN)
发送读取数据报文:
注：具体报文待更新</t>
  </si>
  <si>
    <t>Function_AcuRev4100_022_02_case9</t>
    <phoneticPr fontId="10" type="noConversion"/>
  </si>
  <si>
    <t>上位机上设置BACNet开关 ON成功，波特率设置为19200，偶校验(EVEN)，串口工具使用无校验(None2)， 链接失败或通信异常</t>
  </si>
  <si>
    <t>1、上位机上设置BACNet开关 ON，波特率设置为19200，偶校验(EVEN)
2、使用串口工具（Sscom）通过BACNet的方式连接AcuRev4100，参数波特率设置为19200，无校验(None2)
发送读取数据报文:
注：具体报文待更新</t>
  </si>
  <si>
    <t>Function_AcuRev4100_022_02_case10</t>
  </si>
  <si>
    <t>1、使用Yabde通过BACNet的方式连接AcuRev4100
2、5mins超时范围内，任意时刻发送读取数据报文：
2、观察RTU链接是否稳定。</t>
    <phoneticPr fontId="10" type="noConversion"/>
  </si>
  <si>
    <t>Function_AcuRev4100_022_02_case11</t>
  </si>
  <si>
    <t>1、使用Yabe通过BACNet的方式连接AcuRev4100
2、通过TCP方式连接AcuRev4100电表到Acuview2上，链接状态为connected
3、串口工具多次读取电气测量值
4、观察RTU链接是否稳定
5、上位机和电表是否稳定</t>
    <phoneticPr fontId="10" type="noConversion"/>
  </si>
  <si>
    <t>Function_AcuRev4100_022_03_case2</t>
  </si>
  <si>
    <t>1、 BacNet连接两个AcuRev4100电表</t>
  </si>
  <si>
    <t>1、 BacNet连接10个AcuRev4100电表</t>
  </si>
  <si>
    <t>Function_AcuRev4100_023_01_case1</t>
  </si>
  <si>
    <t>1、通过RTU方式连接AcuRev4100电表到Acuview2上，链接状态为connected
2、检查电表的FW版本为Rev1
3、记录电表的日志；记录电表的测量数据值为value1(电压,电流,功率)
4、上传电表FW版本(版本号Rev2),升级波特率选择9600，开始升级，并等待升级完成。
5、观测升级过程是否有错误出现
6、升级完成后，检查电表的FW版本是否为Rev2
7、升级完成后，检查电表的日志是否丢失或改变；检查电表的测量数据是否仍然为value3(电压,电流,功率)</t>
  </si>
  <si>
    <t>Function_AcuRev4100_023_01_case2</t>
  </si>
  <si>
    <t>1、通过RTU方式连接AcuRev4100电表到Acuview2上，链接状态为connected
2、检查电表的FW版本为Rev1
3、记录电表的日志；记录电表的测量数据值为value1(电压,电流,功率)
4、上传电表FW版本(版本号Rev2),升级波特率选择19200，开始升级，并等待升级完成。
5、观测升级过程是否有错误出现
6、升级完成后，检查电表的FW版本是否为Rev2
7、升级完成后，检查电表的日志是否丢失或改变；检查电表的测量数据是否仍然为value4(电压,电流,功率)</t>
  </si>
  <si>
    <t>Function_AcuRev4100_023_01_case3</t>
  </si>
  <si>
    <t>1、通过RTU方式连接AcuRev4100电表到Acuview2上，链接状态为connected
2、检查电表的FW版本为Rev1
3、记录电表的日志；记录电表的测量数据值为value1(电压,电流,功率)
4、上传电表FW版本(版本号Rev2),升级波特率选择38400，开始升级，并等待升级完成。
5、观测升级过程是否有错误出现
6、升级完成后，检查电表的FW版本是否为Rev2
7、升级完成后，检查电表的日志是否丢失或改变；检查电表的测量数据是否仍然为value5(电压,电流,功率)</t>
  </si>
  <si>
    <t>Function_AcuRev4100_023_01_case4</t>
  </si>
  <si>
    <t>1、通过RTU方式连接AcuRev4100电表到Acuview2上，链接状态为connected
2、检查电表的FW版本为Rev1
3、记录电表的日志；记录电表的测量数据值为value1(电压,电流,功率)
4、上传电表FW版本(版本号Rev2),升级波特率选择57600，开始升级，并等待升级完成。
5、观测升级过程是否有错误出现
6、升级完成后，检查电表的FW版本是否为Rev2
7、升级完成后，检查电表的日志是否丢失或改变；检查电表的测量数据是否仍然为value6(电压,电流,功率)</t>
  </si>
  <si>
    <t>Function_AcuRev4100_023_01_case4_01</t>
  </si>
  <si>
    <t>Function_AcuRev4100_023_01_case5</t>
  </si>
  <si>
    <t>1、通过RTU方式连接AcuRev4100电表到Acuview2上，链接状态为connected
2、检查电表的FW版本为Rev1
3、记录电表的日志；记录电表的测量数据值为value1(电压,电流,功率)
4、上传电表FW版本(版本号Rev2),升级波特率选择115200，开始升级，并等待升级完成。
5、观测升级过程是否有错误出现
6、升级完成后，检查电表的FW版本是否为Rev2
7、升级完成后，检查电表的日志是否丢失或改变；检查电表的测量数据是否仍然为value8(电压,电流,功率)</t>
  </si>
  <si>
    <t>Function_AcuRev4100_023_01_case6</t>
  </si>
  <si>
    <t>1、通过TCP方式连接AcuRev4100电表到Acuview2上，链接状态为connected
2、检查电表的FW版本为Rev1
3、记录电表的日志；记录电表的测量数据值为value1(电压,电流,功率)
4、上传电表FW版本(版本号Rev2)，开始升级，并等待升级完成。
5、观测升级过程是否有错误出现
6、升级完成后，检查电表的FW版本是否为Rev2
7、升级完成后，检查电表的日志是否丢失或改变；检查电表的测量数据是否仍然为value8(电压,电流,功率)</t>
  </si>
  <si>
    <t>Function_AcuRev4100_023_01_case7</t>
  </si>
  <si>
    <t>电表直连电脑升级，上位机通过TCP方式， 升级成功</t>
  </si>
  <si>
    <t>Function_AcuRev4100_023_01_case8</t>
  </si>
  <si>
    <t>电表链接路由器升级，上位机通过TCP方式， 升级成功</t>
  </si>
  <si>
    <t>Function_AcuRev4100_023_01_case9</t>
  </si>
  <si>
    <t>电表Wifi链接升级，上位机通过TCP方式， 升级成功</t>
  </si>
  <si>
    <t>Function_AcuRev4100_023_01_case10</t>
  </si>
  <si>
    <t>2、上位机升级界面正确加载、解析Accuenergy发布的文件，页面能正确显示
Model：AcuRev4100 
Hardware：V1.0.0  ——展示实际版本信息
Firmware：V1.01    ——展示实际版本信息
4、上位机升级界面升级文件解析失败，提示用户“固件文件无效”</t>
  </si>
  <si>
    <t>Function_AcuRev4100_023_01_case11</t>
  </si>
  <si>
    <t>1、通过RTU方式连接AcuRev4100电表
2、AcuRev4100电表上电后立即按OK键
3、检查电表是否进入boot模式
4、上位机升级界面, 选择 "Is the device running?" ："NO”, “Button pressed in boot?" ： "YES"，开始升级，并等待升级完成。
5、观测升级过程是否有错误出现</t>
  </si>
  <si>
    <t>Stable_AcuRev4100_023_01_case12</t>
  </si>
  <si>
    <t>1、通过RTU方式连接AcuRev4100电表到Acuview2上，链接状态为connected
2、上位机Firmeare Update界面选择升级文件，进行升级
3、连续升级压测10次</t>
  </si>
  <si>
    <t>Stable_AcuRev4100_023_01_case13</t>
  </si>
  <si>
    <t>1、通过TCP方式连接AcuRev4100电表到Acuview2上，链接状态为connected
2、上位机Firmeare Update界面选择升级文件，进行升级
3、连续升级压测10次</t>
  </si>
  <si>
    <t>Fault_AcuRev4100_023_01_case14</t>
  </si>
  <si>
    <t>1、通过TCP方式连接AcuRev4100电表到Acuview2上，链接状态为connected
2、上位机Firmeare Update界面选择升级文件，进行升级
3、升级期间，Windows上cmd窗口持续ping电表IP地址</t>
  </si>
  <si>
    <t>Function_AcuRev4100_023_01_case15</t>
  </si>
  <si>
    <t>1、通过TCP方式连接AcuRev4100电表到Acuview2上，链接状态为connected
2、检查上位机Firmeare Update界面显示</t>
  </si>
  <si>
    <t>2、设备信息栏中IP、Model、 Hardware、 Firmware等信息显示正确
IP：显示正确、完整、无遮挡
Model：AcuRev4100
Hardware：V 1.01
Firmware：V 1.01
注：这里版本信息为样例格式，具体以测试版本为准；Model未确定，后期更新</t>
  </si>
  <si>
    <t>Function_AcuRev4100_023_01_case16</t>
  </si>
  <si>
    <t>1、通过TCP或RTU方式连接AcuRev4100电表到Acuview2上，链接状态为connected
2、上位机Firmeare Update界面选择升级文件，进行升级
3、接入源，输入电压、电流和角度，查看电压、电流和角度是否符合精度要求</t>
  </si>
  <si>
    <t>Function_AcuRev4100_023_01_case17</t>
  </si>
  <si>
    <t>Function_AcuRev4100_023_01_case18</t>
  </si>
  <si>
    <t>Function_AcuRev4100_023_01_case19</t>
  </si>
  <si>
    <t>Function_AcuRev4100_023_02_case1</t>
  </si>
  <si>
    <t>1、铅封封闭，通过RTU方式连接AcuRev4100电表到Acuview2上，链接状态为connected
2、上位机Firmeare Update界面选择升级文件，进行升级</t>
  </si>
  <si>
    <t>Function_AcuRev4100_023_02_case2</t>
  </si>
  <si>
    <t>1、Acuview2上位机
2、网线/RTU串口线
3、AcuRev4100电表
4、铅封封闭</t>
    <phoneticPr fontId="10" type="noConversion"/>
  </si>
  <si>
    <t>1、铅封封闭，通过TCP方式连接AcuRev4100电表到Acuview2上，链接状态为connected
2、上位机Firmeare Update界面选择升级文件，进行升级</t>
  </si>
  <si>
    <t>Function_AcuRev4100_023_02_case2_01</t>
  </si>
  <si>
    <t>Function_AcuRev4100_023_02_case3</t>
  </si>
  <si>
    <t>使用STM32 烧写boot程序的工具反复连接单板，单板稳定运行不会重启</t>
    <phoneticPr fontId="10" type="noConversion"/>
  </si>
  <si>
    <t>1、AcuRev4100电表</t>
    <phoneticPr fontId="10" type="noConversion"/>
  </si>
  <si>
    <t>1、 使用STM32 工具连接电表
2、 在工具中点击Connect
3、 在工具中点击DisConnect
4、 在工具中点击Connect</t>
    <phoneticPr fontId="10" type="noConversion"/>
  </si>
  <si>
    <t>2-4、连接与断连均成功，电表不会重启</t>
    <phoneticPr fontId="10" type="noConversion"/>
  </si>
  <si>
    <t>Function_AcuRev4100_023_02_case4</t>
    <phoneticPr fontId="10" type="noConversion"/>
  </si>
  <si>
    <t>1、 使用STM32 工具连接电表
2、 在工具中点击Connect
3、 烧写 acurev4100-boot-CM7.hex 程序
4、 烧写 acurev4100-boot-CM4.hex 程序
5、 重启电表，检查boot Version 版本</t>
    <phoneticPr fontId="10" type="noConversion"/>
  </si>
  <si>
    <t>Function_AcuRev4100_023_02_case4_01</t>
  </si>
  <si>
    <t>1、信息显示正确，如model显示为AcuRev4100，以及版本号</t>
  </si>
  <si>
    <t>Function_AcuRev4100_023_02_case5</t>
  </si>
  <si>
    <t>Function_AcuRev4100_023_02_case6</t>
  </si>
  <si>
    <t>Function_AcuRev4100_024_01_case1</t>
    <phoneticPr fontId="10" type="noConversion"/>
  </si>
  <si>
    <t>1、Acuview2上位机
2、网线/RTU串口线
3、AcuRev4100电表
4、标准铅封
5、铅封封闭</t>
    <phoneticPr fontId="10" type="noConversion"/>
  </si>
  <si>
    <t>1、连接AcuRev4100电表到Acuview2上，链接状态为connected
2、Acuview2上进行修改接线配置操作（Setting页面）
3、上位机和HMI界面上检查电表的修改接线配置是否配置成功</t>
  </si>
  <si>
    <t>Function_AcuRev4100_024_01_case2</t>
  </si>
  <si>
    <t>1、Acuview2上位机
2、网线/RTU串口线
3、AcuRev4100电表
4、标准铅封
5、铅封封闭</t>
  </si>
  <si>
    <t>1、连接AcuRev4100电表到Acuview2上，链接状态为connected
2、Acuview2上进行修改能量脉冲配置操作（Setting—General页面—Pulse LED parameter selection）
3、上位机和HMI界面上检查电表的能量脉冲配置是否配置成功</t>
  </si>
  <si>
    <t>Function_AcuRev4100_024_01_case3</t>
  </si>
  <si>
    <t>1、连接AcuRev4100电表到Acuview2上，链接状态为connected
2、Acuview2上进行修改需量配置操作（Setting—General页面）
3、上位机和HMI界面上检查电表的需量配置是否配置成功</t>
  </si>
  <si>
    <t>Function_AcuRev4100_024_01_case4</t>
  </si>
  <si>
    <t>1、连接AcuRev4100电表到Acuview2上，链接状态为connected
2、Acuview2上进行修改功率因素计算方法操作（Setting—General页面）
3、上位机和HMI界面上检查电表的功率因素(PF)计算方法是否配置成功</t>
  </si>
  <si>
    <t>Function_AcuRev4100_024_01_case5</t>
  </si>
  <si>
    <t>1、连接AcuRev4100电表到Acuview2上，链接状态为connected
2、Acuview2上进行修改无功功率计算方法操作（Setting—General页面）
3、上位机和HMI界面上检查电表的无功功率（VAR）计算方法配置是否配置成功</t>
  </si>
  <si>
    <t>Function_AcuRev4100_024_01_case6</t>
    <phoneticPr fontId="10" type="noConversion"/>
  </si>
  <si>
    <t>1、连接AcuRev4100电表到Acuview2上，链接状态为connected
2、Acuview2上进行修改TOU配置操作（Setting—TOU Setting页面）
3、上位机和HMI界面上检查电表的TOU配置是否配置成功</t>
  </si>
  <si>
    <t>Function_AcuRev4100_024_01_case7</t>
    <phoneticPr fontId="10" type="noConversion"/>
  </si>
  <si>
    <t>1、连接AcuRev4100电表到Acuview2上，链接状态为connected
2、Acuview2上进行重置TOU记录操作
3、上位机和HMI界面上检查电表的重置TOU记录是否配置成功</t>
  </si>
  <si>
    <t>Function_AcuRev4100_024_01_case8</t>
  </si>
  <si>
    <t>1、铅封封闭
2、通过校准流程写入校准参数
注：待AcuRev4100校准流程和校准参数更新后补充</t>
  </si>
  <si>
    <t>Function_AcuRev4100_024_01_case9</t>
  </si>
  <si>
    <t>1、连接AcuRev4100电表到Acuview2上，链接状态为connected
2、Acuview2上进行恢复出厂设置操作
3、检查电表是否恢复出厂设置</t>
  </si>
  <si>
    <t>Function_AcuRev4100_024_01_case10</t>
  </si>
  <si>
    <t>1、连接AcuRev4100电表到Acuview2上，链接状态为connected
2、Acuview2上进行恢复网络默认配置操作
DHCP enable:0 （0: manual1: DHCP）
IP address:192.168.1.254
Subnet mask:255.255.255.0
Gateway:192.168.1.1
DNS primary server:8.8.8.8
DNS secondary server: 8.8.4.4
port：502</t>
  </si>
  <si>
    <t>Function_AcuRev4100_024_01_case11</t>
  </si>
  <si>
    <t>1、连接AcuRev4100电表到Acuview2上，链接状态为connected
2、Acuview2上进行重置能量 (clear energy)
3、检查电表是否重置能量</t>
  </si>
  <si>
    <t>Function_AcuRev4100_024_01_case12</t>
  </si>
  <si>
    <t>1、连接AcuRev4100电表到Acuview2上，链接状态为connected
2、上位机界面已启用最大需量复位（手动），重置最大需量 (clear Max demand)
3、电表上能否清除复位历史记录</t>
  </si>
  <si>
    <t>Function_AcuRev4100_024_01_case13</t>
    <phoneticPr fontId="10" type="noConversion"/>
  </si>
  <si>
    <t>1、连接AcuRev4100电表到Acuview2上，链接状态为connected
2、Acuview2上进行重置最大/最小 (clear max/min)
3、检查电表是否重置最大/最小</t>
  </si>
  <si>
    <t>Function_AcuRev4100_024_01_case14</t>
  </si>
  <si>
    <t>Function_AcuRev4100_024_01_case15</t>
  </si>
  <si>
    <t>Function_AcuRev4100_024_01_case16</t>
  </si>
  <si>
    <t>Function_AcuRev4100_024_01_case17</t>
  </si>
  <si>
    <t>Function_AcuRev4100_024_01_case18</t>
  </si>
  <si>
    <t>Function_AcuRev4100_024_01_case19</t>
  </si>
  <si>
    <t>Function_AcuRev4100_024_01_case20</t>
  </si>
  <si>
    <t>Function_AcuRev4100_024_01_case21</t>
  </si>
  <si>
    <t>Function_AcuRev4100_024_01_case22</t>
  </si>
  <si>
    <t>Function_AcuRev4100_024_01_case23</t>
  </si>
  <si>
    <t>Function_AcuRev4100_024_01_case24</t>
  </si>
  <si>
    <t>Function_AcuRev4100_024_01_case25</t>
  </si>
  <si>
    <t>Function_AcuRev4100_024_01_case26</t>
  </si>
  <si>
    <t>Function_AcuRev4100_024_01_case27</t>
    <phoneticPr fontId="10" type="noConversion"/>
  </si>
  <si>
    <t>Function_AcuRev4100_024_01_case28</t>
  </si>
  <si>
    <t>Function_AcuRev4100_024_01_case29</t>
  </si>
  <si>
    <t>Function_AcuRev4100_024_01_case30</t>
  </si>
  <si>
    <t>Function_AcuRev4100_024_01_case31</t>
  </si>
  <si>
    <t>Function_AcuRev4100_024_02_case1</t>
    <phoneticPr fontId="10" type="noConversion"/>
  </si>
  <si>
    <t>1、Acuview2上位机
2、网线/RTU串口线
3、AcuRev4100电表
4、铅封未封闭</t>
    <phoneticPr fontId="10" type="noConversion"/>
  </si>
  <si>
    <t>Function_AcuRev4100_024_02_case2</t>
    <phoneticPr fontId="10" type="noConversion"/>
  </si>
  <si>
    <t>Function_AcuRev4100_024_02_case3</t>
  </si>
  <si>
    <t>Function_AcuRev4100_024_02_case4</t>
  </si>
  <si>
    <t>Function_AcuRev4100_024_02_case5</t>
  </si>
  <si>
    <t>Function_AcuRev4100_024_02_case6</t>
  </si>
  <si>
    <t>Function_AcuRev4100_024_02_case7</t>
  </si>
  <si>
    <t>Function_AcuRev4100_024_02_case8</t>
  </si>
  <si>
    <t>Function_AcuRev4100_024_02_case9</t>
  </si>
  <si>
    <t>Function_AcuRev4100_024_02_case10</t>
  </si>
  <si>
    <t>Function_AcuRev4100_024_02_case11</t>
  </si>
  <si>
    <t>Function_AcuRev4100_024_02_case12</t>
  </si>
  <si>
    <t>Function_AcuRev4100_024_02_case13</t>
  </si>
  <si>
    <t>Function_AcuRev4100_024_03_case1</t>
  </si>
  <si>
    <t>Function_AcuRev4100_024_03_case2</t>
  </si>
  <si>
    <t>Function_AcuRev4100_024_03_case3</t>
  </si>
  <si>
    <t>铅封状态，上位机可以修改RO配置，且正常生效</t>
  </si>
  <si>
    <t>1、在上位机修改RO类型，Control Mode、Pulse Width参数
2、铅封封闭，在上位机修改RO类型，Control Mode、Pulse Width参数</t>
  </si>
  <si>
    <t>1、 修改成功，可以正常生效
1、 修改成功，可以正常生效</t>
  </si>
  <si>
    <t>Function_AcuRev4100_024_03_case4</t>
  </si>
  <si>
    <t>Function_AcuRev4100_024_03_case5</t>
  </si>
  <si>
    <t>Function_AcuRev4100_024_03_case6</t>
  </si>
  <si>
    <t>铅封状态，HMI界面可以修改RO配置，且正常生效</t>
  </si>
  <si>
    <t>1、在HMI界面修改RO类型，Control Mode、Pulse Width参数
2、铅封封闭，在HMI界面修改RO类型，Control Mode、Pulse Width参数</t>
  </si>
  <si>
    <t>Function_AcuRev4100_024_03_case7</t>
  </si>
  <si>
    <t>Function_AcuRev4100_025_01_case1</t>
  </si>
  <si>
    <t>CT选型5A/333mV,源输入相电压、电流，校准功能正常</t>
  </si>
  <si>
    <t>1、Acuview2上位机
2、网线/RTU串口线
3、AcuRev4100电表
4、铅封未封闭
5、接入源</t>
  </si>
  <si>
    <t>1、CT选型5A/333mV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4、CT选型5A/333mV，输入三路电流分别为(3A、4A，5A)，在上位机上分别配置为对应A相、B相、C相，测量Ia,Ib,Ic,Iavg满足精度0.1%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</si>
  <si>
    <t xml:space="preserve">2、通过校准工具及校准方法，校准成功
3、测量Van、Vbn、Vcn、Vlnavg满足精度要求0.1%
4、测量Ia,Ib,Ic,Iavg满足精度0.1%
5、phaseA、phaseB、PhaseC的相角满足精度0.1%
6、检查input1的相角满足精度0.1%
</t>
  </si>
  <si>
    <t>Function_AcuRev4100_025_01_case2</t>
  </si>
  <si>
    <t>1、CT选型20A/100mA,
2、根据开发提供的校准工具以及步骤进行校准（校准工具及方法位置：4100项目文件夹—13、各项各领域交付件—SWE— 06 SoftwareVersion—tools—校准工具）
3、校准后重启电表，交流源输入Van、Vbn、Vcn额定电压为(347V,100V,220V),查看测量Van、Vbn、Vcn、Vlnavg满足精度要求0.1%
4、CT选型20A/100mA,，输入三路电流分别为(3A、4A，5A)，在上位机上分别配置为对应A相、B相、C相，测量Ia,Ib,Ic,Iavg满足精度0.1%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t>
  </si>
  <si>
    <t>2、通过校准工具及校准方法，校准成功
3、测量Van、Vbn、Vcn、Vlnavg满足精度要求0.1%
4、测量Ia,Ib,Ic,Iavg满足精度0.1%
5、phaseA、phaseB、PhaseC的相角满足精度0.1%
6、检查input1的相角满足精度0.1%</t>
  </si>
  <si>
    <t>Function_AcuRev4100_025_01_case2_01</t>
  </si>
  <si>
    <t>rct校表
CT选型5A/333mV,源输入相电压、电流，校准功能正常</t>
  </si>
  <si>
    <t xml:space="preserve">1、CT选型5A/333mV
2、根据开发提供的校准工具以及步骤进行校准（校准工具及方法位置：4100项目文件夹—13、各项各领域交付件—SWE— 06 SoftwareVersion—tools—校准工具）
2.1、不同于5A/333mV校准的是，rct校准如下：
50hz ,100mv,100A
60hz,120mv100A
3、校准后重启电表，交流源输入Van、Vbn、Vcn额定电压为(347V,100V,220V),查看测量Van、Vbn、Vcn、Vlnavg满足精度要求0.1%
4、CT选型20A/100mA,，输入三路电流分别为(3A、4A，5A)，在上位机上分别配置为对应A相、B相、C相，测量Ia,Ib,Ic,Iavg满足精度0.1%
5、ABC三相电压角度为(0°  120° 240°)，检查phaseA、phaseB、PhaseC的相角满足精度0.1%
6、input1电流相角分设置为60°、90°、120°，上位机和HMI上检查input1的相角满足精度0.1%
</t>
  </si>
  <si>
    <t>Function_AcuRev4100_025_01_case3</t>
  </si>
  <si>
    <t>24串联后统一校表</t>
  </si>
  <si>
    <t>模拟工厂校表方式，24串联后统一校表
备注：详见文档</t>
  </si>
  <si>
    <t>Function_AcuRev4100_025_01_case3_01</t>
  </si>
  <si>
    <t>可正常查询校准电压 RMS 增益、电流 RMS 增益和电流相角</t>
  </si>
  <si>
    <t xml:space="preserve">1、电表已完成校准
2、 通过校准工具，读取寄存器电压 RMS 增益、电流 RMS 增益和电流相角数据，检查返回值为V 
</t>
  </si>
  <si>
    <t>2、可正常查询校准电压 RMS 增益、电流 RMS 增益和电流相角</t>
  </si>
  <si>
    <t>Function_AcuRev4100_025_02_case1</t>
  </si>
  <si>
    <t>电表下电，电压 RMS 增益、电流 RMS 增益和电流相角不会改变</t>
  </si>
  <si>
    <t xml:space="preserve">1、电表已完成校准
2、 通过校准工具，读取寄存器电压 RMS 增益、电流 RMS 增益和电流相角数据，检查返回值为V 
2、掉电重启电表
3、检查电压 RMS 增益、电流 RMS 增益和电流相角校准值是否改变， 查询方法如下。
 通过校准工具，读取寄存器电压 RMS 增益、电流 RMS 增益和电流相角数据，检查返回值为V 
</t>
  </si>
  <si>
    <t>3、掉电重启，检查电压 RMS 增益、电流 RMS 增益和电流相角校准值未改变</t>
  </si>
  <si>
    <t>Function_AcuRev4100_025_02_case2</t>
  </si>
  <si>
    <t>电表升级，电压 RMS 增益、电流 RMS 增益和电流相角不会改变</t>
  </si>
  <si>
    <t>1、电表已完成校准
2、 通过校准工具，读取寄存器电压 RMS 增益、电流 RMS 增益和电流相角数据，检查返回值为V 
2、电表升级后启动
3、检查电压 RMS 增益、电流 RMS 增益和电流相角校准值是否改变， 查询方法如下。
 通过校准工具，读取寄存器电压 RMS 增益、电流 RMS 增益和电流相角数据，检查返回值为V ，检查报文:</t>
  </si>
  <si>
    <t>3、电表升级，检查电压 RMS 增益、电流 RMS 增益和电流相角校准值未改变</t>
  </si>
  <si>
    <t>Function_AcuRev4100_025_02_case3</t>
    <phoneticPr fontId="10" type="noConversion"/>
  </si>
  <si>
    <t>电表校准完成后，重启电表，检查ADC校准码维持校准后的值</t>
  </si>
  <si>
    <t>1、电表已完成校准
2、 通过校准工具获取电表的ADS 校准码
3、电表重启，再次获取电表的ADS 校准码</t>
  </si>
  <si>
    <t>3、 电表重启，ADS校准码与重启之前保持一致</t>
  </si>
  <si>
    <t>Function_AcuRev4100_026_01_case1</t>
  </si>
  <si>
    <t>Function_AcuRev4100_026_01_case2</t>
  </si>
  <si>
    <t>HMI上设置需量方法，接入源，Demand method为"1"(sliding Block)，Demand update rate为2mins， Demand Interval为11mins，设置成功，首次上报为11分钟后，上报时间间隔为2mins</t>
  </si>
  <si>
    <t>1、HMI上进行需量设置如下：（setting—basic setting页面）
Demand method：1 (sliding Block)
Demand update rate：2mins
Demand Interval：11mins
2、重置需量最值，时间记录为T1
3、距离最近T1最近11分钟整点开始计时T2
4、则是否T2+11分钟首次上报，过去的11分钟需量平均值(电流、功率)为0
连接AcuRev4100电表到Acuview2上，查看需量更新时间
注：需量计算数据准确性在需量计算模块用例覆盖，此处只考虑需量配置相关逻辑</t>
  </si>
  <si>
    <t>1、需量设置成功，上位机和HMI页面更新显示
Demand method：1  (sliding Block)
Demand update rate：2mins
Demand Interval：11mins
4、首次上报为11分钟后，后续上报时间间隔为2mins</t>
  </si>
  <si>
    <t>Function_AcuRev4100_026_01_case3</t>
  </si>
  <si>
    <t>HMI上设置需量方法，接入源，Demand method为"1"(sliding Block)，Demand update rate为5mins， Demand Interval为10mins，设置成功，首次上报为时间为当前最近首个整10分钟时刻点，后续上报时间间隔为5mins</t>
  </si>
  <si>
    <t>1、HMI上进行需量设置如下：（setting—basic setting页面）
Demand method：1(sliding Block)
Demand update rate：5mins
Demand Interval：10mins
2、重置需量最值，时间记录为T1
3、距离最近T1最近10分钟整点开始计时T2
4、则是否T2+5分钟首次上报，过去的10分钟需量平均值(电流、功率)为0
连接AcuRev4100电表到Acuview2上，查看需量更新时间连接
注：需量计算数据准确性在需量计算模块用例覆盖，此处只考虑需量配置相关逻辑</t>
  </si>
  <si>
    <t>1、需量设置成功，上位机和HMI页面更新显示
Demand method：1  (sliding Block)
Demand update rate：5mins
Demand Interval：10mins
2、首次上报为时间为当前最近首个整10分钟时刻点，后续上报时间间隔为5mins</t>
  </si>
  <si>
    <t>Function_AcuRev4100_026_01_case4</t>
  </si>
  <si>
    <t>HMI上设置需量方法，接入源，Demand method为"1"(sliding Block)，Demand update rate为10mins，Demand Interval为10mins，设置成功，首次上报为时间为当前最近首个整10分钟时刻点，后续上报时间间隔为10mins</t>
  </si>
  <si>
    <t>1、HMI上进行需量设置如下：（setting—basic setting页面）
Demand method：1(sliding Block)
Demand update rate：5mins
Demand Interval：5mins
2、重置需量最值，时间记录为T1
3、距离最近T1最近5分钟整点开始计时T2
4、则是否T2+5分钟首次上报，过去的11分钟需量平均值(电流、功率)为0
连接AcuRev4100电表到Acuview2上，查看需量更新时间连接
注：需量计算数据准确性在需量计算模块用例覆盖，此处只考虑需量配置相关逻辑</t>
  </si>
  <si>
    <t>1、需量设置成功，上位机和HMI页面更新显示
Demand method：1  (sliding Block)
Demand update rate：5mins
Demand Interval：5mins
2、首次上报为时间为当前最近首个整5分钟时刻点，后续上报时间间隔为5mins</t>
  </si>
  <si>
    <t>Function_AcuRev4100_026_01_case5</t>
  </si>
  <si>
    <t>HMI上设置需量方法，接入源，Demand method为"1"(sliding Block)，Demand update rate为15mins，Demand Interval为10mins，设置成功，首次上报为时间为当前最近首个整10分钟时刻点，后续上报时间间隔为15mins</t>
  </si>
  <si>
    <t>1、HMI上进行需量设置如下：（setting—basic setting页面）
Demand method：1(sliding Block)
Demand update rate：15mins
Demand Interval：5mins
2、重置需量最值，时间记录为T1
3、距离最近T1最近5分钟整点开始计时T2
4、则是否T2+15分钟首次上报，过去的15分钟需量平均值(电流、功率)为0
连接AcuRev4100电表到Acuview2上，查看需量更新时间连接
注：需量计算数据准确性在需量计算模块用例覆盖，此处只考虑需量配置相关逻辑</t>
  </si>
  <si>
    <t>1、需量设置成功，上位机和HMI页面更新显示
Demand method：1  (sliding Block)
Demand update rate：15mins
Demand Interval：5mins
2、首次上报为时间为当前最近首个整5分钟时刻点，后续上报时间间隔为15mins（此处是否考虑每小时固定更新00min/15min/30min/45min？——待讨论）</t>
  </si>
  <si>
    <t>Function_AcuRev4100_026_01_case6</t>
  </si>
  <si>
    <t>Function_AcuRev4100_026_01_case7</t>
  </si>
  <si>
    <t>HMI上设置需量方法，接入源，Demand method为"0"(Fixed Block)，Demand update rate为1mins， Demand Interval为30mins，设置成功，首次上报为30分钟后，上报时间间隔为30mins</t>
  </si>
  <si>
    <t>1、HMI上进行需量设置如下：（setting—basic setting页面）
Demand method：0 (Fixed Block)
Demand update rate：1mins
Demand Interval：30mins
2、重置需量最值，时间记录为T1
3、距离最近T1最近30分钟整点开始计时T2
4、则是否T2+30分钟首次上报，过去的11分钟需量平均值(电流、功率)为0
连接AcuRev4100电表到Acuview2上，查看需量更新时间
注：需量计算数据准确性在需量计算模块用例覆盖，此处只考虑需量配置相关逻辑</t>
  </si>
  <si>
    <t>1、需量设置成功，上位机和HMI页面更新显示
Demand method：0 (Fixed Block)
Demand update rate：1mins
Demand Interval：30mins
2、首次上报为30分钟后，后续上报时间间隔为30mins</t>
  </si>
  <si>
    <t>Function_AcuRev4100_026_01_case8</t>
  </si>
  <si>
    <t>HMI上设置需量方法，接入源，Demand method为"0"(Fixed Block)，Demand update rate为2mins， Demand Interval为11mins，设置成功，首次上报为11分钟后，上报时间间隔为11mins</t>
  </si>
  <si>
    <t>1、HMI上进行需量设置如下：（setting—basic setting页面）
Demand method：0 (Fixed Block)
Demand update rate：2mins
Demand Interval：15mins
2、重置需量最值，时间记录为T1
3、距离最近T1最近15分钟整点开始计时T2
4、则是否T2+15分钟首次上报，过去的11分钟需量平均值(电流、功率)为0
连接AcuRev4100电表到Acuview2上，查看需量更新时间
注：需量计算数据准确性在需量计算模块用例覆盖，此处只考虑需量配置相关逻辑</t>
  </si>
  <si>
    <t>1、需量设置成功，上位机和HMI页面更新显示
Demand method：0 (Fixed Block)
Demand update rate：2mins
Demand Interval：15mins
2、首次上报为15分钟后，后续上报时间间隔为15min</t>
  </si>
  <si>
    <t>Function_AcuRev4100_026_01_case9</t>
  </si>
  <si>
    <t>1、HMI上进行需量设置如下：（setting—basic setting页面）
Demand method：0 (Fixed Block)
Demand update rate：5mins
Demand Interval：10mins
2、重置需量最值，时间记录为T1
3、距离最近T1最近10分钟整点开始计时T2
4、则是否T2+10分钟首次上报，过去的11分钟需量平均值(电流、功率)为0
连接AcuRev4100电表到Acuview2上，查看需量更新时间
注：需量计算数据准确性在需量计算模块用例覆盖，此处只考虑需量配置相关逻辑</t>
  </si>
  <si>
    <t>Function_AcuRev4100_026_01_case10</t>
  </si>
  <si>
    <t>HMI上设置需量方法，接入源，Demand method为"0"(Fixed Block)，Demand update rate为10mins，Demand Interval为10mins，设置成功，首次上报为时间为当前最近首个整10分钟时刻点，后续上报时间间隔为10mins</t>
  </si>
  <si>
    <t>1、HMI上进行需量设置如下：（setting—basic setting页面）
Demand method：0 (Fixed Block)
Demand update rate：10mins
Demand Interval：10mins
2、重置需量最值，时间记录为T1
3、距离最近T1最近10分钟整点开始计时T2
4、则是否T2+10分钟首次上报，过去的11分钟需量平均值(电流、功率)为0
连接AcuRev4100电表到Acuview2上，查看需量更新时间
注：需量计算数据准确性在需量计算模块用例覆盖，此处只考虑需量配置相关逻辑</t>
  </si>
  <si>
    <t>1、需量设置成功，上位机和HMI页面更新显示
Demand method：0 (Fixed Block)
Demand update rate：10mins
Demand Interval：10mins
2、首次上报为时间为当前最近首个整10分钟时刻点，后续上报时间间隔为10mins</t>
  </si>
  <si>
    <t>Function_AcuRev4100_026_01_case11</t>
  </si>
  <si>
    <t>HMI上设置需量方法，接入源，Demand method为"0"(Fixed Block)，Demand update rate为15mins，Demand Interval为10mins，设置成功，首次上报为时间为当前最近首个整10分钟时刻点，后续上报时间间隔为10mins</t>
  </si>
  <si>
    <t>1、HMI上进行需量设置如下：（setting—basic setting页面）
Demand method：0 (Fixed Block)
Demand update rate：15mins
Demand Interval：10mins
2、重置需量最值，时间记录为T1
3、距离最近T1最近10分钟整点开始计时T2
4、则是否T2+10分钟首次上报，过去的11分钟需量平均值(电流、功率)为0
连接AcuRev4100电表到Acuview2上，查看需量更新时间
注：需量计算数据准确性在需量计算模块用例覆盖，此处只考虑需量配置相关逻辑</t>
  </si>
  <si>
    <t>1、需量设置成功，上位机和HMI页面更新显示
Demand method：0 (Fixed Block)
Demand update rate：15mins
Demand Interval：10mins
2、首次上报为时间为当前最近首个整10分钟时刻点，后续上报时间间隔为10mins</t>
  </si>
  <si>
    <t>Function_AcuRev4100_026_01_case12</t>
  </si>
  <si>
    <t>Function_AcuRev4100_026_01_case13</t>
  </si>
  <si>
    <t>Function_AcuRev4100_026_01_case14</t>
  </si>
  <si>
    <t>1、HMI上进行能量脉冲参数设置如下：（setting—basic setting页面）
Pulse LED parameter selection：0
Energy pulse constant：0.1
Pulse LED width：20
2、连接AcuRev4100电表到Acuview2上，查看能量脉冲参数
注：脉冲精度在脉冲章节覆盖</t>
  </si>
  <si>
    <t>Function_AcuRev4100_026_01_case15</t>
  </si>
  <si>
    <t>1、HMI上进行能量脉冲参数设置如下：（setting—basic setting页面）
Pulse LED parameter selection：360
Energy pulse constant：100000.000
Pulse LED width：100
2、连接AcuRev4100电表到Acuview2上，查看能量脉冲参数
注：脉冲精度在脉冲章节覆盖</t>
  </si>
  <si>
    <t>Function_AcuRev4100_026_01_case16</t>
  </si>
  <si>
    <t>1、HMI上进行能量脉冲参数设置如下：（setting—basic setting页面）
Pulse LED parameter selection：2
Energy pulse constant：99999.000
Pulse LED width：50
2、连接AcuRev4100电表到Acuview2上，查看能量脉冲参数
注：脉冲精度在脉冲章节覆盖，此用例只考虑配置成功</t>
  </si>
  <si>
    <t>Function_AcuRev4100_026_01_case17</t>
  </si>
  <si>
    <t>Function_AcuRev4100_026_01_case18</t>
  </si>
  <si>
    <t>Function_AcuRev4100_026_01_case19</t>
  </si>
  <si>
    <t>Function_AcuRev4100_026_01_case20</t>
  </si>
  <si>
    <t>Function_AcuRev4100_026_01_case21</t>
  </si>
  <si>
    <t>Function_AcuRev4100_026_01_case22</t>
  </si>
  <si>
    <t>Function_AcuRev4100_026_01_case23</t>
  </si>
  <si>
    <t>HMI上设置交流源接线类型(Service Configuration)分别设置为0、1、2、3、4、5，设置参数成功。   -----功能验证接线方式章节覆盖</t>
  </si>
  <si>
    <t>1、HMI上进行交流源接线类型设置（setting—basic setting页面）
2、Service Configuration：1
3、连接AcuRev4100电表到Acuview2上，查看交流源接线类型
4、Service Configuration：2
5、连接AcuRev4100电表到Acuview2上，查看交流源接线类型
6、Service Configuration：3
7、连接AcuRev4100电表到Acuview2上，查看交流源接线类型
8、Service Configuration：4
9、连接AcuRev4100电表到Acuview2上，查看交流源接线类型
10、Service Configuration：5
11、连接AcuRev4100电表到Acuview2上，查看交流源接线类型
注：0: ELEMENT_1_WIRE_2
1: ELEMENT_2_WIRE_3_PHASE_1
2: ELEMENT_2_WIRE_3_DELTA
3: ELEMENT_2_WIRE_3_NETWORK
4: ELEMENT_3_WIRE_4_Y
5：ELEMENT_3_WIRE_4_DELTA
注：功能验证接线方式章节覆盖</t>
  </si>
  <si>
    <t>2、交流源接线类型设置成功
3、上位机和HMI页面更新显示Service Configuration：1
4、交流源接线类型设置成功
5、上位机和HMI页面更新显示Service Configuration：2
6、交流源接线类型设置成功
7、上位机和HMI页面更新显示Service Configuration：3
8、交流源接线类型设置成功
9、上位机和HMI页面更新显示Service Configuration：4
10、交流源接线类型设置成功
11、上位机和HMI页面更新显示Service Configuration：5</t>
  </si>
  <si>
    <t>Function_AcuRev4100_026_01_case24</t>
  </si>
  <si>
    <t>HMI上设置交流源接线类型(Service Configuration)设置为6，设置参数失败。</t>
  </si>
  <si>
    <t>1、HMI上进行交流源接线类型设置（setting—basic setting页面）
2、Service Configuration：6</t>
  </si>
  <si>
    <t>2、交流源接线类型设置失败
Service Configuration：6     ——非法值无法输入</t>
  </si>
  <si>
    <t>Function_AcuRev4100_026_01_case25</t>
  </si>
  <si>
    <t>1、HMI上进行PT1设置（setting—basic setting页面）
2、PT1：50
3、连接AcuRev4100电表到Acuview2上，查看PT1
4、PT1：51
5、连接AcuRev4100电表到Acuview2上，查看PT1
6、PT1：1000000
7、连接AcuRev4100电表到Acuview2上，查看PT1</t>
  </si>
  <si>
    <t>Function_AcuRev4100_026_01_case26</t>
  </si>
  <si>
    <t>Function_AcuRev4100_026_01_case27</t>
  </si>
  <si>
    <t>1、HMI上进行PT2设置（setting—basic setting页面）
2、PT2：50
3、连接AcuRev4100电表到Acuview2上，查看PT2
4、PT2：51
5、连接AcuRev4100电表到Acuview2上，查看PT2
6、PT2：690
7、连接AcuRev4100电表到Acuview2上，查看PT2</t>
  </si>
  <si>
    <t>2、PT2设置成功
3、上位机和HMI页面更新显示：PT2：50
4、PT2设置成功
5、上位机和HMI页面更新显示：PT2：51
6、PT2设置成功
7、上位机和HMI页面更新显示：PT2：690</t>
  </si>
  <si>
    <t>Function_AcuRev4100_026_01_case28</t>
  </si>
  <si>
    <t>Function_AcuRev4100_026_01_case29</t>
  </si>
  <si>
    <t>HMI上设置VAR/PF Convention为0、1，参数设置成功。 0: IEC; 1: IEEE</t>
  </si>
  <si>
    <t>1、HMI上进行VAR/PF Convention设置（setting—basic setting页面）
2、VAR/PF Convention：0 （0: IEC; 1: IEEE）
3、连接AcuRev4100电表到Acuview2上，查看VAR/PF Convention
4、VAR/PF Convention：1 （0: IEC; 1: IEEE）
5、连接AcuRev4100电表到Acuview2上，查看VAR/PF Convention</t>
  </si>
  <si>
    <t>2、VAR/PF Convention设置成功
3、上位机和HMI页面更新显示
VAR/PF Convention：0（0: IEC; 1: IEEE）
4、VAR/PF Convention设置成功
5、上位机和HMI页面更新显示
VAR/PF Convention：1（0: IEC; 1: IEEE）</t>
  </si>
  <si>
    <t>Function_AcuRev4100_026_01_case30</t>
  </si>
  <si>
    <t>HMI上设置VAR/PF Convention为2 参数设置失败。</t>
  </si>
  <si>
    <t>1、HMI上进行VAR/PF Convention设置（setting—basic setting页面）
2、VAR/PF Convention：2</t>
  </si>
  <si>
    <t>2、VAR/PF Convention设置失败
VAR/PF Convention：2    ——非法值无法输入</t>
  </si>
  <si>
    <t>Function_AcuRev4100_026_01_case31</t>
  </si>
  <si>
    <t>HMI上设置VAR/PF Convention为0，参数设置成功，无功功率因素遵循IEC标准。  备注: 无功功率 Q（感性负载）是正数， 无功功率 Q（容性负载）是负数</t>
  </si>
  <si>
    <t>1、HMI上进行设置：VAR/PF Convention：0（0: IEC; 1: IEEE）
2、查看无功功率因素是否遵循IEC标准:
设置电压电流夹角为30°，功率因素为正数
设置电压电流夹角为120°，功率因素为负数
设置电压电流夹角为240°，功率因素为负数
设置电压电流夹角为300°，功率因素为正数</t>
  </si>
  <si>
    <t>1、VAR/PF Convention设置成功，上位机和HMI页面更新显示
VAR/PF Convention：0（0: IEC; 1: IEEE）
2、无功功率因素遵循IEC标准：无功功率 Q（感性负载）是正数， 无功功率 Q（容性负载）是负数</t>
  </si>
  <si>
    <t>Function_AcuRev4100_026_01_case32</t>
  </si>
  <si>
    <t>HMI上设置VAR/PF Convention为1，参数设置成功，无功功率因素遵循IEEE标准。 备注: 无功功率 Q（感性负载）是负数， 无功功率 Q（容性负载）是正数</t>
  </si>
  <si>
    <t>1、HMI上进行设置：VAR/PF Convention：1（0: IEC; 1: IEEE）
2、查看无功功率因素是否遵循IEEE标准:
设置电压电流夹角为30°，功率因素为负数
设置电压电流夹角为120°，功率因素为正数
设置电压电流夹角为240°，功率因素为负数
设置电压电流夹角为300°，功率因素为正数</t>
  </si>
  <si>
    <t>1、VAR/PF Convention设置成功，上位机和HMI页面更新显示
VAR/PF Convention：0（0: IEC; 1: IEEE）
2、无功功率因素遵循IEEE标准： 无功功率 Q（感性负载）是负数， 无功功率 Q（容性负载）是正数</t>
  </si>
  <si>
    <t>Function_AcuRev4100_026_01_case33</t>
  </si>
  <si>
    <t>HMI上设置Reactive Power Calculation Method为0、1，参数设置成功。 0: True Reactive Power  1: Generic Reactive Power</t>
  </si>
  <si>
    <t>1、HMI上进行Reactive Power Calculation Method设置（setting—basic setting页面）
2、Reactive Power Calculation Method：0 （1: True Reactive Power  0: Generic Reactive Power）
3、Reactive Power Calculation Method：1 （1: True Reactive Power  0: Generic Reactive Power）</t>
  </si>
  <si>
    <t>2、Reactive Power Calculation Method设置成功，上位机和HMI页面更新显示
Reactive Power Calculation Method：0
（1: True Reactive Power  0: Generic Reactive Power）
3、Reactive Power Calculation Method设置成功，上位机和HMI页面更新显示
Reactive Power Calculation Method：1
（1: True Reactive Power  0: Generic Reactive Power）</t>
  </si>
  <si>
    <t>Function_AcuRev4100_026_01_case34</t>
  </si>
  <si>
    <t>HMI上设置Reactive Power Calculation Method为3，参数设置失败。</t>
  </si>
  <si>
    <t>1、HMI上进行Reactive Power Calculation Method设置（setting—basic setting页面）
2、Reactive Power Calculation Method：3</t>
  </si>
  <si>
    <t>2、Reactive Power Calculation Method设置失败
Reactive Power Calculation Method：3     ——非法值无法输入</t>
  </si>
  <si>
    <t>Function_AcuRev4100_026_01_case35</t>
  </si>
  <si>
    <t>HMI上设置Phase order为0、1，参数设置成功。 0: ABC 1: ACB</t>
  </si>
  <si>
    <t>1、HMI上进行Phase order设置（setting—basic setting页面）
2、Phase order：0 （0: ABC 1: ACB）
3、Phase order：1 （0: ABC 1: ACB）</t>
  </si>
  <si>
    <t>2、Phase order设置成功，上位机和HMI页面更新显示
Phase order：0（0: ABC 1: ACB）
3、Phase order设置成功，上位机和HMI页面更新显示
Phase order：1（0: ABC 1: ACB）</t>
  </si>
  <si>
    <t>Function_AcuRev4100_026_01_case36</t>
  </si>
  <si>
    <t>HMI上设置Phase order为3，参数设置失败.</t>
  </si>
  <si>
    <t>1、HMI上进行Phase order设置（setting—basic setting页面）
2、Phase order：3</t>
  </si>
  <si>
    <t>2、Phase order设置失败
Phase order：3     ——非法值无法输入</t>
  </si>
  <si>
    <t>Function_AcuRev4100_026_01_case37</t>
  </si>
  <si>
    <t>1、HMI上进行Energy Reading Display format设置（setting—basic setting页面）
2、Energy Reading Display format：0 （0.1 kWh）
3、HMI和上位机上查看Energy Reading显示格式</t>
  </si>
  <si>
    <t>2、Energy Reading Display format设置成功，上位机和HMI页面更新显示
Energy Reading Display format：0 （0.1 kWh）
3、HMI和上位机Energy Reading显示格式为Primary in 0.1 kWh</t>
  </si>
  <si>
    <t>Function_AcuRev4100_026_01_case38</t>
  </si>
  <si>
    <t>1、HMI上进行Energy Reading Display format设置（setting—basic setting页面）
2、Energy Reading Display format：1 （0.01kWh）
3、HMI和上位机上查看Energy Reading显示格式</t>
    <phoneticPr fontId="10" type="noConversion"/>
  </si>
  <si>
    <t>2、Energy Reading Display format设置成功，上位机和HMI页面更新显示
Energy Reading Display format：1 （0.01kWh）
3、HMI和上位机Energy Reading显示格式为Primary in 0.01kWh</t>
  </si>
  <si>
    <t>Function_AcuRev4100_026_01_case39</t>
  </si>
  <si>
    <t>1、HMI上进行Energy Reading Display format设置（setting—basic setting页面）
2、Energy Reading Display format：2 （0.001kWh）
3、HMI和上位机上查看Energy Reading显示格式</t>
  </si>
  <si>
    <t>2、Energy Reading Display format设置成功，上位机和HMI页面更新显示
Energy Reading Display format：1 （0.001kWh）
3、HMI和上位机Energy Reading显示格式为Primary in 0.001kWh</t>
  </si>
  <si>
    <t>Function_AcuRev4100_026_01_case40</t>
  </si>
  <si>
    <t>HMI上设置Energy Reading Display format为3，参数设置失败。</t>
  </si>
  <si>
    <t>1、HMI上进行Energy Reading Display format设置（setting—basic setting页面）
2、Energy Reading Display format：3</t>
  </si>
  <si>
    <t>2、Energy Reading Display format设置失败
Energy Reading Display format：3     ——非法值无法输入</t>
  </si>
  <si>
    <t>Function_AcuRev4100_026_01_case41</t>
  </si>
  <si>
    <t>HMI上设置Basic Reading Display format为0、1，参数设置成功。 0: Secondary  1: Primary</t>
  </si>
  <si>
    <t>1、HMI上进行Basic Reading Display format设置（setting—basic setting页面）
2、Basic Reading Display format：0 （ 0: Secondary  1: Primary）
3、Basic Reading Display format：1（ 0: Secondary  1: Primary）</t>
  </si>
  <si>
    <t>2、Basic Reading Display format设置成功，上位机和HMI页面更新显示
Basic Reading Display format：0（ 0: Secondary  1: Primary）
3、Basic Reading Display format设置成功，上位机和HMI页面更新显示
Basic Reading Display format：1（ 0: Secondary  1: Primary）</t>
  </si>
  <si>
    <t>Function_AcuRev4100_026_01_case42</t>
  </si>
  <si>
    <t>HMI上设置Basic Reading Display format为3，参数设置成功。</t>
  </si>
  <si>
    <t>1、HMI上进行Basic Reading Display format设置（setting—basic setting页面）
2、Basic Reading Display format：3</t>
  </si>
  <si>
    <t>2、Basic Reading Display format设置失败
Basic Reading Display format：3     ——非法值无法输入</t>
  </si>
  <si>
    <t>Function_AcuRev4100_026_02_case1</t>
  </si>
  <si>
    <t>1、电表上电
2、电表HMI上是否正常读取到设备信息和状态
3、连接AcuRev4100电表到Acuview2上，是否正常读取到设备信息和状态，
4、Acuview2上显示的设备信息和状态与HMI上显示是否一致
备注:设备信息和状态如下
Manufacture:ACCUENERGY（CANADA）   ---格式如此，实际值根据实际情况定
model:AcuRev4100-mV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
备注：设备信息页面下不会显示Seal 信息，4100项目该参数在system status页面显示，显示结果为unsealed</t>
  </si>
  <si>
    <t>2、电表HMI上可正常读取到设备信息和状态；显示准确、正常、无乱码、无排版错误
3、Acuview2上可正常读取到设备信息和状态；显示准确、正常、无乱码、无排版错误
4、Acuview2上显示的设备信息和状态与HMI上显示一致
备注:设备信息和状态如下
Manufacture:ACCUENERGY（CANADA）   ---格式如此，实际值根据实际情况定
model:AcuRev4100-mV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t>
  </si>
  <si>
    <t>Function_AcuRev4100_026_02_case1_1</t>
  </si>
  <si>
    <t>Function_AcuRev4100_026_02_case1_2</t>
  </si>
  <si>
    <t>Function_AcuRev4100_026_02_case1_3</t>
  </si>
  <si>
    <t>Function_AcuRev4100_026_02_case1_4</t>
  </si>
  <si>
    <t>1、boot模式下设备型号显示为AcuRev4100</t>
  </si>
  <si>
    <t>Function_AcuRev4100_026_02_case1_5</t>
  </si>
  <si>
    <t>Function_AcuRev4100_026_02_case1_6</t>
  </si>
  <si>
    <t>Function_AcuRev4100_026_02_case2</t>
  </si>
  <si>
    <t>Function_AcuRev4100_026_02_case3</t>
  </si>
  <si>
    <t>Function_AcuRev4100_026_02_case4</t>
  </si>
  <si>
    <t>Function_AcuRev4100_026_02_case5</t>
  </si>
  <si>
    <t>Function_AcuRev4100_027_01_case1</t>
  </si>
  <si>
    <t>1、AcuRev4100电表HMI上密码设置界面（Setting—Maintenance—Password）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</si>
  <si>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Function_AcuRev4100_027_01_case1_01</t>
  </si>
  <si>
    <t>1、AcuRev4100电表HMI上Setting
2.忘记密码后，输入错误密码
3.提供电表SN号及电表当前日期
4.输入临时密码
5.选择是
6.选择否</t>
  </si>
  <si>
    <t>Function_AcuRev4100_027_01_case1_02</t>
  </si>
  <si>
    <t>1、AcuRev4100电表HMI上Setting
2.忘记密码后，输入错误密码
3.提供电表SN号及电表当前日期
4.输入临时密码
5.选择是
6.重置密码
7.点击确定
8.进行修改
9.修改后查看是否能继续使用临时密码</t>
  </si>
  <si>
    <t>Function_AcuRev4100_027_01_case1_03</t>
  </si>
  <si>
    <t>1、AcuRev4100电表HMI上Setting
2.忘记密码后，输入错误密码
3.提供电表SN号及电表当前日期
4.输入临时密码
5.选择否
6.退出setting后再次进入，输入临时密码
7.选择是
8.选择否</t>
  </si>
  <si>
    <t>Function_AcuRev4100_027_01_case1_04</t>
  </si>
  <si>
    <t>1、AcuRev4100电表HMI上Setting
2.忘记密码后，输入错误密码
3.提供电表SN号及电表当前日期
4.输入临时密码
5.选择否
6.退出setting界面
7.修改电表时间到第二天
8.重复步骤2~4</t>
  </si>
  <si>
    <t>Function_AcuRev4100_027_01_case2</t>
    <phoneticPr fontId="10" type="noConversion"/>
  </si>
  <si>
    <t>1、分别通过Tcp/Rtu连接AcuRev4100电表到Acuview2上，链接状态为connected，密码设置界面（Setting—General—Security—Password）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</si>
  <si>
    <t>Function_AcuRev4100_027_01_case2_01</t>
  </si>
  <si>
    <t>1、分别通过Tcp/Rtu连接AcuRev4100电表到Acuview2上，链接状态为connected，密码设置界面
2.忘记密码后，输入错误密码
3.提供电表SN号及电表当前日期
4.修改general中任意参数
5.输入临时密码</t>
  </si>
  <si>
    <t>Function_AcuRev4100_027_01_case2_02</t>
  </si>
  <si>
    <t>1、分别通过Tcp/Rtu连接AcuRev4100电表到Acuview2上，链接状态为connected，密码设置界面
2.忘记密码后，输入错误密码
3.提供电表SN号及电表当前日期
4.修改general中任意参数
5.输入临时密码
6.给表掉电，一段时间后上电，继续输入临时密码</t>
  </si>
  <si>
    <t>Function_AcuRev4100_027_01_case2_03</t>
  </si>
  <si>
    <t>1、分别通过Tcp/Rtu连接AcuRev4100电表到Acuview2上，链接状态为connected，密码设置界面
2.忘记密码后，输入错误密码
3.提供电表SN号及电表当前日期
4.修改general中任意参数
5.输入临时密码
6.修改时钟到第二天
7.提供电表SN号及电表当前新日期</t>
  </si>
  <si>
    <t>Function_AcuRev4100_027_01_case4</t>
  </si>
  <si>
    <t>Function_AcuRev4100_027_02_case1</t>
  </si>
  <si>
    <t>1、AcuRev4100电表HMI上背光设置界面（Setting—Maintenance—LCD Backlight Time）
2、设置背光关闭时间为0min
3、HMI上按键操作后停止，观察HMI是否背光常亮状态</t>
  </si>
  <si>
    <t>Function_AcuRev4100_027_02_case2</t>
  </si>
  <si>
    <t>1、AcuRev4100电表HMI上背光设置界面（Setting—Maintenance—LCD Backlight Time）
2、设置背光关闭时间为1min
3、HMI上按键操作后停止，观察HMI背光状态</t>
  </si>
  <si>
    <t>Function_AcuRev4100_027_02_case3</t>
  </si>
  <si>
    <t>1、AcuRev4100电表HMI上背光设置界面（Setting—Maintenance—LCD Backlight Time）
2、设置背光关闭时间为10min
3、HMI上按键操作后停止，观察HMI背光状态</t>
  </si>
  <si>
    <t>Function_AcuRev4100_027_02_case4</t>
  </si>
  <si>
    <t>1、AcuRev4100电表HMI上背光设置界面（Setting—Maintenance—LCD Backlight Time）
2、设置背光关闭时间为120min
3、HMI上按键操作后停止，观察HMI背光状态</t>
  </si>
  <si>
    <t>Function_AcuRev4100_027_02_case5</t>
  </si>
  <si>
    <t>1、AcuRev4100电表HMI上背光设置界面
2、设置背光关闭时间为121min</t>
  </si>
  <si>
    <t>Function_AcuRev4100_027_02_case6</t>
    <phoneticPr fontId="10" type="noConversion"/>
  </si>
  <si>
    <t>1、分别通过Tcp/Rtu连接AcuRev4100电表到Acuview2上，链接状态为connected
2、背光延迟设置界面（Setting—General—Other—Power On Backlight）
3、设置背光关闭时间为0min
4、HMI上按键操作后停止，观察HMI是否背光常亮状态</t>
  </si>
  <si>
    <t>Function_AcuRev4100_027_02_case7</t>
  </si>
  <si>
    <t>1、分别通过Tcp/Rtu连接AcuRev4100电表到Acuview2上，链接状态为connected
2、背光延迟设置界面（Setting—General—Other—Power On Backlight）
3、设置背光关闭时间为2min
4、HMI上按键操作后停止，观察HMI背光状态</t>
  </si>
  <si>
    <t>Function_AcuRev4100_027_02_case8</t>
  </si>
  <si>
    <t>1、分别通过Tcp/Rtu连接AcuRev4100电表到Acuview2上，链接状态为connected
2、背光延迟设置界面（Setting—General—Other—Power On Backlight）
3、设置背光关闭时间为10min
4、HMI上按键操作后停止，观察HMI背光状态</t>
  </si>
  <si>
    <t>Function_AcuRev4100_027_02_case9</t>
  </si>
  <si>
    <t>1、分别通过Tcp/Rtu连接AcuRev4100电表到Acuview2上，链接状态为connected
2、背光延迟设置界面（Setting—General—Other—Power On Backlight）
3、设置背光关闭时间为120min
4、HMI上按键操作后停止，观察HMI背光状态</t>
  </si>
  <si>
    <t>Function_AcuRev4100_027_02_case10</t>
  </si>
  <si>
    <t>1、分别通过Tcp/Rtu连接AcuRev4100电表到Acuview2上，链接状态为connected
2、背光延迟设置界面（Setting—General—Other—Power On Backlight）
3、设置背光关闭时间为121min</t>
  </si>
  <si>
    <t>Function_AcuRev4100_027_02_case10_01</t>
  </si>
  <si>
    <t>1、分别通过Tcp/Rtu连接AcuRev4100电表到Acuview2上，链接状态为connected
2、上位机上设置背光时间为1min
3、查看HMI端屏幕是否1min后关闭背光</t>
  </si>
  <si>
    <t>权限管理</t>
  </si>
  <si>
    <t>Function_AcuRev4100_027_03_case1</t>
  </si>
  <si>
    <t>1、通过RTU方式连接AcuRev4100电表到Acuview2上，链接状态为connected
2、进入general界面，随意修改参数后，点击update
3、输入错误的密码
4、输入正确的密码
5、切换reading界面，再次进入general界面，修改参数，点击update</t>
  </si>
  <si>
    <t>Function_AcuRev4100_027_03_case2</t>
  </si>
  <si>
    <t>1、通过RTU方式连接AcuRev4100电表到Acuview2上，链接状态为connected
2、进入User and CT界面，随意修改参数后，点击update
3、输入错误的密码
4、输入正确的密码
5、切换reading界面，再次进入general界面，修改参数，点击update</t>
  </si>
  <si>
    <t>Function_AcuRev4100_027_03_case3</t>
  </si>
  <si>
    <t>1、通过RTU方式连接AcuRev4100电表到Acuview2上，链接状态为connected
2、进入I/O Module界面，随意修改参数后，点击update
3、输入错误的密码
4、输入正确的密码
5、切换reading界面，再次进入general界面，修改参数，点击update</t>
  </si>
  <si>
    <t>Function_AcuRev4100_027_03_case4</t>
  </si>
  <si>
    <t>1、通过RTU方式连接AcuRev4100电表到Acuview2上，链接状态为connected
2、进入Alarm界面，随意修改参数后，点击update
3、输入错误的密码
4、输入正确的密码
5、切换reading界面，再次进入general界面，修改参数，点击update</t>
  </si>
  <si>
    <t>Function_AcuRev4100_027_03_case5</t>
  </si>
  <si>
    <t>1、通过RTU方式连接AcuRev4100电表到Acuview2上，链接状态为connected
2、进入waveform界面，随意修改参数后，点击update
3、输入错误的密码
4、输入正确的密码
5、切换reading界面，再次进入general界面，修改参数，点击update</t>
  </si>
  <si>
    <t>Function_AcuRev4100_027_03_case6</t>
  </si>
  <si>
    <t>1、通过RTU方式连接AcuRev4100电表到Acuview2上，链接状态为connected
2、进入TOU Setting界面，随意修改参数后，点击update
3、输入错误的密码
4、输入正确的密码
5、切换reading界面，再次进入general界面，修改参数，点击update</t>
  </si>
  <si>
    <t>Function_AcuRev4100_027_03_case7</t>
  </si>
  <si>
    <t>1、通过RTU方式连接AcuRev4100电表到Acuview2上，链接状态为connected
2、进入datalog界面，随意修改参数后，点击update
3、输入错误的密码
4、输入正确的密码
5、切换reading界面，再次进入general界面，修改参数，点击update
6、分别遍历datalog1、2、3、4</t>
  </si>
  <si>
    <t>Function_AcuRev4100_027_03_case8</t>
  </si>
  <si>
    <t xml:space="preserve">1、通过RTU方式连接AcuRev4100电表到Acuview2上，链接状态为connected
2、进入daylight saving time界面，随意修改参数后，点击update
3、输入错误的密码
4、输入正确的密码
5、切换reading界面，再次进入general界面，修改参数，点击update
</t>
  </si>
  <si>
    <t>Function_AcuRev4100_027_03_case9</t>
  </si>
  <si>
    <t xml:space="preserve">1、通过RTU方式连接AcuRev4100电表到Acuview2上，链接状态为connected
2、点击reset network
3、输入错误的密码
4、输入正确的密码
</t>
  </si>
  <si>
    <t>Function_AcuRev4100_027_03_case10</t>
  </si>
  <si>
    <t xml:space="preserve">1、通过RTU方式连接AcuRev4100电表到Acuview2上，链接状态为connected
2、点击factory reset
3、输入错误的密码
4、输入正确的密码
</t>
  </si>
  <si>
    <t>Function_AcuRev4100_027_03_case11</t>
  </si>
  <si>
    <t xml:space="preserve">1、通过RTU方式连接AcuRev4100电表到Acuview2上，链接状态为connected
2、点击reboot meter
3、输入错误的密码
4、输入正确的密码
</t>
  </si>
  <si>
    <t>Function_AcuRev4100_027_03_case12</t>
  </si>
  <si>
    <t>1、通过RTU方式连接AcuRev4100电表到Acuview2上，链接状态为connected
2、进行设置时间
3、输入错误的密码
4、输入正确的密码
5、重新连接上位机，重复上述步骤，遍历clear run time和load time</t>
  </si>
  <si>
    <t>Function_AcuRev4100_028_01_case1</t>
  </si>
  <si>
    <r>
      <rPr>
        <sz val="10"/>
        <color theme="1"/>
        <rFont val="微软雅黑"/>
        <family val="2"/>
        <charset val="134"/>
      </rPr>
      <t>VLN 60V独立供电， 电表启动正常，稳定工作</t>
    </r>
  </si>
  <si>
    <t>1、AcuRev4100供电电源独立供电，输入相电压VLN 60V
2、观察电表是否启动正常
3、交流源输入相电压Van、Vbn、Vcn的额定电压为60V。
4、输入三路电流分别为(3A、5A，10A)，在上位机上分别配置为对应A相、B相、C相。</t>
  </si>
  <si>
    <t>Function_AcuRev4100_028_01_case2</t>
  </si>
  <si>
    <t>VLN 120V独立供电， 电表启动正常，稳定工作</t>
  </si>
  <si>
    <t>1、AcuRev4100供电电源独立供电，输入相电压VLN120V
2、观察电表是否启动正常
3、交流电源输入相电压Van、Vbn、Vcn的额定电压为120V。
4、输入三路电流分别为(3A、5A，10A)，在上位机上分别配置为对应A相、B相、C相。</t>
  </si>
  <si>
    <t>2、电表是否启动正常
3、Acuview2上和HMI上检查交流电相电压均在精度范围内，范围(V):119.88 ~ 120.12，Vlnavg范围(V)：119.88 ~ 120.12
4、Acuview2上和HMI上检查交流电相电流均在精度范围内，Ia范围(A):2.997 ~ 3.003，Ib范围(A):4.995 ~ 5.005，Ic范围(A):9.99 ~ 10.01， Iavg范围(A)：5.994 ~ 6.006</t>
  </si>
  <si>
    <t>Function_AcuRev4100_028_01_case3</t>
  </si>
  <si>
    <t>VLN 240V独立供电， 电表启动正常，稳定工作</t>
  </si>
  <si>
    <t>1、AcuRev4100供电电源独立供电，输入相电压VLN 240V
2、观察电表是否启动正常
3、交流电源输入相电压Van、Vbn、Vcn的额定电压为240V
4、输入三路电流分别为(3A、5A，10A)，在上位机上分别配置为对应A相、B相、C相。</t>
  </si>
  <si>
    <t>Function_AcuRev4100_028_01_case4</t>
  </si>
  <si>
    <t>VLN 480V独立供电， 电表启动正常，稳定工作</t>
  </si>
  <si>
    <t>1、AcuRev4100供电电源独立供电，输入相电压VLN 480V
2、观察电表是否启动正常
3、交流电源输入相电压Van、Vbn、Vcn的额定电压为480V。
4、输入三路电流分别为(3A、5A，10A)，在上位机上分别配置为对应A相、B相、C相。
测试输入相电压范围为60-480V，请测试480V</t>
  </si>
  <si>
    <t>2、电表是否启动正常
3、Acuview2上和HMI上检查交流电相电压均在精度范围内，范围(V):479.52 ~ 480.48，Vlnavg范围(V)：479.52 ~ 480.48
4、Acuview2上和HMI上检查交流电相电流均在精度范围内，Ia范围(A):2.997 ~ 3.003，Ib范围(A):4.995 ~ 5.005，Ic范围(A):9.99 ~ 10.01， Iavg范围(A)：5.994 ~ 6.006</t>
  </si>
  <si>
    <t>Function_AcuRev4100_028_01_case5</t>
  </si>
  <si>
    <t>测量端供电440v</t>
  </si>
  <si>
    <t xml:space="preserve">1、AcuRev4100测量端供电，输入电压440V
2、观察电表是否启动正常
</t>
  </si>
  <si>
    <t>1、电表启动正常</t>
  </si>
  <si>
    <t>Function_AcuRev4100_028_01_case6</t>
  </si>
  <si>
    <t>测量端供电60v</t>
  </si>
  <si>
    <t xml:space="preserve">1、AcuRev4100测量端供电，输入电压60V
2、观察电表是否启动正常
</t>
  </si>
  <si>
    <t>性能验证</t>
    <phoneticPr fontId="10" type="noConversion"/>
  </si>
  <si>
    <t>Function_AcuRev4100_029_01_case1</t>
  </si>
  <si>
    <t>BACnet MS/TP基于令牌(token)的通信方式，token传递通常需要16ms响应</t>
    <phoneticPr fontId="10" type="noConversion"/>
  </si>
  <si>
    <t>1、使用SScom工具（工具待定），通过BACnet MS/TP方式连接AcuRev4100电表
2、打开AccessProt串口监控工具
3、在SScom工具上发送读取电气测量值的报文：
4、AccessProt上查看请求发出到收到响应的时间</t>
  </si>
  <si>
    <t>3、读取系统频率成功，响应报文：
4、AccessProt上查看发送请求到收到响应这个时间不应超过20ms</t>
  </si>
  <si>
    <t>Function_AcuRev4100_029_02_case1</t>
  </si>
  <si>
    <t>上位机通过modbus TCP连接设备，上位机发送请求到收到响应这个时间不应超过20ms</t>
    <phoneticPr fontId="10" type="noConversion"/>
  </si>
  <si>
    <t>1、通过TCP方式连接AcuRev4100电表到Acuview2上，链接状态为connected
2、打开Wireshark抓包工具，设置视图--时间显示格式为ms级
3、上位机发送任意请求，Wireshark上查看请求发出到收到响应的时间</t>
  </si>
  <si>
    <t>Function_AcuRev4100_029_02_case2</t>
  </si>
  <si>
    <t>1、通过RTU方式连接AcuRev4100电表到Acuview2上，链接状态为connected
2、打开AccessProt串口监控工具
3、上位机发送任意请求，AccessProt上查看请求发出到收到响应的时间</t>
  </si>
  <si>
    <t>3、AccessProt上查看上位机发送请求到收到响应这个时间不应超过20ms</t>
  </si>
  <si>
    <t>Stable_AcuRev4100_030_01_case1</t>
  </si>
  <si>
    <t>ABC相电压为120V，input1~input3电流输入20A，持续测量1h，测试精度均满足0.1%</t>
  </si>
  <si>
    <t>1、通过TCP方式连接AcuRev4100电表到Acuview2上，链接状态为connected
2、ABC相电压为120V，input1~input3电流输入20A
3、持续1小时，间隔5分钟观测一次ABC相电压和input1~input3电流是否满足精度要求0.1%</t>
  </si>
  <si>
    <t>3、持续1小时，间隔5分钟观测一次ABC相电压和input1~input3电流满足精度要求0.1%</t>
  </si>
  <si>
    <t>Stable_AcuRev4100_030_01_case2</t>
  </si>
  <si>
    <t>ABC相电压为120V，input1~input3电流输入20A，持续测量4h，测试精度均满足0.1%</t>
  </si>
  <si>
    <t>1、通过TCP方式连接AcuRev4100电表到Acuview2上，链接状态为connected
2、ABC相电压为120V，input1~input3电流输入20A
3、持续4小时，间隔5分钟观测一次ABC相电压和input1~input3电流，是否满足精度要求0.1%</t>
  </si>
  <si>
    <t>3、持续3小时，间隔5分钟观测一次ABC相电压和input1~input3电流满足精度要求0.1%</t>
  </si>
  <si>
    <t>Stable_AcuRev4100_030_01_case3</t>
  </si>
  <si>
    <t>ABC相电压为220V，input1~input3电流输入5A，持续测量1h，测试精度均满足0.1%</t>
  </si>
  <si>
    <t>1、通过TCP方式连接AcuRev4100电表到Acuview2上，链接状态为connected
2、ABC相电压为220V，input1~input3电流输入5A
3、持续1小时，间隔5分钟观测一次ABC相电压和input1~input3电流是否满足精度要求0.1%</t>
  </si>
  <si>
    <t>Stable_AcuRev4100_030_01_case4</t>
  </si>
  <si>
    <t>ABC相电压为220V，input1~input3电流输入5A，持续测量3h，测试精度均满足0.1%</t>
  </si>
  <si>
    <t>1、通过TCP方式连接AcuRev4100电表到Acuview2上，链接状态为connected
2、ABC相电压为220V，input1~input3电流输入5A
3、持续3小时，间隔5分钟观测一次ABC相电压和input1~input3电流是否满足精度要求0.1%</t>
  </si>
  <si>
    <t>Stable_AcuRev4100_030_01_case5</t>
  </si>
  <si>
    <t>ABC相电压为400V，input1~input3电流输5A，持续测量1h，测试精度均满足0.1%</t>
  </si>
  <si>
    <t>1、通过TCP方式连接AcuRev4100电表到Acuview2上，链接状态为connected
2、ABC相电压为400V，input1~input3电流输入5A
3、持续1小时，间隔5分钟观测一次ABC相电压和input1~input3电流是否满足精度要求0.1%</t>
  </si>
  <si>
    <t>Stable_AcuRev4100_030_01_case6</t>
  </si>
  <si>
    <t>ABC相电压为400V，input1~input3电流输入1A，持续测量4h，测试精度均满足0.1%</t>
  </si>
  <si>
    <t>1、通过TCP方式连接AcuRev4100电表到Acuview2上，链接状态为connected
2、ABC相电压为400V，input1~input3电流输入1A
3、持续4小时，间隔5分钟观测一次ABC相电压和input1~input3电流是否满足精度要求0.1%</t>
  </si>
  <si>
    <t>Stable_AcuRev4100_030_01_case7</t>
  </si>
  <si>
    <t>ABC相电压为120V，input1~input24电流输入5A，持续测量1h，测试精度均满足0.1%</t>
  </si>
  <si>
    <t>1、通过TCP方式连接AcuRev4100电表到Acuview2上，链接状态为connected
2、ABC相电压为400V，input1~input24电流输入5A
3、持续1小时，间隔5分钟观测一次ABC相电压和input1~input3电流是否满足精度要求0.1%</t>
  </si>
  <si>
    <t>Stable_AcuRev4100_030_01_case8</t>
  </si>
  <si>
    <t>ABC相电压为120V，input1~input24电流输入5A，持续测量3h，测试精度均满足0.1%</t>
  </si>
  <si>
    <t>1、通过TCP方式连接AcuRev4100电表到Acuview2上，链接状态为connected
2、ABC相电压为400V，input1~input24电流输入5A
3、持续3小时，间隔5分钟观测一次ABC相电压和input1~input3电流是否满足精度要求0.1%</t>
  </si>
  <si>
    <t>Stable_AcuRev4100_030_02_case1</t>
  </si>
  <si>
    <t>ABC相电压为120V，input1~input3电流输入1A，电流相角位0°、240°、120°，ABC电压相角设置为0°、240°、120°，持续测量1h，相角测试精度均满足0.1%</t>
  </si>
  <si>
    <t>1、通过TCP方式连接AcuRev4100电表到Acuview2上，链接状态为connected
2、ABC相电压为120V，input1~input3电流输入1A
3、input1~3电流相角位0°、240°、120°，ABC电压相角设置为0°、240°、120°
4、持续1小时，间隔5分钟观测一次ABC相电压和input1~input3电流对应相角是否满足精度要求±0.1</t>
  </si>
  <si>
    <t>4、持续1小时，间隔5分钟观测一次ABC相电压和input1~input3电流对应相角满足精度要求0.1%</t>
  </si>
  <si>
    <t>Stable_AcuRev4100_030_02_case2</t>
  </si>
  <si>
    <t>ABC相电压为120V，input1~input3电流输入1A，电流相角位0°、240°、120°，ABC电压相角设置为0°、240°、120°，持续测量4h，相角测试精度均满足0.1%</t>
  </si>
  <si>
    <t>1、通过TCP方式连接AcuRev4100电表到Acuview2上，链接状态为connected
2、ABC相电压为120V，input1~input3电流输入1A
3、input1~3电流相角位0°、240°、120°，ABC电压相角设置为0°、240°、120°
4、持续4小时，间隔5分钟观测一次ABC相电压和input1~input3电流对应相角是否满足精度要求±0.1</t>
  </si>
  <si>
    <t>4、持续4小时，间隔5分钟观测一次ABC相电压和input1~input3电流对应相角满足精度要求0.1%</t>
  </si>
  <si>
    <t>Stable_AcuRev4100_030_02_case3</t>
  </si>
  <si>
    <t>ABC相电压为120V，input1~input3电流输入1A，电流相角位0°、120°、240°，ABC电压相角设置为0°、120°、240°，持续测量1h，相角测试精度均满足0.1%</t>
  </si>
  <si>
    <t>1、通过TCP方式连接AcuRev4100电表到Acuview2上，链接状态为connected
2、ABC相电压为120V，input1~input3电流输入1A
3、input1~3电流相角位0°、120°、240°，ABC电压相角设置为0°、120°、240°
4、持续1小时，间隔5分钟观测一次ABC相电压和input1~input3电流对应相角是否满足精度要求±0.1</t>
  </si>
  <si>
    <t>Stable_AcuRev4100_030_02_case4</t>
  </si>
  <si>
    <t>ABC相电压为120V，input1~input3电流输入1A，电流相角位0°、120°、240°，ABC电压相角设置为0°、120°、240°，持续测量4h，相角测试精度均满足0.1%</t>
  </si>
  <si>
    <t>1、通过TCP方式连接AcuRev4100电表到Acuview2上，链接状态为connected
2、ABC相电压为120V，input1~input3电流输入1A
3、input1~3电流相角位0°、120°、240°，ABC电压相角设置为0°、120°、240°
4、持续4小时，间隔5分钟观测一次ABC相电压和input1~input3电流对应相角是否满足精度要求±0.1</t>
  </si>
  <si>
    <t>Stable_AcuRev4100_030_02_case5</t>
  </si>
  <si>
    <t>ABC相电压为120V，input1~input3电流输入1A，电流相角位30°、60°、120°，ABC电压相角设置为0°、120°、240°，持续测量1h，相角测试精度均满足0.1%</t>
  </si>
  <si>
    <t>1、通过TCP方式连接AcuRev4100电表到Acuview2上，链接状态为connected
2、ABC相电压为120V，input1~input3电流输入1A
3、input1~3电流相角位30°、60°、120°，ABC电压相角设置为0°、120°、240°
4、持续1小时，间隔5分钟观测一次ABC相电压和input1~input3电流对应相角是否满足精度要求±0.1</t>
  </si>
  <si>
    <t>Stable_AcuRev4100_030_02_case6</t>
  </si>
  <si>
    <t>ABC相电压为120V，input1~input3电流输入1A，电流相角位30°、60°、120°，ABC电压相角设置为0°、60°、120°，持续测量1h，相角测试精度均满足0.1%</t>
  </si>
  <si>
    <t>1、通过TCP方式连接AcuRev4100电表到Acuview2上，链接状态为connected
2、ABC相电压为120V，input1~input3电流输入1A
3、input1~3电流相角位30°、60°、120°，ABC电压相角设置为0°、60°、120°
4、持续1小时，间隔5分钟观测一次ABC相电压和input1~input3电流对应相角是否满足精度要求±0.1°</t>
    <phoneticPr fontId="10" type="noConversion"/>
  </si>
  <si>
    <t>4、持续1小时，间隔5分钟观测一次ABC相电压和input1~input3电流对应相角满足精度要求±0.1°</t>
    <phoneticPr fontId="10" type="noConversion"/>
  </si>
  <si>
    <t>Stable_AcuRev4100_030_02_case7</t>
  </si>
  <si>
    <t>ABC相电压为120V，input1~input24电流输入1A，电流相角位30°、60°、120°，ABC电压相角设置为0°、240°、120°，持续测量1h，相角测试精度均满足0.1%</t>
  </si>
  <si>
    <t>1、Acuview2上位机
2、网线/RTU串口线
3、AcuRev4114电表</t>
  </si>
  <si>
    <t>1、通过TCP方式连接AcuRev4100电表到Acuview2上，链接状态为connected
2、ABC相电压为120V，input1~input24电流输入1A
3、input1~3电流相角位30°、60°、120°，ABC电压相角设置为0°、240°、120°
4、持续1小时，间隔5分钟观测一次ABC相电压和input1~input24电流对应相角是否满足精度要求±0.1</t>
  </si>
  <si>
    <t>4、持续1小时，间隔5分钟观测一次ABC相电压和input1~input24电流对应相角满足精度要求0.1%</t>
  </si>
  <si>
    <t>Stress_AcuRev4100_030_02_case8</t>
    <phoneticPr fontId="10" type="noConversion"/>
  </si>
  <si>
    <t>ABC相电压为120V，input1~input3电流输入5A，间隔10s接入和断开，测量100次，电流测试精度均满足0.1%</t>
  </si>
  <si>
    <t>1、通过TCP方式连接AcuRev4100电表到Acuview2上，链接状态为connected
2、ABC相电压为120V，input1~input3电流输入5A
3、间隔10s接入和断开，观测ABC相电压和input1~input24电流是否测量准确
4、重复步骤3 100次
修改间隔时间，间隔时间为3分钟，</t>
    <phoneticPr fontId="10" type="noConversion"/>
  </si>
  <si>
    <t>3、观测ABC相电压和input1~input24电流测量准确。</t>
  </si>
  <si>
    <t>Stress_AcuRev4100_030_02_case9</t>
    <phoneticPr fontId="10" type="noConversion"/>
  </si>
  <si>
    <t>1、AcuRev4100设备循环上下电500次
2、观测每次上电是否正常
3、测量数据是否正常（此处控源输入任意电压、电流，能读数）电压、电流是否符合精度要求
注：此用例需自动化脚本测试，后续更新</t>
  </si>
  <si>
    <t>Function_AcuRev4100_031_01_case1</t>
  </si>
  <si>
    <t>mV型单板，3 Element 4Wire Y 接线方式，带灯泡负载，并联24路电流，挂测一周</t>
  </si>
  <si>
    <t>1、检查有负载channel和无负载channel电能累计是否正常
2、检查有负载channel和无负载channel需量是否正常
3、检查有负载channel和无负载channel最大最小值是否正常，下载log
4、检查有负载channel和无负载channel日志是否有丢失</t>
  </si>
  <si>
    <t>1-4、所有检查项均符合实际情况</t>
  </si>
  <si>
    <t>Function_AcuRev4100_031_01_case2</t>
  </si>
  <si>
    <t>mA型单板，1 Element 2 Wire 接线方式，带灯泡负载，串联12路电流，挂测一周</t>
  </si>
  <si>
    <t>Function_AcuRev4100_031_01_case3</t>
  </si>
  <si>
    <t>mA型单板，2 Element 3 Wire 1 Phase 接线方式，带灯泡负载，串联6路电流，挂测一周</t>
  </si>
  <si>
    <t>Function_AcuRev4100_031_01_case4</t>
  </si>
  <si>
    <t>mV型单板，2 Element 3 Wire Network 接线方式，无负载，挂测一周</t>
  </si>
  <si>
    <t>Function_AcuRev4100_031_01_case5</t>
  </si>
  <si>
    <t>mV型单板，2 Element 3 Wire Delta 接线方式，无负载，挂测一周</t>
  </si>
  <si>
    <t>TR编号(模块)</t>
  </si>
  <si>
    <t>TR名称(模块)</t>
  </si>
  <si>
    <t>用例总数</t>
  </si>
  <si>
    <t>需自动化</t>
    <phoneticPr fontId="12" type="noConversion"/>
  </si>
  <si>
    <t>完成自动化</t>
    <phoneticPr fontId="12" type="noConversion"/>
  </si>
  <si>
    <t>LV0（10%）</t>
  </si>
  <si>
    <t>LV1(15%)</t>
  </si>
  <si>
    <t>LV2（40%）</t>
    <phoneticPr fontId="12" type="noConversion"/>
  </si>
  <si>
    <t>LV3(25%)</t>
    <phoneticPr fontId="12" type="noConversion"/>
  </si>
  <si>
    <t>LV4（10%）</t>
    <phoneticPr fontId="12" type="noConversion"/>
  </si>
  <si>
    <t>自动化率</t>
    <phoneticPr fontId="12" type="noConversion"/>
  </si>
  <si>
    <t>备注</t>
    <phoneticPr fontId="12" type="noConversion"/>
  </si>
  <si>
    <t>自动化实现人</t>
    <phoneticPr fontId="12" type="noConversion"/>
  </si>
  <si>
    <t>TR_AcuRev1320_001</t>
  </si>
  <si>
    <t>1320 Sprint1</t>
  </si>
  <si>
    <t>TR_AcuRev1320_002</t>
  </si>
  <si>
    <t>TR_AcuRev1320_003</t>
  </si>
  <si>
    <t>TR_AcuRev1320_004</t>
  </si>
  <si>
    <t>TR_AcuRev1320_005</t>
  </si>
  <si>
    <t xml:space="preserve">负载特性(RLC) </t>
  </si>
  <si>
    <t>TR_AcuRev1320_006</t>
  </si>
  <si>
    <t>TR_AcuRev1320_007</t>
  </si>
  <si>
    <t>各次谐波</t>
  </si>
  <si>
    <t>TR_AcuRev1320_008</t>
  </si>
  <si>
    <t>TR_AcuRev1320_009</t>
  </si>
  <si>
    <t>电能质量测量</t>
    <phoneticPr fontId="12" type="noConversion"/>
  </si>
  <si>
    <t>丛松</t>
    <phoneticPr fontId="12" type="noConversion"/>
  </si>
  <si>
    <t>TR_AcuRev1320_010</t>
  </si>
  <si>
    <t>电能测量</t>
    <phoneticPr fontId="12" type="noConversion"/>
  </si>
  <si>
    <t>TR_AcuRev1320_011</t>
  </si>
  <si>
    <t>需量测量</t>
    <phoneticPr fontId="12" type="noConversion"/>
  </si>
  <si>
    <t>王洋&amp;胡赞</t>
    <phoneticPr fontId="12" type="noConversion"/>
  </si>
  <si>
    <t>TR_AcuRev1320_012</t>
  </si>
  <si>
    <t>TR_AcuRev1320_013</t>
  </si>
  <si>
    <t>刘丛松</t>
    <phoneticPr fontId="12" type="noConversion"/>
  </si>
  <si>
    <t>TR_AcuRev1320_014</t>
  </si>
  <si>
    <t>TR_AcuRev1320_015</t>
  </si>
  <si>
    <t>王丽红</t>
    <phoneticPr fontId="12" type="noConversion"/>
  </si>
  <si>
    <t>TR_AcuRev1320_016</t>
  </si>
  <si>
    <t>记录与统计</t>
    <phoneticPr fontId="10" type="noConversion"/>
  </si>
  <si>
    <t>TR_AcuRev1320_017</t>
  </si>
  <si>
    <t>DATA Log</t>
    <phoneticPr fontId="12" type="noConversion"/>
  </si>
  <si>
    <t>TR_AcuRev1320_018</t>
  </si>
  <si>
    <t>TR_AcuRev1320_019</t>
  </si>
  <si>
    <t>TR_AcuRev1320_020</t>
  </si>
  <si>
    <t>TR_AcuRev1320_021</t>
  </si>
  <si>
    <t>TR_AcuRev1320_022</t>
  </si>
  <si>
    <t>TR_AcuRev1320_023</t>
  </si>
  <si>
    <t>胡赞</t>
    <phoneticPr fontId="12" type="noConversion"/>
  </si>
  <si>
    <t>TR_AcuRev1320_024</t>
  </si>
  <si>
    <t>TR_AcuRev1320_025</t>
  </si>
  <si>
    <t>TR_AcuRev1320_026</t>
  </si>
  <si>
    <t>TR_AcuRev1320_027</t>
  </si>
  <si>
    <t>TR_AcuRev1320_028</t>
  </si>
  <si>
    <t>TR_AcuRev1320_029</t>
  </si>
  <si>
    <t>TR_AcuRev1320_030</t>
  </si>
  <si>
    <t>电气参数稳定性&amp;压力验证</t>
    <phoneticPr fontId="10" type="noConversion"/>
  </si>
  <si>
    <t>TR_AcuRev1320_031</t>
  </si>
  <si>
    <t>挂机专项验证</t>
    <phoneticPr fontId="12" type="noConversion"/>
  </si>
  <si>
    <t>TR_AcuRev1320_032</t>
  </si>
  <si>
    <t>TR_AcuRev1320_033</t>
  </si>
  <si>
    <t>TR_AcuRev1320_034</t>
  </si>
  <si>
    <t>数据导出导入</t>
  </si>
  <si>
    <t>TR_AcuRev1320_035</t>
  </si>
  <si>
    <t>rstp功能验证</t>
    <phoneticPr fontId="12" type="noConversion"/>
  </si>
  <si>
    <t>TR_AcuRev1320_036</t>
  </si>
  <si>
    <t>USB接口测试</t>
    <phoneticPr fontId="12" type="noConversion"/>
  </si>
  <si>
    <t>1320 Sprint2</t>
  </si>
  <si>
    <t>TR_AcuRev1320_037</t>
  </si>
  <si>
    <t>电压闪变</t>
    <phoneticPr fontId="12" type="noConversion"/>
  </si>
  <si>
    <t>1320新增</t>
    <phoneticPr fontId="12" type="noConversion"/>
  </si>
  <si>
    <t>TR_AcuRev1320_038</t>
  </si>
  <si>
    <t>数据推送到AcuCloud</t>
    <phoneticPr fontId="12" type="noConversion"/>
  </si>
  <si>
    <t>TR_AcuRev1320_039</t>
  </si>
  <si>
    <t>数据推送Data Post</t>
    <phoneticPr fontId="12" type="noConversion"/>
  </si>
  <si>
    <t>TR_AcuRev1320_040</t>
  </si>
  <si>
    <t>DataLoggers</t>
    <phoneticPr fontId="12" type="noConversion"/>
  </si>
  <si>
    <t>TR_AcuRev1320_042</t>
  </si>
  <si>
    <t>DualSource Energy</t>
    <phoneticPr fontId="12" type="noConversion"/>
  </si>
  <si>
    <t>TR_AcuRev1320_043</t>
  </si>
  <si>
    <t>Independent Input</t>
    <phoneticPr fontId="12" type="noConversion"/>
  </si>
  <si>
    <t>TR_AcuRev1320_044</t>
  </si>
  <si>
    <t>Custom Read</t>
    <phoneticPr fontId="12" type="noConversion"/>
  </si>
  <si>
    <t>TR_AcuRev1320_045</t>
  </si>
  <si>
    <t>Audit\sys Log</t>
    <phoneticPr fontId="12" type="noConversion"/>
  </si>
  <si>
    <t>TR_AcuRev1320_046</t>
    <phoneticPr fontId="12" type="noConversion"/>
  </si>
  <si>
    <t>Web页面Reading&amp;setting</t>
    <phoneticPr fontId="12" type="noConversion"/>
  </si>
  <si>
    <t>共计:</t>
  </si>
  <si>
    <t>~</t>
    <phoneticPr fontId="12" type="noConversion"/>
  </si>
  <si>
    <t>用例级别</t>
  </si>
  <si>
    <t>比例</t>
  </si>
  <si>
    <t>定级说明</t>
  </si>
  <si>
    <t>产品checklist范围内的测试用例，覆盖最基本功能</t>
  </si>
  <si>
    <t>产品基本功能验证，不涉及配置及场景测试</t>
  </si>
  <si>
    <t>产品功能测试常见配置及场景测试</t>
  </si>
  <si>
    <t>不常见的产品测试、配置及场景测试，以及常见异常测试</t>
  </si>
  <si>
    <t>冷僻的产品功能、配置及场景测试，以及罕见异常测试</t>
  </si>
  <si>
    <t>用例级别</t>
    <phoneticPr fontId="10" type="noConversion"/>
  </si>
  <si>
    <t>Failed</t>
  </si>
  <si>
    <t>张三</t>
    <phoneticPr fontId="10" type="noConversion"/>
  </si>
  <si>
    <t>示例:
1、发现xxx问题
2、用例xx步骤不可用，需要与测试yyy对齐
3、xxx环境不具备</t>
    <phoneticPr fontId="10" type="noConversion"/>
  </si>
  <si>
    <t>web页面</t>
  </si>
  <si>
    <t>TOU</t>
  </si>
  <si>
    <t>Function_AcuRev4100_046_16_case01</t>
  </si>
  <si>
    <t>点击setting界面，进入TOU，TOU使能开关设置</t>
  </si>
  <si>
    <t>1、电表上电，电表通讯正常
2、打开web页面,点击setting界面，进入TOU，TOU使能开关设置（打开/关闭）
3、查看上位机及电表上TOU使能开关的配置是否与Web端保持一致</t>
  </si>
  <si>
    <t>3、查看上位机及电表上TOU使能开关的配置与Web端保持一致</t>
  </si>
  <si>
    <t>Function_AcuRev4100_046_16_case02</t>
  </si>
  <si>
    <t>点击setting界面，进入TOU，月结算模式设置</t>
  </si>
  <si>
    <t>1、电表上电，电表通讯正常
2、打开web页面,点击setting界面，进入TOU，配置月结算模式（月末/指定时间：01 00：00：00；15 15：00：00；29 23：59：00；31 23:59:00）
3、查看上位机及电表上月计算模式配置是否与Web端保持一致</t>
  </si>
  <si>
    <t>3、查看上位机及电表上月计算模式配置与Web端保持一致</t>
  </si>
  <si>
    <t>Function_AcuRev4100_046_16_case03</t>
  </si>
  <si>
    <t>点击setting界面，进入TOU，费率配置</t>
  </si>
  <si>
    <t>1、电表上电，电表通讯正常
2、打开web页面,点击setting界面，进入TOU，费率配置（默认费率/费率全选/费率部分选）
3、查看上位机及电表上费率配置是否与Web端保持一致</t>
  </si>
  <si>
    <t>3、查看上位机及电表上费率配置与Web端保持一致</t>
  </si>
  <si>
    <t>Function_AcuRev4100_046_16_case04</t>
  </si>
  <si>
    <t>点击setting界面，进入TOU，TOU Schdeules配置，TOU Schdeules配置内容检查</t>
  </si>
  <si>
    <t>1、电表上电，电表通讯正常
2、打开web页面,点击setting界面，进入TOU，TOU Schdeules配置（配置一条/配满/配置5条）
3、查看上位机及电表上TOU Schdeules配置条数是否与Web端保持一致
4、新增一个Schdeules，进入配置（配置1个，14，10个时刻，）
5、查看上位机及电表上 TOU Schdeules配置内容是否与Web端保持一致
6、新增一个Schdeules，配置多个时刻，分别设置为（相同费率，不同费率）
7、查看Schdeules中费率配置项是否与外部所使能的费率数相同
8、查看上位机及电表上 TOU Schdeules配置内容是否与Web端保持一致</t>
  </si>
  <si>
    <t>3、查看上位机及电表上TOU Schdeules配置条数与Web端保持一致
5、保持一致
7、相同
8、保持一致</t>
  </si>
  <si>
    <t>Function_AcuRev4100_046_16_case05</t>
  </si>
  <si>
    <t>点击setting界面，进入TOU，检查删除TOU Schdeules配置</t>
  </si>
  <si>
    <t>1、电表上电，电表通讯正常
2、点击setting界面，进入TOU，检查删除TOU Schdeules配置
3、web端TOU Schdeules条数删除功能是否正常，每条Schdeules ID中时段删除是否正常
4、检查在web端删除后，上位机及电表是否保持一致</t>
  </si>
  <si>
    <t>3、web端TOU Schdeules条数删除功能正常，每条Schdeules ID中时段删除正常
4、检查在web端删除后，上位机及电表保持一致</t>
  </si>
  <si>
    <t>Function_AcuRev4100_046_16_case06</t>
  </si>
  <si>
    <t>点击setting界面，进入TOU，TOU Season配置、TOU Season配置内容、TOU Season配置内容中start date合法性</t>
  </si>
  <si>
    <t>1、电表上电，电表通讯正常
2、打开web页面,点击setting界面，进入TOU，TOU Season配置（1条，10条，配满）
3、查看上位机及电表上TOU Season配置条数是否与Web端保持一致
4、打开web页面,点击setting界面，进入TOU，检查TOU Season配置内容
5、检查每条seasonID对应选择的schedule ID是否与TOU Schdeules中条数保持一致
6、配置多条TOU Season，将所有TOU Season配置相同的schedule ID
7、查看上位机及电表上TOU Season配置内容是否与Web端保持一致
8、配置多条TOU Season，将所有TOU Season配置不同的schedule ID
9、查看上位机及电表上TOU Season配置内容是否与Web端保持一致
10、配置多条TOU Season
11、查看这多条TOU Season的start date是否遵守时间递进的逻辑
12、检查这多条TOU Season的start date时间合法性校验</t>
  </si>
  <si>
    <t>3、查看上位机及电表上TOU Season配置条数与Web端保持一致
5、保持一致
7、保持一致
9、保持一致
11、遵守时间递进
12、校验正常</t>
  </si>
  <si>
    <t>Function_AcuRev4100_046_16_case07</t>
  </si>
  <si>
    <t>点击setting界面，进入TOU，检查删除TOU Season配置</t>
  </si>
  <si>
    <t>1、电表上电，电表通讯正常
2、点击setting界面，进入TOU，检查删除TOU Season配置
3、web端TOU Season条数删除功能是否正常
4、检查在web端删除后，上位机及电表是否保持一致</t>
  </si>
  <si>
    <t>3、web端TOU Season条数删除功能正常
4、检查在web端删除后，上位机及电表保持一致</t>
  </si>
  <si>
    <t>Function_AcuRev4100_046_16_case08</t>
  </si>
  <si>
    <t>点击setting界面，进入TOU，进行TOU Weekends配置</t>
  </si>
  <si>
    <t>1、电表上电，电表通讯正常
2、打开web页面，点击setting界面，进入TOU，进行TOU Weekends配置
3、Weekend Selection分别进行全选，选择1个，部分选择，对应1个weekend schedule
4、查看web端设置是否成功
5、设置成功后，查看上位机及电表与web端对应该参数配置是否相同
6、查看TOU Weekends中weekend schedule是否取的是TOU Schdeules中的Schdeules ID</t>
  </si>
  <si>
    <t>4、查看web端设置成功
5、设置成功后，查看上位机及电表与web端对应该参数配置相同
6、查看TOU Weekends中weekend schedule取的是TOU Schdeules中的Schdeules ID</t>
  </si>
  <si>
    <t>Function_AcuRev4100_046_16_case09</t>
  </si>
  <si>
    <t>点击setting界面，进入TOU，点击特殊周末配置，打开/关闭使能开关</t>
  </si>
  <si>
    <t>1、电表上电，电表通讯正常
2、打开web页面，点击setting界面，进入TOU，点击特殊周末配置，打开/关闭使能开关
3、查看上位机及电表特殊周末使能开关是否与web端保持一致
4、新增特殊周末Season ID,分别新增1条/配满
5、查看配满时，其条数是否与Tou Season 中的Season ID条数保持一致
6、新增1条Season ID进行配置，查看其中选择的weekend schedule是否取的是TOU Schdeules中的Schdeules ID
7、选择一个特殊周/全选特殊周/选择部分特殊周进行配置
8、配置成功后，查看上位机及电表是否与web端保持配置相同</t>
  </si>
  <si>
    <t>3、查看上位机及电表特殊周末使能开关与web端保持一致
5、查看配满时，其条数与Tou Season 中的Season ID条数保持一致
7、新增1条Season ID进行配置，查看其中选择的weekend schedule取的是TOU Schdeules中的Schdeules ID
8、配置成功后，查看上位机及电表与web端保持配置相同</t>
  </si>
  <si>
    <t>Function_AcuRev4100_046_16_case10</t>
  </si>
  <si>
    <t>点击setting界面，进入TOU，检查删除特殊周末配置</t>
  </si>
  <si>
    <t>1、电表上电，电表通讯正常
2、点击setting界面，进入TOU，检查删除特殊周末配置
3、web端特殊周末条数删除功能是否正常
4、检查在web端删除后，上位机及电表是否保持一致</t>
  </si>
  <si>
    <t>3、web端特殊周末条数删除功能正常
4、检查在web端删除后，上位机及电表保持一致</t>
  </si>
  <si>
    <t>Function_AcuRev4100_046_16_case11</t>
  </si>
  <si>
    <t>点击setting界面，进入TOU，TOU Holiday配置、TOU Holiday配置内容、TOU Holiday配置内容中date合法性</t>
  </si>
  <si>
    <t>1、电表上电，电表通讯正常
2、打开web页面,点击setting界面，进入TOU，TOU Holiday配置（1条，10条，配满）
3、查看上位机及电表上TOU Holiday配置条数是否与Web端保持一致
4、检查每条Holiday ID对应选择的schedule ID是否与TOU Schdeules中条数保持一致
5、配置多条TOU Holiday，将所有TOU Holiday配置相同的schedule ID
6、查看上位机及电表上TOU Holiday配置内容是否与Web端保持一致
7、配置多条TOU Holiday，将所有TOU Holiday配置不同的schedule ID
8、查看上位机及电表上TOU Holiday配置内容是否与Web端保持一致
9、配置多条TOU Holiday
10、检查这多条TOU Holiday的date时间合法性校验
11、在TOU Holiday中配置两条date相同的TOU Holiday，查看是否配置成功</t>
  </si>
  <si>
    <t>3、查看上位机及电表上TOU Holiday配置条数与Web端保持一致
4、保持一致
6、保持一致
8、保持一致
10、时间合法
11、配置成功</t>
  </si>
  <si>
    <t>Function_AcuRev4100_046_16_case12</t>
  </si>
  <si>
    <t>点击setting界面，进入TOU，检查删除TOU Holiday配置</t>
  </si>
  <si>
    <t>1、电表上电，电表通讯正常
2、点击setting界面，进入TOU，检查删除TOU Holiday配置
3、web端TOU Holiday条数删除功能是否正常
4、检查在web端删除后，上位机及电表是否保持一致</t>
  </si>
  <si>
    <t>3、web端TOU Holiday条数删除功能正常
4、检查在web端删除后，上位机及电表保持一致</t>
  </si>
  <si>
    <t>Function_AcuRev4100_046_16_case13</t>
  </si>
  <si>
    <t>点击setting界面，进入ten  years holiday，配置使能开关</t>
  </si>
  <si>
    <t>1、电表上电，电表通讯正常
2、点击setting界面，进入ten  years holiday，配置使能开关（打开/关闭）
3、检查web端、上位机、电表三者是否保持一致</t>
  </si>
  <si>
    <t>Function_AcuRev4100_046_16_case14</t>
  </si>
  <si>
    <t>点击setting界面，进入ten  years holiday，第1~第10年holiday单独配置</t>
  </si>
  <si>
    <t>1、电表上电，电表通讯正常
2、点击setting界面，进入ten  years holiday，第1~第10年holiday单独配置
3、第1~第10年holiday分别配置1条/配满/配置10条
4、查看web端、上位机、电表是否保持一致</t>
  </si>
  <si>
    <t>4、三处保持一致</t>
  </si>
  <si>
    <t>Function_AcuRev4100_046_16_case15</t>
  </si>
  <si>
    <t>点击setting界面，进入ten  years holiday，第1年holiday单独配置内容检查</t>
  </si>
  <si>
    <t>1、电表上电，电表通讯正常
2、web页面，点击setting界面，进入ten  years holiday，第1年holiday单独配置内容检查
3、在第一年holiday中新增一条时，查看对应选择的schedule ID是否与TOU Schdeules中条数保持一致
4、日期配置合法性校验</t>
  </si>
  <si>
    <t>3、在第一年holiday中新增一条时，查看对应选择的schedule ID与TOU Schdeules中条数保持一致
4、日期配置合法性校验合格</t>
  </si>
  <si>
    <t>Function_AcuRev4100_046_16_case16</t>
  </si>
  <si>
    <t>点击setting界面，进入ten  years holiday，第1~第10年holiday集中配置</t>
  </si>
  <si>
    <t>1、电表上电，电表通讯正常
2、web页面，点击setting界面，进入ten  years holiday，第1~第10年holiday集中配置
3、输入第1~第10年holiday start year与end year，查看是否满足end year-start yeas&lt;=10
4、配置好start year与end year，点击generate holiday，配置第1~第10年holiday，
5、分别配置1条/多条/配满，点击提交后，查看web端是否进行批量holiday配置
6、保存提交后，查看上位机、电表ten yeas holiday 数据是否与web端保存一致
7、配置好start year与end year，点击generate holiday，配置第1~第10年holiday
8、检查其中每条Holiday ID对应选择的schedule ID是否与TOU Schdeules中条数保持一致</t>
  </si>
  <si>
    <t>3、web需对start year与end year做校验，满足end year-start yeas&lt;=10
5、分别配置1条/多条/配满，点击提交后，查看web端进行批量holiday配置
6、保存提交后，查看上位机、电表ten yeas holiday 数据与web端保存一致
8、检查其中每条Holiday ID对应选择的schedule ID与TOU Schdeules中条数保持一致</t>
  </si>
  <si>
    <t>Function_AcuRev4100_046_16_case17</t>
  </si>
  <si>
    <t>点击setting界面，进入ten  years holiday，第1~第10年holiday删除功能</t>
  </si>
  <si>
    <t>1、电表上电，电表通讯正常
2、web页面，点击setting界面，进入ten  years holiday，第1~第10年holiday删除功能
3、删除1条/删除多条/全删除是否均成功
4、成功后，查看上位机、电表、web端三处是否保持一致</t>
  </si>
  <si>
    <t>3、删除1条/删除多条/全删除均成功
4、成功后，查看上位机、电表、web端三处保持一致</t>
  </si>
  <si>
    <t>Function_AcuRev4100_046_16_case18</t>
  </si>
  <si>
    <t>点击setting界面，进入TOU界面,查看该页面英文描述及拼写</t>
  </si>
  <si>
    <t>1、电表上电，电表通讯正常
2、web页面，点击setting界面，进入TOU界面,查看该页面英文描述及拼写是否准确</t>
  </si>
  <si>
    <t>2、点击setting界面，进入TOU界面,查看该页面英文描述及拼写准确</t>
  </si>
  <si>
    <t>Web2交互(HMI配置)</t>
    <phoneticPr fontId="10" type="noConversion"/>
  </si>
  <si>
    <t>Function_AcuRev4100sprint2_001_10_case1</t>
  </si>
  <si>
    <t>在HMI上setting-web2使能enable DHCP</t>
  </si>
  <si>
    <t>1、Acuview2上位机
2、USB串口线
3、AcuRev4100电表</t>
  </si>
  <si>
    <t xml:space="preserve">1、4100电表正常上电，sscom通过usb与电表链接，配置完成后，链接状态为connected；
2、在HMI上setting-web2使能enable DHCP
3、在sscom通过usb组帧查看电表状态寄存器中bit0是否置1
4、查看HMI-web2页面下对应enable DHCP该项是否标*
5、模拟web2回复4100电表发出的打开dhcp成功，利用sscom组帧手动将状态寄存器中bit0置位0
6、查看HMI-web2页面下对应enable DHCP该项标*是否消失
</t>
  </si>
  <si>
    <t>3、电表状态寄存器中bit0置1
4、HMI-web2页面下对应enable DHCP该项标*
5、下发成功
6、HMI-web2页面下对应enable DHCP该项标*消失</t>
    <phoneticPr fontId="10" type="noConversion"/>
  </si>
  <si>
    <t>Function_AcuRev4100sprint2_001_10_case1-01</t>
  </si>
  <si>
    <t>在HMI上setting使能表计DHCP、关闭DHCP</t>
  </si>
  <si>
    <t>1.使能表计DHCP
2.查看web2中Eth1 DHCP、Eth1 IP、Eth1 Subnet、Eth1 Gateway、Eth1DNS1、Eth1DNS2这些数据能否进行修改
3.关闭表计DHCP
4.查看web2中Eth1 DHCP、Eth1 IP、Eth1 Subnet、Eth1 Gateway、Eth1DNS1、Eth1DNS2这些数据的状态</t>
  </si>
  <si>
    <t>2.不能被修改
4.电表DHCP不应该影响web2的网络数据</t>
    <phoneticPr fontId="1" type="noConversion"/>
  </si>
  <si>
    <t>Function_AcuRev4100sprint2_001_10_case2</t>
  </si>
  <si>
    <t>配置web2的状态寄存器中bit0位enable DHCP置位为1后快速掉电再上电</t>
    <phoneticPr fontId="10" type="noConversion"/>
  </si>
  <si>
    <t>1、4100电表正常上电，sscom通过usb与电表链接，配置完成后，链接状态为connected；
2、在HMI上setting-web2使能enable DHCP
3、在sscom通过usb组帧查看电表状态寄存器中bit0是否置1
4、查看HMI-web2页面下对应enable DHCP该项是否标*
5、此后电表，再上电
6、在sscom通过usb组帧查看电表状态寄存器中bit0是否置1
7、查看HMI-web2页面下对应enable DHCP该项标*是否消失</t>
    <phoneticPr fontId="10" type="noConversion"/>
  </si>
  <si>
    <t xml:space="preserve">3、电表状态寄存器中bit0置1
4、HMI-web2页面下对应enable DHCP该项标*
6、电表状态寄存器中bit0置1
7、HMI-web2页面下对应enable DHCP该项标*未消失
</t>
    <phoneticPr fontId="10" type="noConversion"/>
  </si>
  <si>
    <t>Function_AcuRev4100sprint2_001_10_case3</t>
  </si>
  <si>
    <t>进入HMI上setting-web2中，修改IP Address</t>
    <phoneticPr fontId="10" type="noConversion"/>
  </si>
  <si>
    <t>1、4100电表正常上电，sscom通过usb与电表链接，配置完成后，链接状态为connected；
2、进入HMI上setting-web2中，修改IP Address
3、在sscom通过usb组帧查看电表状态寄存器中bit1是否置1
4、查看HMI-web2页面下对应IP Address该项是否标*
5、模拟web2回复4100电表发出的打开dhcp成功，利用sscom组帧手动将状态寄存器中bit1置位0
6、查看HMI-web2页面下对应IP Address该项标*是否消失</t>
  </si>
  <si>
    <t>3、电表状态寄存器中bit1置1
4、HMI-web2页面下对应IP Address该项标*
5、下发成功
6、HMI-web2页面下对应IP Address该项标*消失</t>
    <phoneticPr fontId="10" type="noConversion"/>
  </si>
  <si>
    <t>Function_AcuRev4100sprint2_001_10_case4</t>
  </si>
  <si>
    <t>进入HMI上setting-web2中，修改Subnet mask</t>
    <phoneticPr fontId="10" type="noConversion"/>
  </si>
  <si>
    <t>1、4100电表正常上电，sscom通过usb与电表链接，配置完成后，链接状态为connected；
2、进入HMI上setting-web2中，修改Subnet mask
3、在sscom通过usb组帧查看电表状态寄存器中bit2是否置1
4、查看HMI-web2页面下对应Subnet mask该项是否标*
5、模拟web2回复4100电表发出的打开dhcp成功，利用sscom组帧手动将状态寄存器中bit2置位0
6、查看HMI-web2页面下对应Subnet mask该项标*是否消失</t>
  </si>
  <si>
    <t>3、电表状态寄存器中bit2置1
4、HMI-web2页面下对应Subnet mask该项标*
5、下发成功
6、HMI-web2页面下对应Subnet mask该项标*消失</t>
    <phoneticPr fontId="10" type="noConversion"/>
  </si>
  <si>
    <t>Function_AcuRev4100sprint2_001_10_case5</t>
  </si>
  <si>
    <t xml:space="preserve">进入HMI上setting-web2中，修改Gateway </t>
    <phoneticPr fontId="10" type="noConversion"/>
  </si>
  <si>
    <t>1、4100电表正常上电，sscom通过usb与电表链接，配置完成后，链接状态为connected；
2、进入HMI上setting-web2中，修改Gateway 
3、在sscom通过usb组帧查看电表状态寄存器中bit3是否置1
4、查看HMI-web2页面下对应Gateway 该项是否标*
5、模拟web2回复4100电表发出的打开dhcp成功，利用sscom组帧手动将状态寄存器中bit3置位0
6、查看HMI-web2页面下对应Gateway 该项标*是否消失</t>
    <phoneticPr fontId="10" type="noConversion"/>
  </si>
  <si>
    <t>3、电表状态寄存器中bit3置1
4、HMI-web2页面下对应Gateway 该项标*
5、下发成功
6、HMI-web2页面下对应Gateway 该项标*消失</t>
    <phoneticPr fontId="10" type="noConversion"/>
  </si>
  <si>
    <t>Function_AcuRev4100sprint2_001_10_case6</t>
  </si>
  <si>
    <t xml:space="preserve">进入HMI上setting-web2中，修改DNS1 </t>
    <phoneticPr fontId="10" type="noConversion"/>
  </si>
  <si>
    <t>1、4100电表正常上电，sscom通过usb与电表链接，配置完成后，链接状态为connected；
2、进入HMI上setting-web2中，修改DNS1 
3、在sscom通过usb组帧查看电表状态寄存器中bit4是否置1
4、查看HMI-web2页面下对应DNS1 该项是否标*
5、模拟web2回复4100电表发出的打开dhcp成功，利用sscom组帧手动将状态寄存器中bit4置位0
6、查看HMI-web2页面下对应DNS1  该项标*是否消失</t>
    <phoneticPr fontId="10" type="noConversion"/>
  </si>
  <si>
    <t>3、电表状态寄存器中bit4置1
4、HMI-web2页面下对应DNS1  该项标*
5、下发成功
6、HMI-web2页面下对应DNS1 该项标*消失</t>
    <phoneticPr fontId="10" type="noConversion"/>
  </si>
  <si>
    <t>Function_AcuRev4100sprint2_001_10_case7</t>
  </si>
  <si>
    <t>进入HMI上setting-web2中，修改DNS2</t>
    <phoneticPr fontId="10" type="noConversion"/>
  </si>
  <si>
    <t>1、4100电表正常上电，sscom通过usb与电表链接，配置完成后，链接状态为connected；
2、进入HMI上setting-web2中，修改DNS2
3、在sscom通过usb组帧查看电表状态寄存器中bit5是否置1
4、查看HMI-web2页面下对应DNS2该项是否标*
5、模拟web2回复4100电表发出的打开dhcp成功，利用sscom组帧手动将状态寄存器中bit5置位0
6、查看HMI-web2页面下对应DNS2  该项标*是否消失</t>
  </si>
  <si>
    <t>3、电表状态寄存器中bit5置1
4、HMI-web2页面下对应DNS2  该项标*
5、下发成功
6、HMI-web2页面下对应DNS2 该项标*消失</t>
    <phoneticPr fontId="10" type="noConversion"/>
  </si>
  <si>
    <t>Function_AcuRev4100sprint2_001_10_case8</t>
  </si>
  <si>
    <t xml:space="preserve">进入HMI上setting-web2中，使能Device Reboot </t>
    <phoneticPr fontId="10" type="noConversion"/>
  </si>
  <si>
    <t>1、4100电表正常上电，sscom通过usb与电表链接，配置完成后，链接状态为connected；
2、进入HMI上setting-web2中，使能Device Reboot 
3、在sscom通过usb组帧查看电表状态寄存器中bit6是否置1
4、查看HMI-web2页面下对应Device Reboot 该项是否标*
5、模拟web2回复4100电表发出的打开dhcp成功，利用sscom组帧手动将状态寄存器中bit6置位0
6、查看HMI-web2页面下对应Device Reboot 该项标*是否消失</t>
  </si>
  <si>
    <t>3、电表状态寄存器中bit6置1
4、HMI-web2页面下对应Device Reboot 该项标*
5、下发成功
6、HMI-web2页面下对应Device Reboot 该项标*消失</t>
    <phoneticPr fontId="10" type="noConversion"/>
  </si>
  <si>
    <t>Function_AcuRev4100sprint2_001_10_case9</t>
  </si>
  <si>
    <t xml:space="preserve">进入HMI上setting-web2中，使能Factory Reset </t>
    <phoneticPr fontId="10" type="noConversion"/>
  </si>
  <si>
    <t>1、4100电表正常上电，sscom通过usb与电表链接，配置完成后，链接状态为connected；
2、进入HMI上setting-web2中，使能Factory Reset 
3、在sscom通过usb组帧查看电表状态寄存器中bit7是否置1
4、查看HMI-web2页面下对应Factory Reset  该项是否标*
5、模拟web2回复4100电表发出的打开dhcp成功，利用sscom组帧手动将状态寄存器中bit7置位0
6、查看HMI-web2页面下对应Factory Reset  该项标*是否消失</t>
  </si>
  <si>
    <t>3、电表状态寄存器中bit7置1
4、HMI-web2页面下对应Factory Reset  该项标*,web2模块中Eth1 DHCP、Eth1 IP、Eth1 Subnet、Eth1 Gateway、Eth1DNS1、Eth1DNS2的数据均被恢复为默认值：；且均被标*
5、下发成功
6、HMI-web2页面下对应Factory Reset 该项标*消失，其他标*的也需对应bit位写0</t>
  </si>
  <si>
    <t>Function_AcuRev4100sprint2_001_10_case10</t>
  </si>
  <si>
    <t xml:space="preserve">进入HMI上setting-web2中，使能Network Reset </t>
    <phoneticPr fontId="10" type="noConversion"/>
  </si>
  <si>
    <t>1、4100电表正常上电，sscom通过usb与电表链接，配置完成后，链接状态为connected；
2、进入HMI上setting-web2中，使能Network Reset 
3、在sscom通过usb组帧查看电表状态寄存器中bit8是否置1
4、查看HMI-web2页面下对应Network Reset该项是否标*
5、模拟web2回复4100电表发出的打开dhcp成功，利用sscom组帧手动将状态寄存器中bit8置位0
6、查看HMI-web2页面下对应Network Reset该项标*是否消失</t>
  </si>
  <si>
    <t>3、电表状态寄存器中bit8置1
4、HMI-web2页面下对应Network Reset该项标*，web2模块中Eth1 DHCP、Eth1 IP、Eth1 Subnet、Eth1 Gateway、Eth1DNS1、Eth1DNS2的数据均被恢复为默认值：；且均被标*
5、下发成功
6、HMI-web2页面下对应Network Reset该项标*消失，其他标*的也需对应bit位写0</t>
  </si>
  <si>
    <t>Function_AcuRev4100sprint2_001_10_case11</t>
  </si>
  <si>
    <t xml:space="preserve">进入HMI上setting-web2中，使能Clock Update Enable </t>
    <phoneticPr fontId="10" type="noConversion"/>
  </si>
  <si>
    <t>1、4100电表正常上电，sscom通过usb与电表链接，配置完成后，链接状态为connected；
2、进入HMI上setting-web2中，使能Clock Update Enable 
3、在sscom通过usb组帧查看电表状态寄存器中bit9是否置1
4、查看HMI-web2页面下对应Clock Update Enable该项是否标*
5、模拟web2回复4100电表发出的打开dhcp成功，利用sscom组帧手动将状态寄存器中bit9置位0
6、查看HMI-web2页面下对应Clock Update Enable该项标*是否消失</t>
  </si>
  <si>
    <t>3、电表状态寄存器中bit9置1
4、HMI-web2页面下对应Clock Update Enable该项标*
5、下发成功
6、HMI-web2页面下对应Clock Update Enable该项标*消失</t>
    <phoneticPr fontId="10" type="noConversion"/>
  </si>
  <si>
    <t>Function_AcuRev4100sprint2_001_10_case12</t>
  </si>
  <si>
    <t xml:space="preserve">进入HMI上setting-web2中，修改Web2 Mode  </t>
    <phoneticPr fontId="10" type="noConversion"/>
  </si>
  <si>
    <t>1、4100电表正常上电，sscom通过usb与电表链接，配置完成后，链接状态为connected；
2、进入HMI上setting-web2中，修改Web2 Mode  
3、在sscom通过usb组帧查看电表状态寄存器中bit10是否置1
4、查看HMI-web2页面下对应Web2 Mode 该项是否标*
5、模拟web2回复4100电表发出的打开dhcp成功，利用sscom组帧手动将状态寄存器中bit10置位0
6、查看HMI-web2页面下对应Web2 Mode 该项标*是否消失</t>
  </si>
  <si>
    <t>3、电表状态寄存器中bit10置1
4、HMI-web2页面下对应Web2 Mode 该项标*
5、下发成功
6、HMI-web2页面下对应Web2 Mode 该项标*消失</t>
    <phoneticPr fontId="10" type="noConversion"/>
  </si>
  <si>
    <t>Function_AcuRev4100sprint2_001_10_case13</t>
  </si>
  <si>
    <t>配置web2的状态寄存器中bit10位Web2 Mode 置位为1后快速掉电再上电</t>
    <phoneticPr fontId="10" type="noConversion"/>
  </si>
  <si>
    <t>1、4100电表正常上电，sscom通过usb与电表链接，配置完成后，链接状态为connected；
2、在HMI上setting-web2修改Web2 Mode 
3、在sscom通过usb组帧查看电表状态寄存器中bit10是否置1
4、查看HMI-web2页面下对应Web2 Mode该项是否标*
5、此后电表，再上电
6、在sscom通过usb组帧查看电表状态寄存器中bit10是否置1
7、查看HMI-web2页面下对应Web2 Mode该项标*是否消失</t>
  </si>
  <si>
    <t xml:space="preserve">3、电表状态寄存器中bit10置1
4、HMI-web2页面下对应Web2 Mode该项标*
6、电表状态寄存器中bit10置1
7、HMI-web2页面下对应Web2 Mode该项标*未消失
</t>
    <phoneticPr fontId="10" type="noConversion"/>
  </si>
  <si>
    <t>Web2交互(HMI显示)</t>
    <phoneticPr fontId="10" type="noConversion"/>
  </si>
  <si>
    <t>Function_AcuRev4100sprint2_001_11_case1</t>
  </si>
  <si>
    <t>4100电表外部不接入WEB2，上电后查看在HMI中sysinfo的Web2下 Firmware version、Web2 Serial Number、MAC address(ETH1)、MAC address(ETH2)、MAC address(WIFI)</t>
    <phoneticPr fontId="10" type="noConversion"/>
  </si>
  <si>
    <t>1、Acuview2上位机
2、USB串口线
3、AcuRev4100电表</t>
    <phoneticPr fontId="10" type="noConversion"/>
  </si>
  <si>
    <t>1、4100电表正常上电，sscom通过usb与电表链接，配置完成后，链接状态为connected；
2、上电后在HMI中sysinfo的Web2 下 Firmware version、Web2 Serial Number、MAC address(ETH1)、MAC address(ETH2)、MAC address(WIFI)、IP(ETH2)、IP(WIFI)</t>
  </si>
  <si>
    <t>2、Web2下 Firmware version、Web2 Serial Number、MAC address(ETH1)、MAC address(ETH2)、MAC address(WIFI)、IP(ETH2)、IP(WIFI)为空</t>
  </si>
  <si>
    <t>Function_AcuRev4100sprint2_001_11_case2</t>
  </si>
  <si>
    <t>4100电表上电瞬间利用外部工具组帧模拟web2给表发送Web2 Firmware version</t>
    <phoneticPr fontId="10" type="noConversion"/>
  </si>
  <si>
    <t>1、4100电表正常上电，sscom通过usb与电表链接，配置完成后，链接状态为connected；
2、利用外部工具modbus poll模拟web2给表发送Web2 Firmware version
3、查看电表HMI页面中sysinfo的Web2下 Firmware version显示是否正常</t>
  </si>
  <si>
    <t>2、发送数据成功
3、HMI页面中sysinfo的Web2下 Firmware version显示正常</t>
    <phoneticPr fontId="10" type="noConversion"/>
  </si>
  <si>
    <t>Function_AcuRev4100sprint2_001_11_case3</t>
  </si>
  <si>
    <t>4100电表上电瞬间利用外部工具组帧模拟web2给表发送Web2 Serial Number</t>
    <phoneticPr fontId="10" type="noConversion"/>
  </si>
  <si>
    <t>1、4100电表正常上电，sscom通过usb与电表链接，配置完成后，链接状态为connected；
2、利用外部工具modbus poll模拟web2给表发送Web2 Serial Number
3、查看电表HMI页面中sysinfo的Web2下Web2 Serial Number显示是否正常</t>
  </si>
  <si>
    <t>2、发送数据成功
3、HMI页面中sysinfo的Web2下Web2 Serial Number显示正常</t>
  </si>
  <si>
    <t>Function_AcuRev4100sprint2_001_11_case4</t>
  </si>
  <si>
    <t>4100电表上电瞬间利用外部工具组帧模拟web2给表发送MAC address(ETH1)</t>
    <phoneticPr fontId="10" type="noConversion"/>
  </si>
  <si>
    <t>1、4100电表正常上电，sscom通过usb与电表链接，配置完成后，链接状态为connected；
2、利用外部工具modbus poll模拟web2给表发送MAC address(ETH1)
3、查看电表HMI页面中sysinfo的Web2下MAC address(ETH1)显示是否正常</t>
  </si>
  <si>
    <t>2、发送数据成功
3、HMI页面中sysinfo的Web2下MAC address(ETH1)显示正常</t>
  </si>
  <si>
    <t>Function_AcuRev4100sprint2_001_11_case5</t>
  </si>
  <si>
    <t>4100电表上电瞬间利用外部工具组帧模拟web2给表发送MAC address(ETH2)</t>
    <phoneticPr fontId="10" type="noConversion"/>
  </si>
  <si>
    <t>1、4100电表正常上电，sscom通过usb与电表链接，配置完成后，链接状态为connected；
2、利用外部工具modbus poll模拟web2给表发送MAC address(ETH2)
3、查看电表HMI页面中sysinfo的Web2下MAC address(ETH2)显示是否正常</t>
  </si>
  <si>
    <t>2、发送数据成功
3、HMI页面中sysinfo的Web2下MAC address(ETH2)显示正常</t>
    <phoneticPr fontId="10" type="noConversion"/>
  </si>
  <si>
    <t>Function_AcuRev4100sprint2_001_11_case6</t>
  </si>
  <si>
    <t>4100电表上电瞬间利用外部工具组帧模拟web2给表发送MAC address(WIFI)</t>
  </si>
  <si>
    <t>1、4100电表正常上电，sscom通过usb与电表链接，配置完成后，链接状态为connected；
2、利用外部工具modbus poll模拟web2给表发送MAC address(WIFI)
3、查看电表HMI页面中sysinfo的Web2下MAC address(WIFI)显示是否正常</t>
  </si>
  <si>
    <t>2、发送数据成功
3、HMI页面中sysinfo的Web2下MAC address(WIFI)显示正常</t>
  </si>
  <si>
    <t>LV1</t>
    <phoneticPr fontId="37" type="noConversion"/>
  </si>
  <si>
    <t>Function_AcuRev4100sprint2_001_11_case7</t>
  </si>
  <si>
    <t>4100电表上电瞬间利用外部工具组帧模拟web2给表发送Firmware version、Web2 Serial Number、MAC address(ETH1)、MAC address(ETH2)、MAC address(WIFI)，表掉电，上电后数据不能丢</t>
    <phoneticPr fontId="37" type="noConversion"/>
  </si>
  <si>
    <r>
      <rPr>
        <sz val="8"/>
        <color rgb="FF000000"/>
        <rFont val="微软雅黑"/>
        <family val="2"/>
        <charset val="134"/>
      </rPr>
      <t>1、410</t>
    </r>
    <r>
      <rPr>
        <i/>
        <sz val="8"/>
        <color rgb="FF000000"/>
        <rFont val="微软雅黑"/>
        <family val="2"/>
        <charset val="134"/>
      </rPr>
      <t>0电表正常上电，sscom通过usb与电表链接，配置完成后，链接状态为connected；
2、利用外部工具modbus poll模拟web2给表发送Firmware version、Web2 Serial Number、MAC address(ETH1)、MAC address(ETH2)、MAC address(WIFI)
3、查看电表HMI页面中sysinfo的Web2下Firmware version、Web2 Serial Number、MAC address(ETH1)、MAC address(ETH2)、MAC address(WIFI)显示是否正常
4、表计掉电，上电后继续查看2中写入的数据</t>
    </r>
  </si>
  <si>
    <t>2、数据发送成功
3、数据显示正常
4、表计掉电后再上电，2中写入的数据未丢，数据显示正常</t>
  </si>
  <si>
    <t>Function_AcuRev4100sprint2_001_11_case8</t>
  </si>
  <si>
    <t>4100电表上电瞬间利用外部工具组帧模拟web2给表发送IP(WIFI)</t>
  </si>
  <si>
    <t>1、4100电表正常上电，sscom通过usb与电表链接，配置完成后，链接状态为connected；
2、利用外部工具modbus poll模拟web2给表发送IP(WIFI) 01 10 01 0F 00 02 04 C0 A8 01 F4(192.168.001.244)
3、查看电表HMI页面中sysinfo的Web2下IP(WIFI)显示是否正常</t>
  </si>
  <si>
    <t>2、发送数据成功
3、HMI页面中sysinfo的Web2下IP(WIFI)显示正常</t>
  </si>
  <si>
    <t>Function_AcuRev4100sprint2_001_11_case9</t>
  </si>
  <si>
    <t>4100电表上电瞬间利用外部工具组帧模拟web2给表发送IP(Eth2)</t>
  </si>
  <si>
    <t>1、4100电表正常上电，sscom通过usb与电表链接，配置完成后，链接状态为connected；
2、利用外部工具modbus poll模拟web2给表发送IP(Eth2) 01 10 01 0D 00 02 04 C0 A8 01 EB(192.168.001.235)
3、查看电表HMI页面中sysinfo的Web2下IP(Eth2)显示是否正常</t>
  </si>
  <si>
    <t>2、发送数据成功
3、HMI页面中sysinfo的Web2下IP(Eth2)显示正常</t>
  </si>
  <si>
    <t>WEB2与4100链接</t>
    <phoneticPr fontId="10" type="noConversion"/>
  </si>
  <si>
    <t>Function_AcuRev4100sprint2_001_12_case1</t>
  </si>
  <si>
    <t>4100电表外部不接入WEB2，上电后不进行表计与web2的通讯，5S后，HMI显示屏无网络小图标</t>
    <phoneticPr fontId="10" type="noConversion"/>
  </si>
  <si>
    <t>1、Acuview2上位机
2、USB串口线
3、AcuRev4100电表4、modbus poll</t>
    <phoneticPr fontId="10" type="noConversion"/>
  </si>
  <si>
    <t>1、4100电表正常上电，不接入WEB2
2、查看一段时间后（5S）4100HMI页面是否显示网络小图标</t>
  </si>
  <si>
    <t>2、不显示网络小图标</t>
  </si>
  <si>
    <t>Function_AcuRev4100sprint2_001_12_case2</t>
  </si>
  <si>
    <t>4100电表上电后，利用外部工具组帧模拟web2给表发送Web2 Firmware version、Web2 Serial Number等WEB2的信息，HMI显示屏出现网络小图标</t>
  </si>
  <si>
    <t>1、1、4100电表正常上电，sscom通过usb与电表链接，配置完成后，链接状态为connected；
2、在sscom通过usb组帧连续发送查看电表状态寄存器
3、查看电表HMI屏幕是否显示网络小图标
4、停止发送5s，查看HMI显示屏中网络小图标</t>
  </si>
  <si>
    <t>2、4100有数据接收时，代表与web2链接，HMI屏显示网络小图标
3、停止发送超过5S后，HMI显示屏中网络小图标消失</t>
  </si>
  <si>
    <t>Web2交互(链接状态&amp;自发现)</t>
    <phoneticPr fontId="10" type="noConversion"/>
  </si>
  <si>
    <t>Function_AcuRev4100sprint2_001_13_case1</t>
  </si>
  <si>
    <t>将两块4100电表通过路由器级联，打开这两台电表的DHCP,在路由器中查看是否获取到了这两台电表的SN号</t>
    <phoneticPr fontId="10" type="noConversion"/>
  </si>
  <si>
    <t>1、Acuview2上位机
2、网线
3、AcuRev4100电表
4、路由器</t>
    <phoneticPr fontId="10" type="noConversion"/>
  </si>
  <si>
    <t>1、将两块4100电表通过路由器级联
2、打开这两块电表的DHCP
3、一段时间后（1min）,查看在路由器上是否能获取到这两台电表的SN号</t>
  </si>
  <si>
    <t>3、一段时间后（1min）,在路由器上能获取到这两台电表的SN号</t>
    <phoneticPr fontId="10" type="noConversion"/>
  </si>
  <si>
    <t>Function_AcuRev4100sprint2_001_13_case2</t>
    <phoneticPr fontId="10" type="noConversion"/>
  </si>
  <si>
    <t>将4块4100电表通过路由器级联，打开这3台电表的DHCP,在路由器中查看是否获取到了这4台电表的SN号,随后关闭电表的DHCP</t>
    <phoneticPr fontId="10" type="noConversion"/>
  </si>
  <si>
    <t>1、将4块4100电表通过路由器级联
2、打开这4块电表的DHCP
3、一段时间后（1min）,查看在路由器上是否能获取到这4台电表的SN号
4、随后关闭电表的DHCP
5、一段时间后（1min）,查看在路由器上这4台电表的SN号是否消失
6、重启这四块电表，继续查看在路由器上这4台电表的SN号是否消失</t>
  </si>
  <si>
    <t>3、一段时间后（1min）,在路由器上能获取到这4台电表的SN号
5、这4台电表的SN号不会消失
6、这4台电表的SN号消失</t>
  </si>
  <si>
    <t>TestCase_AcuHMI_FCT_01_case01</t>
    <phoneticPr fontId="10" type="noConversion"/>
  </si>
  <si>
    <t>测试AT服务是否正常启动</t>
    <phoneticPr fontId="37" type="noConversion"/>
  </si>
  <si>
    <t>1.设备烧录成功并退出烧录模式
2.eth1和2通过网线接入PC
3.设置
ip1:192.168.2.50
ip2:192.168.3.50
4.连接telnet {ip}：9060</t>
    <phoneticPr fontId="10" type="noConversion"/>
  </si>
  <si>
    <t>1.输入AT，回车发送</t>
    <phoneticPr fontId="10" type="noConversion"/>
  </si>
  <si>
    <t>1.返回结果如下：
\r\n OK\r\n
注：格式严格和FCT协议文档一致</t>
    <phoneticPr fontId="10" type="noConversion"/>
  </si>
  <si>
    <t>TestCase_AcuHMI_FCT_01_case02</t>
  </si>
  <si>
    <t>获取设备信息</t>
  </si>
  <si>
    <t>1.设备烧录成功并退出烧录模式
2.eth1和2通过网线接入PC
3.设置
ip1:192.168.2.50
ip2:192.168.3.50
4.连接telnet {ip}：</t>
    <phoneticPr fontId="10" type="noConversion"/>
  </si>
  <si>
    <t>1.输入ATI，回车发送</t>
    <phoneticPr fontId="10" type="noConversion"/>
  </si>
  <si>
    <t>1.返回内容及格式准确：\r\n Hardware Version:&lt;hversion&gt;\r\n
Firmware Version:&lt;fversion&gt;\r\n
appVersion:&lt;aversion&gt;\r\n
Model:&lt;model&gt;\r\n
Serial Number:&lt;serial&gt;\r\n
Mac Addr1:&lt;addr1&gt;\r\n
Mac Addr2:&lt;addr2&gt;\r\n
IP Addr1:&lt;addr1&gt;\r\n
IP Addr2:&lt;addr2&gt;\r\n
\r\n OK\r\n</t>
    <phoneticPr fontId="10" type="noConversion"/>
  </si>
  <si>
    <t>TestCase_AcuHMI_FCT_01_case03</t>
  </si>
  <si>
    <t>测试两个网口是否正常</t>
  </si>
  <si>
    <t>1.输入AT+ETHTEST，回车发送</t>
    <phoneticPr fontId="10" type="noConversion"/>
  </si>
  <si>
    <t>1.返回结果如下：
\r\n +ETHTEST:OK\r\n
\r\n OK\r\n
注：格式严格和FCT协议文档一致</t>
    <phoneticPr fontId="10" type="noConversion"/>
  </si>
  <si>
    <t>TestCase_AcuHMI_FCT_01_case04</t>
  </si>
  <si>
    <t>测试RTC</t>
  </si>
  <si>
    <t>1.输入AT+RTCTEST，回车发送</t>
    <phoneticPr fontId="10" type="noConversion"/>
  </si>
  <si>
    <t>1.1秒返回结果如下：
\r\n +RTCTEST:OK\r\n \r\n OK\r\n
注：格式严格和FCT协议文档一致</t>
    <phoneticPr fontId="10" type="noConversion"/>
  </si>
  <si>
    <t>TestCase_AcuHMI_FCT_01_case05</t>
  </si>
  <si>
    <t>测试RS485</t>
    <phoneticPr fontId="10" type="noConversion"/>
  </si>
  <si>
    <t>1.两个485口的AB短接
A1&lt;-&gt;A2
B1&lt;-&gt;B3
2.输入AT+RS485TEST，回车发送</t>
    <phoneticPr fontId="10" type="noConversion"/>
  </si>
  <si>
    <t xml:space="preserve">2.3s内返回结果如下：
\r\n +RS485TEST:OK\r\n
\r\n OK\r\n
注：格式严格和FCT协议文档一致
</t>
    <phoneticPr fontId="10" type="noConversion"/>
  </si>
  <si>
    <t>TestCase_AcuHMI_FCT_01_case06</t>
  </si>
  <si>
    <t>EMMC基本测试
执行 EMMC 写 / 读操作，并进行内容比较</t>
    <phoneticPr fontId="10" type="noConversion"/>
  </si>
  <si>
    <t>1.输入AT+EMMCTEST，回车发送</t>
    <phoneticPr fontId="10" type="noConversion"/>
  </si>
  <si>
    <t>1.1s内返回结果如下
\r\n +EMMCTEST:OK\r\n
\r\n OK\r\n
注：格式严格和FCT协议文档一致</t>
    <phoneticPr fontId="10" type="noConversion"/>
  </si>
  <si>
    <t>TestCase_AcuHMI_FCT_01_case07</t>
  </si>
  <si>
    <t>系统调试串口设备结点检测</t>
    <phoneticPr fontId="10" type="noConversion"/>
  </si>
  <si>
    <t>1.uart的Tx和Rx两个引脚短接
2.输入AT+UARTTEST=1，回车发送
3.输入AT+UARTTEST=0，回车发送</t>
    <phoneticPr fontId="10" type="noConversion"/>
  </si>
  <si>
    <t>2.1s内返回结果如下：
+ UARTTEST:OK,1
OK
3.1s内返回结果如下：
+ UARTTEST:OK,0
OK
注：格式严格和FCT协议文档一致：
\r\n + UARTTEST:OK,1\r\n
\r\n OK\r\n
\r\n + UARTTEST:ERROR\r\n
\r\n ERROR\r\n</t>
    <phoneticPr fontId="10" type="noConversion"/>
  </si>
  <si>
    <t>TestCase_AcuHMI_FCT_01_case08</t>
  </si>
  <si>
    <t>RAM基本测试
执行RAM读 / 写操作，并进行内容比较</t>
    <phoneticPr fontId="10" type="noConversion"/>
  </si>
  <si>
    <t>1.输入AT+RAMTEST，回车发送</t>
    <phoneticPr fontId="10" type="noConversion"/>
  </si>
  <si>
    <t>1.6s内返回结果如下：
\r\n +RAMTEST:OK\r\n
\r\n OK\r\n
注：格式严格和FCT协议文档一致</t>
    <phoneticPr fontId="10" type="noConversion"/>
  </si>
  <si>
    <t>TestCase_AcuHMI_FCT_01_case09</t>
  </si>
  <si>
    <t>测试HOME按键</t>
  </si>
  <si>
    <t>1.输入AT+KEYTEST=0,100，回车发送
2.100s内点击Home按键
3.输入AT+KEYTEST=0,100，回车发送
4.等待100s，不触摸Home按键
注：0表示HOME键不可修改
100表示超时时间/秒，可自定义</t>
    <phoneticPr fontId="10" type="noConversion"/>
  </si>
  <si>
    <t>2.100s内返回结果如下：
\r\n +KEYTEST:OK,&lt;value&gt;\r\n
\r\n OK\r\n
4.超过100s返回结果如下：
\r\n +KEYTEST:ERROR\r\n
\r\n ERROR\r\n
注：
1.格式严格和FCT协议文档一致
2.&lt;value&gt;：超时时间参数,单位秒</t>
    <phoneticPr fontId="10" type="noConversion"/>
  </si>
  <si>
    <t>TestCase_AcuHMI_FCT_01_case10</t>
  </si>
  <si>
    <t>测试LED灯</t>
  </si>
  <si>
    <t>1.输入AT+LEDTEST=1，回车发送
2.观察LED显示
3.输入AT+LEDTEST=0，回车发送
4.观察LED显示</t>
    <phoneticPr fontId="10" type="noConversion"/>
  </si>
  <si>
    <t>1.1s内返回结果如下：
\r\n +LEDTEST:OK,&lt;state&gt;\r\n
\r\n OK\r\n
2.LED常亮，
3.1s内返回结果如下：
\r\n +LEDTEST:OK,&lt;state&gt;\r\n
\r\n OK\r\n
4.LED常灭
注：
1.格式严格和FCT协议文档一致
2.&lt;state&gt;
1 开
0 关</t>
    <phoneticPr fontId="10" type="noConversion"/>
  </si>
  <si>
    <t>TestCase_AcuHMI_FCT_01_case11</t>
  </si>
  <si>
    <t>控制蜂鸣器状态</t>
    <phoneticPr fontId="10" type="noConversion"/>
  </si>
  <si>
    <t>1.输入AT+BZTEST=1，回车发送
2.蜂鸣器是否有频率的响
3.输入AT+BZTEST=0，回车发送
4.蜂鸣器声音是否关闭</t>
    <phoneticPr fontId="10" type="noConversion"/>
  </si>
  <si>
    <t>1.1s内返回结果如下：
\r\n +BZTEST:OK,&lt;state&gt;\r\n
\r\n OK\r\n
2.有频率的响
3.1s内返回结果如下：
\r\n +BZTEST:OK,&lt;state&gt;\r\n
\r\n OK\r\n
4.声音关闭
注：
1.格式严格和FCT协议文档一致
2.&lt;state&gt;
1 开
0 关</t>
    <phoneticPr fontId="10" type="noConversion"/>
  </si>
  <si>
    <t>TestCase_AcuHMI_FCT_01_case12</t>
  </si>
  <si>
    <t>测试屏幕</t>
  </si>
  <si>
    <t>1.输入AT+LCDTEST=100，回车发送
2.点完屏幕提示的内容
注：100表示超时时间/秒，可自定义
在超时时间内，</t>
    <phoneticPr fontId="10" type="noConversion"/>
  </si>
  <si>
    <t>2.返回结果如下：
\r\n +LCDTEST:OK,&lt;value&gt;\r\n
\r\n OK\r\n
注:
1.格式严格和FCT协议文档一致
2.&lt;value&gt;
超时时间参数,单位秒</t>
    <phoneticPr fontId="10" type="noConversion"/>
  </si>
  <si>
    <t>TestCase_AcuHMI_FCT_01_case13</t>
    <phoneticPr fontId="10" type="noConversion"/>
  </si>
  <si>
    <t>设置FCT测试结果</t>
  </si>
  <si>
    <t>1.输入AT+FCTREPORT=LEDTEST,PASS，回车发送
2.输入AT+FCTREPORT=LEDTEST,FAIL，回车发送
3.输入AT+FCTREPORT=?，回车发送</t>
    <phoneticPr fontId="10" type="noConversion"/>
  </si>
  <si>
    <t>1.\r\n +FCTREPORT:&lt;module&gt;,&lt;result&gt;\r\n
\r\n OK\r\n
2.\r\n +FCTREPORT:&lt;module&gt;,&lt;result&gt;\r\n
\r\n OK\r\n
3.\r\n &lt;json&gt;\r\n
\r\n OK\r\n
注：
1.格式严格和FCT协议文档一致
2.反馈测试结果(需要用户确认的case)
&lt;result&gt;
PASS
FAIL
&lt;module&gt;
BZTEST
LEDTEST</t>
    <phoneticPr fontId="10" type="noConversion"/>
  </si>
  <si>
    <t>TestCase_AcuHMI_FCT_01_case14</t>
    <phoneticPr fontId="10" type="noConversion"/>
  </si>
  <si>
    <t>1.输入AT+FCTREPORT=BZTEST,PASS，回车发送
2.输入AT+FCTREPORT=BZTEST,FAIL，回车发送
3.输入AT+FCTREPORT=?，回车发送</t>
    <phoneticPr fontId="10" type="noConversion"/>
  </si>
  <si>
    <t>1.\r\n +FCTREPORT:&lt;module&gt;,&lt;result&gt;\r\n
\r\n OK\r\n
2.\r\n +FCTREPORT:&lt;module&gt;,&lt;result&gt;\r\n
3.\r\n &lt;json&gt;\r\n
\r\n OK\r\n
注：
1.格式严格和FCT协议文档一致
2.反馈测试结果(需要用户确认的case)
&lt;result&gt;
PASS
FAIL
&lt;module&gt;
BZTEST
LEDTEST</t>
    <phoneticPr fontId="10" type="noConversion"/>
  </si>
  <si>
    <t>TestCase_AcuHMI_FCT_01_case15</t>
    <phoneticPr fontId="10" type="noConversion"/>
  </si>
  <si>
    <t>查询FCT 测试的报告</t>
    <phoneticPr fontId="10" type="noConversion"/>
  </si>
  <si>
    <t>1.输入AT+FCTREPORT=?，回车发送</t>
    <phoneticPr fontId="10" type="noConversion"/>
  </si>
  <si>
    <t>1s内容返回结果如下：
\r\n &lt;json&gt;\r\n
\r\n OK\r\n
注：格式严格和FCT协议文档一致</t>
    <phoneticPr fontId="10" type="noConversion"/>
  </si>
  <si>
    <t>Function_AcuRev1320_001_01_case1</t>
    <phoneticPr fontId="10" type="noConversion"/>
  </si>
  <si>
    <t>交流电在45 HZ 、55HZ、65 Hz，测量精度要求0.1%</t>
  </si>
  <si>
    <t>1、连接AcuRev1320电表到Acuview2上，链接状态为connected
2、交流电源输入频率为45HZ。
3、Acuview2上和HMI上检查交流电频率是否在精度范围内，范围:44.955 ~ 45.045
4、交流电源输入频率为55HZ。
5、Acuview2上和HMI上检查交流电频率是否在精度范围内，范围:54.945 ~ 55.055
6、交流电源输入频率为65HZ。
7、Acuview2上检查交流电频率是否在精度范围内，范围:64.935 ~ 65.065
8、以上步骤同时在web页面上检查，交流电频率是否在精度范围内（是否与上位机及电表一致）</t>
    <phoneticPr fontId="10" type="noConversion"/>
  </si>
  <si>
    <t>3、Acuview2上和HMI上检查交流电频率在精度范围内，范围:44.955 ~ 45.045
5、Acuview2上和HMI上检查交流电频率在精度范围内，范围:54.945 ~ 55.055
7、Acuview2上检查交流电频率在精度范围内，范围:64.935 ~ 65.065
8、web页面上检查交流电频率在精度范围内（与上位机及电表一致）</t>
    <phoneticPr fontId="10" type="noConversion"/>
  </si>
  <si>
    <t>Function_AcuRev1320_001_01_case2</t>
  </si>
  <si>
    <t>交流电在50HZ 、60 Hz，测量精度要求0.1%</t>
  </si>
  <si>
    <t>1、连接AcuRev1320电表到Acuview2上，链接状态为connected
2、交流电源输入频率为50HZ。
3、Acuview2上和HMI上检查交流电频率是否在精度范围内，范围:49.95 ~ 50.05
4、交流电源输入频率为60HZ。
5、Acuview2上和HMI上检查交流电频率是否在精度范围内，范围:59.94 ~ 60.06</t>
  </si>
  <si>
    <t>3、Acuview2上和HMI上检查交流电频率在精度范围内，范围:49.95 ~ 50.05
5、Acuview2上和HMI上检查交流电频率在精度范围内，范围:59.94 ~ 60.06</t>
  </si>
  <si>
    <t>Function_AcuRev1320_001_01_case5</t>
  </si>
  <si>
    <t>验证上位机Real-time 聚合数据的各个页面，测量频率正常</t>
  </si>
  <si>
    <t>1、Acuview2上位机
2、网线/RTU串口线
3、AcuRev1320电表
4、接线方式3E4w y</t>
  </si>
  <si>
    <t>1、 交流电源输入频率为50HZ。
2、 等待4 小时
3、 检查Real-Time Metering （200ms）、Real-Time Metering （3s）、Real-Time Metering （10min）、Real-Time Metering （2hr）、High-Speed Metering  页面的频率</t>
    <phoneticPr fontId="10" type="noConversion"/>
  </si>
  <si>
    <t>3、 各个页面频率测量值均为50HZ
备注： 除了200ms页面，其他页面没有精度要求，测量值接近不能偏离太远</t>
    <phoneticPr fontId="10" type="noConversion"/>
  </si>
  <si>
    <t>交流电压</t>
    <phoneticPr fontId="10" type="noConversion"/>
  </si>
  <si>
    <t>Function_AcuRev1320_002_01_case1</t>
    <phoneticPr fontId="10" type="noConversion"/>
  </si>
  <si>
    <t>1、Acuview2上位机
2、网线/RTU串口线
3、AcuRev1320电表
4、接线方式3E4w y y</t>
  </si>
  <si>
    <t>1、连接AcuRev1320电表到Acuview2上，链接状态为connected
2、交流电源输入相电压Van、Vbn、Vcn的额定电压为69V。
3、Acuview2上和HMI上检查交流电相电压是否均在精度范围内，
Van、Vbn、Vcn范围(V):68.931 ~ 69.069， Vlnavg范围(V)：68.931 ~ 69.069
4、交流电源输入相电压Van、Vbn、Vcn的额定电压为120V。
5、Acuview2上和HMI上检查交流电相电压是否均在精度范围内，范围(V):119.88 ~ 120.12， Vlnavg范围(V)：119.88 ~ 120.12
6、以上步骤中，检查web页面与Acuview2、HMI上交流电相电压是否一致，是否均在精度范围内</t>
    <phoneticPr fontId="10" type="noConversion"/>
  </si>
  <si>
    <t>3、Acuview2上和HMI上检查交流电相电压均在精度范围内，范围(V):68.931 ~ 69.069，Vlnavg范围(V)：68.931 ~ 69.069
5、Acuview2上和HMI上检查交流电相电压均在精度范围内，范围(V):119.88 ~ 120.12，Vlnavg范围(V)：119.88 ~ 120.12
6、以上步骤中，检查web页面与Acuview2、HMI上交流电相电压一致，均在精度范围内</t>
    <phoneticPr fontId="10" type="noConversion"/>
  </si>
  <si>
    <t>1、连接AcuRev1320电表到Acuview2上，链接状态为connected
2、交流电源输入相电压Van、Vbn、Vcn的额定电压为0V。
3、电表相序设置为ABC，φA、φB、φC分别为(0°、240°、120°)
4、input1-3 设置为3A
5、Acuview2上和HMI上检查交流电相电压Van、Vbn、Vcn、Vlnavg测量值是否为0V。
6、ABC三相, 输入通道input1-3电流均为3A
7、交流电源输入相电压Van、Vbn、Vcn的额定电压为10V。
8、电表相序设置为ABC，φA、φB、φC分别为(0°、240°、120°)
9、input1-3 设置为3A
10、ABC三相, 输入通道input1-3电流均为3A</t>
  </si>
  <si>
    <t>5、Acuview2上和HMI上检查交流电相电压Van、Vbn、Vcn、Vlnavg测量值为0V
6、ABC三相, 输入通道input1-3、均为3A，同时功率、夹角、能量不计算
10、ABC三相, 输入通道input1-3、电流均为3A，同时计算功率、夹角、能量</t>
  </si>
  <si>
    <t>交流电Van、Vbn、Vcn输入额定电压分别均为480V （电气规格支持的最大相电压480V）,测量Van、Vbn、Vcn、Vlnavg满足精度要求0.1%</t>
  </si>
  <si>
    <t>1、连接AcuRev1320电表到Acuview2上，链接状态为connected
2、交流电源输入相电压Van、Vbn、Vcn的额定电压为69V。
3、Acuview2上和HMI上检查交流电相电压是否均在精度范围内，范围(V):119.388492 ~ 119.627508， Vllavg范围(V)：119.388492 ~ 119.627508
4、交流电源输入相电压Van、Vbn、Vcn的额定电压为120V。
5、Acuview2上和HMI上检查交流电相电压是否均在精度范围内，范围(V):207.63216 ~ 208.04784， Vllavg范围(V)：207.63216 ~ 208.04784
6、以上步骤中，检查web页面是否与Acuview2上、hmi数据保持一致，是否均在范围内</t>
    <phoneticPr fontId="10" type="noConversion"/>
  </si>
  <si>
    <t>1、连接AcuRev1320电表到Acuview2上，链接状态为connected
2、交流电源输入相电压Van、Vbn、Vcn的额定电压为0V。
3、Acuview2上和HMI上检查交流电线电压是否为0V
4、交流电源输入相电压Van、Vbn、Vcn的额定电压为1V。
5、Acuview2上和HMI上检查交流电线电压是否为0V
6、交流电源输入相电压Van、Vbn、Vcn的额定电压为9V。
7、Acuview2上和HMI上检查交流电线电压是否为0V
6、以上步骤中，检查web页面数据是否符合要求</t>
    <phoneticPr fontId="10" type="noConversion"/>
  </si>
  <si>
    <t>3、5、7、Acuview2上和HMI上检查交流电线电压为0V
6、以上步骤中，检查web页面数据符合要求</t>
    <phoneticPr fontId="10" type="noConversion"/>
  </si>
  <si>
    <t>1、连接AcuRev1320电表到Acuview2上，链接状态为connected
2、交流电源输入相电压Van、Vbn、Vcn的电压为(69V,120V,230V), θA、θB、θC分别为(0°、60°、120°)。
3、Acuview2上和HMI上检查交流电相电压是否均在精度范围内，
4、以上步骤中，检查web页面数据是否符合要求</t>
    <phoneticPr fontId="10" type="noConversion"/>
  </si>
  <si>
    <t>3、Acuview2上和HMI上检查交流电相电压均在精度范围内
4、以上步骤中，检查web页面数据符合要求
备注: 也可以使用excel公式计算任意角度和电压的线电压。</t>
    <phoneticPr fontId="10" type="noConversion"/>
  </si>
  <si>
    <t>交流电Van、Vbn、Vcn输入额定电压为(120V,120V,120V),逆序，且φA、φB、φC分别为(0°、260°、140°)，Vab、Vac、Vbc、Vllavg测量值满足精度要求0.1%</t>
  </si>
  <si>
    <t>4、Acuview2上和HMI上检查交流电相电压均在精度范围内，详细如下:
Vab：183.8507  183.6668 ~ 184.0345 
Vcb：207.8461  207.6383 ~ 208.0539 	
Vca：225.5262  225.3007 ~ 225.7518 	
Vlnavg：205.7410  205.5353 ~ 205.9467</t>
  </si>
  <si>
    <t>4、Acuview2上和HMI上检查交流电相电压均在精度范围内，详细如下:
备注: 也可以使用excel公式计算任意角度和电压的线电压。</t>
  </si>
  <si>
    <t>聚合页面的电压测量值验证</t>
  </si>
  <si>
    <t>Function_AcuRev1320_002_03_case1</t>
  </si>
  <si>
    <t>交流电Van、Vbn、Vcn 输入电压120V，验证上位机Real-time 聚合数据的各个页面，Va、Vb、Vc、VlnAvg、Vab、Vac、Vca、Vllavg测量正常</t>
  </si>
  <si>
    <t>1、连接AcuRev1320电表到Acuview2上，链接状态为connected
2、交流电源输入相电压Van、Vbn、Vcn的额定电压为120V。
3、等待4小时
4、 检查检查Real-Time Metering （200ms）、Real-Time Metering （3s）、Real-Time Metering （10min）、Real-Time Metering （2hr）、High-Speed Metering  页面的Va、Vb、Vc、VlnAvg、Vab、Vac、Vca、Vllavg测量值</t>
  </si>
  <si>
    <t>4、 各个页面相电压及其平均值测量值均为120V；线电压及其平均值为207.846V
备注： 除了200ms页面，其他页面没有精度要求，测量值接近不能偏离太远</t>
  </si>
  <si>
    <t>Function_AcuRev1320_002_03_case2</t>
  </si>
  <si>
    <t>交流电Van、Vbn、Vcn 输入电压120V，验证上位机Real-Time Metering （10min）页面的刷新逻辑</t>
  </si>
  <si>
    <t xml:space="preserve">1、连接AcuRev1320电表到Acuview2上，链接状态为connected
2、配置电表时间为任意日期的10:05
3、交流电源输入相电压Van、Vbn、Vcn的额定电压为120V。
4、10:10时检查上位机的Real-Time Metering （10min）页面
5、交流电源输入相电压Van、Vbn、Vcn的额定电压为150V。
6、10:20时检查上位机的Real-Time Metering （10min）页面
</t>
  </si>
  <si>
    <t>4、 Real-Time Metering （10min）页面相电压及其平均值测量值均为120V；线电压及其平均值为207.846V
6、 Real-Time Metering （10min）页面相电压及其平均值测量值均为150V；线电压及其平均值为259.8076V
备注： 除了200ms页面，其他页面没有精度要求，测量值接近不能偏离太远</t>
  </si>
  <si>
    <t>Function_AcuRev1320_002_03_case3</t>
  </si>
  <si>
    <t>交流电Van、Vbn、Vcn 输入电压120V，验证上位机Real-Time Metering （2hr）页面的刷新逻辑</t>
  </si>
  <si>
    <t>1、连接AcuRev1320电表到Acuview2上，链接状态为connected
2、配置电表时间为任意日期的10:05
3、交流电源输入相电压Van、Vbn、Vcn的额定电压为120V。
4、10:10时检查上位机的Real-Time Metering （10min）页面
5、12:10时检查上位机的Real-Time Metering （10min）页面</t>
    <phoneticPr fontId="10" type="noConversion"/>
  </si>
  <si>
    <t>4、 Real-Time Metering （10min）页面相电压及其平均值测量值均为120V；线电压及其平均值为207.846V
5、 Real-Time Metering （2hr）页面相电压及其平均值测量值均为150V；线电压及其平均值为259.8076V</t>
  </si>
  <si>
    <t>交流电流</t>
    <phoneticPr fontId="10" type="noConversion"/>
  </si>
  <si>
    <t>CT选型5A/333mV，输入三路电流(0.003A、0.00370A、0A)，在上位机上分别配置为对应A相、B相、C相，测量Ia,Ib,Ic,Iavg測量值为0</t>
  </si>
  <si>
    <t>3、Acuview2上和HMI上检查交流电相电流均为0A，不要求精度
2026/3/23： 截止电流为0.375的0.9倍</t>
    <phoneticPr fontId="10" type="noConversion"/>
  </si>
  <si>
    <t>5、Acuview2上和HMI上检查交流电相电流均在精度范围内
Ia： 2.997 ~ 3.003
Ib: 3.996 ~ 4.004
Ic: 4.995 ~ 5.005
Iavg: 3.996 ~ 4.004
6、Acuview2上和HMI上检查交流电相电流均在精度范围内
Ia：2.997 ~ 3.003
Ib: 3.996 ~ 4.004
Ic: 4.995 ~ 5.005
Iavg: 3.996 ~ 4.004
用户通道&amp;输入通道&amp;系统参数PF 为-1
用户通道&amp;输入通道&amp;系统参数有功功率P为负数
8、查看web页面与上位机及电表保持一致</t>
    <phoneticPr fontId="10" type="noConversion"/>
  </si>
  <si>
    <t>Function_AcuRev1320_003_01_case7_1</t>
  </si>
  <si>
    <t>Ia、Ib、Ic 输入电流3A，验证上位机Real-time 聚合数据的各个页面，Ia、Ib、Ic、Iavg 测量正常</t>
  </si>
  <si>
    <t>1、连接AcuRev1320电表到Acuview2上，链接状态为connected
2、交流电源输入电流Ia、Ib、Ic 为3A
3、等待4小时
4、 检查检查Real-Time Metering （200ms）、Real-Time Metering （3s）、Real-Time Metering （10min）、Real-Time Metering （2hr）、High-Speed Metering  页面的Ia、Ib、Ic 、Iavg的测量值</t>
  </si>
  <si>
    <t>4、 各个页面电流及其平均值测量值均为3A
备注： 除了200ms页面，其他页面没有精度要求，测量值接近不能偏离太远</t>
  </si>
  <si>
    <t>CT选型RCT16-100A类型，3E4w y y输入三路电流分别为(10A、10A，10A)，顺序ABC，相角设置为(0°、240°、120°)，在上位机上分别配置为对应A相、B相、C相，测量Ia,Ib,Ic,Iavg,  input1~3满足精度 0.5%</t>
    <phoneticPr fontId="10" type="noConversion"/>
  </si>
  <si>
    <t>1、连接AcuRev1320电表到Acuview2上，链接状态为connected
2、输入三路电流分别为(10A、10A，10A)，在上位机上分别配置为对应A相、B相、C相
3、电表上设置为顺序ABC， 相角设置为(0°、240°、120°)
4、电表设置电流方向为Positive
5、Acuview2上和HMI上检查交流电相电流是否均在精度0.5%范围内
6、电表设置电流方向为Negative
7、Acuview2上和HMI上检查交流电相电流是否均在精度 0.5%范围内
8、查看web页面是否与电表及上位机保持一致</t>
    <phoneticPr fontId="10" type="noConversion"/>
  </si>
  <si>
    <t>CT选型RCT16-500A类型，3E4w y y输入三路电流分别为(25A、25A，25A)，顺序ABC，相角设置为(0°、240°、120°)，在上位机上分别配置为对应A相、B相、C相，测量Ia,Ib,Ic,Iavg,  input1~3满足精 0.5%</t>
  </si>
  <si>
    <t>CT选型RCT16-1000A类型，3E4w y y输入三路电流分别为(50A、50A，50A)，顺序ABC，相角设置为(0°、240°、120°)，在上位机上分别配置为对应A相、B相、C相，测量Ia,Ib,Ic,Iavg,  input1~3满足精度0.5%</t>
  </si>
  <si>
    <t>1、连接AcuRev1320电表到Acuview2上，链接状态为connected
2、输入三路电流分别为(3A、4A，5A)，在上位机上分别配置为对应A相、B相、C相
3、电表上设置为顺序ABC， 相角设置为(0°、240°、120°)
4、电表设置电流方向为Positive
5、Acuview2上和HMI上检查交流电相电流是否均在精度0.1%范围内
6、电表设置电流方向为Negative
7、Acuview2上和HMI上检查交流电相电流是否均在精度0.1%范围内
8、检查PF是否为-1， 系统PhaseABC有功功率是否为-0.3kw，-0.4kw， -0.5kw， 系统PhaseABC视在功率为0.3kw，0.4kw， 0.5kw</t>
    <phoneticPr fontId="10" type="noConversion"/>
  </si>
  <si>
    <t>CT选型5A/333mV，1E1p2w输入InputA电流为3A，测量InputA电流精度0.1%</t>
  </si>
  <si>
    <t>CT选型5A/333mV，3ELEMENT_4_WIRE_Y接线输入InputA&amp;B&amp;C相电流为(3A、4A，5A)，测量InputA&amp;B&amp;C相电流精度0.1%</t>
  </si>
  <si>
    <t>CT选型5A/333mV，2 ELEMENT 3 WIRE Delta,接线输入InputA、InputC电流为(6A、6A),测量Input1~2电流精度0.1%</t>
  </si>
  <si>
    <t>1、连接AcuRev1320电表到Acuview2上，链接状态为connected
2、2 ELEMENT 3 WIRE Delta接线输入InputA、InputC，电流为(6A、6A)
3、Acuview2上和HMI上检查电流InputA、InputC是否均在精度范围内
4、检查web页面电流相关数据是否与上位机、hmi一致，均符合精度要求</t>
  </si>
  <si>
    <t>CT选型5A/333mV，2 ELEMENT 3 WIRE Network接线输入InputA&amp;C电流为(0.05A，0.05A)，测量InputA&amp;C电流精度0.1%</t>
  </si>
  <si>
    <t>1、连接AcuRev1320电表到Acuview2上，链接状态为connected
2、2_ELEMENT_3_WIRE_Network接线输入InputA&amp;C(A&amp;C相)电流为(0.05A、0.05A)
3、Acuview2上和HMI上检查电流Input1~3是否均在精度范围内
4、检查web页面电流相关数据是否与上位机、hmi一致，均符合精度要求</t>
  </si>
  <si>
    <t>3、Acuview2上和HMI上检查电流InputA&amp;B&amp;C均在精度范围内，
4、检查web页面电流相关数据与上位机、hmi一致，均符合精度要求
Ia:	0.04995	~	0.05005
Ic:	0.04995	~	0.05005</t>
  </si>
  <si>
    <t>CT选型5A/333mV，3 ELEMENT 4 WIRE Y 接线输入Ia、Ib、Ic 电流为(2A、3A，4A)，角度为（0，240，120）测量In 电流</t>
  </si>
  <si>
    <t>CT选型5A/333mV，3 ELEMENT 4 WIRE Delta 接线输入Ia、Ib、Ic 电流为(3A、3A，3A)，角度为（0，240，150）测量In 电流</t>
  </si>
  <si>
    <t>3、Acuview2上和HMI上检查电流Ia、Ib、Ic、In精度符合预期：
Ia:1.998~2.002 A
Ib:2.997~3.003 A
Ic:3.996~4.004 A
In:4.995~5.005A
角度与源保持一致，精度满足±0.1°</t>
  </si>
  <si>
    <t>CT选型20A/100mA，3ELEMENT_4_WIRE_Y接线输入InputA&amp;B&amp;C相电流为(5A、15A，20A)，测量Input1~3电流精度0.1%</t>
  </si>
  <si>
    <t>1、Acuview2上位机
2、网线/RTU串口线
3、AcuRev1320电表
4、接线方式为3E4w y</t>
  </si>
  <si>
    <t xml:space="preserve">3、Acuview2上和HMI上检查电流Input n均在精度范围内，
I_n:	3.464A   150°
</t>
  </si>
  <si>
    <t>CT选型20A/100mA，3 ELEMENT 4 WIRE Y 接线输入Ia、Ib、Ic 电流为(8A、8A，8A)，角度为（0，240，150）测量In 电流</t>
  </si>
  <si>
    <t xml:space="preserve">3、Acuview2上和HMI上检查电流Input n均在精度范围内，
I_n:	4.141A   225°
</t>
  </si>
  <si>
    <t>CT选型20A/100mA，Independent Input Channel使能，3 ELEMENT 4 WIRE Y 接线输入Ia、Ib、Ic、In 电流为(5A、10A，15A，20A)，角度（0，240，120，200）测量4路电流与平均电流精度满足预期</t>
  </si>
  <si>
    <t>3、Acuview2上和HMI上检查电流Ia、Ib、Ic、In精度符合预期：
Ia:4.995~5.005 A
Ib:9.99~10.01 A
Ic:15.985~15.015 A
In:19.98~20.02A
Iavg: 12.4875~12.5125A
角度与源保持一致，精度满足±0.1°</t>
    <phoneticPr fontId="10" type="noConversion"/>
  </si>
  <si>
    <t>聚合页面的电流测量值验证</t>
  </si>
  <si>
    <t>Function_AcuRev1320_003_03_case1</t>
  </si>
  <si>
    <t>CT选型20A/100mA，Independent Input Channel使能，3 ELEMENT 4 WIRE Y 接线输入Ia、Ib、Ic、In 电流为(5A、10A，15A，20A)，验证上位机Real-time 聚合数据的各个页面，Ia、Ib、Ic、In、Iavg测量正常</t>
  </si>
  <si>
    <t>1、Acuview2上位机
2、网线/RTU串口线
3、AcuRev1320电表
4、接线方式3E4w y</t>
    <phoneticPr fontId="10" type="noConversion"/>
  </si>
  <si>
    <t>1、连接AcuRev1320电表到Acuview2上，链接状态为connected
2、交流电源输入Ia、Ib、Ic、In电流为(5A、10A，15A, 20A)
3、等待4小时
4、 检查检查Real-Time Metering （200ms）、Real-Time Metering （3s）、Real-Time Metering （10min）、Real-Time Metering （2hr）、High-Speed Metering  页面的Ia、Ib、Ic、In、Iavg测量值</t>
  </si>
  <si>
    <t>4、 各个页面Ia、Ib、Ic、In电流为(5A、10A，15A, 20A)，Iavg为14.5A
备注： 除了200ms页面，其他页面没有精度要求，测量值接近不能偏离太远</t>
    <phoneticPr fontId="10" type="noConversion"/>
  </si>
  <si>
    <t>1、连接AcuRev1320电表到Acuview2上，链接状态为connected
2、Input1~3(A&amp;B&amp;C相)电流为(3A、3A、3A)， 电压均为69V
3、电压相角θ和电流相角ϕ差值为0°
5、Acuview2上和HMI上检查测量A&amp;B&amp;C、系统、input通道的P、Q、S、PF是否均在精度范围内，
6、检查web页面功率相关数据是否与上位机及电表一致，均在精度范围内</t>
  </si>
  <si>
    <t xml:space="preserve">5、Acuview2上和HMI上检查测量A&amp;B&amp;C、系统、input通道的P、Q、S、PF均在精度范围内0.1%。
6、检查web页面功率相关数据与上位机及电表一致，均在精度范围内
</t>
  </si>
  <si>
    <t>1、连接AcuRev1320电表到Acuview2上，链接状态为connected
2、Input1~3(A&amp;B&amp;C相)电流为(2.5A)， 电压均为220V
3、电压相角θ和电流相角ϕ差值为120°
4、查看web页面与上位机及电表数据是否一致
5、Acuview2上和HMI上检查测量A&amp;B&amp;C、系统、input通道的P、Q、S、PF是否均在精度范围内</t>
  </si>
  <si>
    <t>3、Acuview2上和HMI上检查测量A&amp;B&amp;C、系统、input通道的P、Q、S、PF均在精度范围内0.15%
4、查看web页面与上位机及电表数据一致</t>
  </si>
  <si>
    <t>CT选型5A/333mV，3ELEMENT_4_WIRE_Y接线输入Input1~3(A&amp;B&amp;C相)电流为(3.5A)，ABC电压均为220V,电压相角θ和电流相角ϕ差值为60°,测量A&amp;B&amp;C的P、Q、S、PF,系统P、Q、S、PF，input1~3通道P、Q、S、PF，功率精度满足0.15%</t>
  </si>
  <si>
    <t>1、连接AcuRev1320电表到Acuview2上，链接状态为connected
2、Input1~3(A&amp;B&amp;C相)电流为(3.5A)， 电压均为220V
3、电压相角θ和电流相角ϕ差值为60
5、Acuview2上和HMI上检查测量A&amp;B&amp;C、系统、input通道的P、Q、S、PF是否均在精度范围</t>
  </si>
  <si>
    <t>5、Acuview2上和HMI上检查测量A&amp;B&amp;C、系统、input通道的P、Q、S、PF均在精度范围内0.15%。</t>
  </si>
  <si>
    <t>CT选型5A/333mV, 1E1p2w输入InputA电流为3A，A电压均为120V, 电压相角θ和电流相角ϕ差值为0°，系统P、Q、S、PF，Ia通道P、Q、S、PF，功率精度满足0.1%</t>
  </si>
  <si>
    <t>1、连接AcuRev1320电表到Acuview2上，链接状态为connected
2、InputA电流为3A， 电压均为120
3、电压相角θ和电流相角ϕ差值为0°
4、Acuview2上和HMI上检查测量A&amp;B&amp;C、系统、input通道的P、Q、S、PF是否均在精度0.1%范围内。</t>
  </si>
  <si>
    <t>4、Acuview2上和HMI上检查测量A&amp;B&amp;C、系统、input通道的P、Q、S、PF均在精度范围内0.15%
5、检查web页面功率相关数据与上位机及电表一致，均在精度范围内</t>
  </si>
  <si>
    <t>1、连接AcuRev1320电表到Acuview2上，链接状态为connected
2、InputA、C电流为(6A 6A)， 电压均为69V
3、电压相角θ和电流相角ϕ差值为0°，Va Vc的相角为0 240，Input1~2为0°、240° 
4、修改电流方向为Positive
5、Acuview2上和HMI上检查测量A&amp;B&amp;C、系统、input通道的P、Q、S、PF是否均在精度范围内
6、修改电流方向为Negative
7、Acuview2上和HMI上检查测量A&amp;B&amp;C、系统、input通道的P、Q、S、PF是否均在精度范围内</t>
  </si>
  <si>
    <t>CT选型5A/333mV，2_ELEMENT_3_WIRE_NetWork接线方式，输入input1~2（A、C相）电流为0.05A，ABC电压均为120V、电压和电流相角差值为60°，测量系统P、Q、S、PF、inputA、C通道P、Q、S、PF精度满足0.25%</t>
  </si>
  <si>
    <t>1、连接AcuRev1320电表到Acuview2上，链接状态为connected
2、Input1~2(两路电流全部选择对应VA VC)电流为(0.05A 0.05A)， 电压均为120V
3、电压相角θ和电流相角ϕ差值为60°，Va VB的相角为0 240，Input1~2为300°、180° 
4、Acuview2上和HMI上检查测量A&amp;B&amp;C、系统、input通道的P、Q、S、PF是否均在精度范围内
5、检查web页面功率相关数据是否与上位机及电表一致，均在精度范围内</t>
  </si>
  <si>
    <t>CT选型5A/333mV，2_ELEMENT_3_WIRE_Delta接线方式，电流输入input1~2电流为4A 5A，ABC电压均为100V、电压和电流相角差值为0°，测量系统P、Q、S、PF精度满足0.1%</t>
  </si>
  <si>
    <t>CT选型5A/333mV，3_ELEMENT_4_WIRE_Delta接线方式，电流输入input1~3电流为5A，电压A、B、C分别输入207.8V,120V,120V、电压和电流相角差值为0°，测量系统P、Q、S、PF精度满足0.1%</t>
  </si>
  <si>
    <t>3ELEMENT_4_WIRE_Y接线输入Input1~3(A&amp;B&amp;C相)电流为(3A、4A、5A)，ABC电压均为120V,电压电流相角ϕ差值为0°,配置对应user1,无功功率算法设置“True Reactive Power”，测量A&amp;B&amp;C的Q,系统Q，User1通道Q，input1~3通道Q，功率精度满足0.1%；无功功率算法设置“Generic Reactive Power”，测量A&amp;B&amp;C的Q,系统Q，User1通道Q，input1~3通道Q，功率精度满足0.1%</t>
  </si>
  <si>
    <t>1、连接AcuRev1320电表到Acuview2上，链接状态为connected
2、Input1~3(A&amp;B&amp;C相)电流为(3A、4A、5A)， 电压均为220
3、电压相角θ和电流相角ϕ差值为30°
4、上位机配置依次对应user1，无功功率算法设置“Generic Reactive Power”
5、Acuview2上和HMI上检查测量A&amp;B&amp;C、系统、input通道的Q是否均在精度范围内, 单位:KW
6、Input1~3(A&amp;B&amp;C相)电流为(3A、4A、5A)， 电压均为220V
7、电压相角θ和电流相角ϕ差值为60°,三相电压叠加5次谐波(30%)
8、上位机配置依次对应user1，无功功率算法设置“Generic Reactive Power”
9、Acuview2上和HMI上检查测量A&amp;B&amp;C、系统、用户通道、input通道的Q是否均在精度范围内, 单位:KW</t>
    <phoneticPr fontId="10" type="noConversion"/>
  </si>
  <si>
    <t>5、Acuview2上和HMI上检查测量A&amp;B&amp;C、系统、input通道的Q均在精度范围内0.15%
PhaseA_Q:	0.32934	~	0.33066
PhaseB_Q:	0.43912	~	0.44088
PhaseC_Q:	0.5489	~	0.5511
Sys_Q:	1.31736	~	1.32264
Input1_Q:	0.32934	~	0.33066
Input2_Q:	0.43912	~	0.44088
Input3_Q:	0.5489	~	0.5511
9、Acuview2上和HMI上检查测量A&amp;B&amp;C、系统、input通道的Q均在精度范围内0.15%
PhaseA_Q:	0.603690192	~	0.606109792
PhaseB_Q:	0.804920256	~	0.808146389
PhaseC_Q:	1.00615032	~	1.010182986
Sys_Q:	2.414760767	~	2.424439167
Input1_Q:	0.603690192	~	0.606109792
Input2_Q:	0.804920256	~	0.808146389
Input3_Q:	1.00615032	~	1.010182986</t>
    <phoneticPr fontId="10" type="noConversion"/>
  </si>
  <si>
    <t>1、连接AcuRev1320电表到Acuview2上，链接状态为connected
2、Input1~3(A&amp;B&amp;C相)电流为(0.025A、0.10A、0.02A)， 电压均为220V
3、电压相角θ和电流相角ϕ差值为0°
5、Acuview2上和HMI上检查测量A&amp;B&amp;C、系统、input通道的P、Q、S、PF是否均在精度范围内</t>
  </si>
  <si>
    <t>5、Acuview2上和HMI上检查测量A&amp;B&amp;C、系统、input通道的P、Q、S、PF, 功率有值，无精度要求。
备注：mA电流精度最低电流为0.16A；小于start_up 0.012A 电流的一半，0.006A,将电流处理为0，
20260226: mA 的pickup 值按照需求规格取值，待更新用例</t>
  </si>
  <si>
    <t>3ELEMENT_4_WIRE_Y接线输入Input1~3(A&amp;B&amp;C相)电流为(0.12A、0.006A、0.005A)，ABC电压均为220V，电压电流相角差值为0°，测量A&amp;B&amp;C相、系统、input通道P、Q、S、PF，功率测量值为0</t>
  </si>
  <si>
    <t xml:space="preserve">5、Acuview2上和HMI上检查测量A&amp;B、系统、input1-2通道的P、Q、S、PF，功率均有值，没有精度要求.
C相和第3路input，电流测量值为0，功率为0
备注：mA电流精度最低电流为0.16A；小于start_up 0.012A 电流的一半，0.006A,将电流处理为0，
20260226: mA 的pickup 值按照需求规格取值，换算二次侧就是0.012A，没有取一半的要求，待更新用例
2026/3/19:pick uo是0.012A，有个0.9倍的实现逻辑,此处测试用例中Iche </t>
    <phoneticPr fontId="10" type="noConversion"/>
  </si>
  <si>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4、Acuview2上和HMI上检查测量系统P、Q、S、PF是否均在精度范围内
备注：电压电流角度统一加30°
</t>
    <phoneticPr fontId="10" type="noConversion"/>
  </si>
  <si>
    <t>聚合页面的功率及功率因数测量值验证</t>
  </si>
  <si>
    <t>Function_AcuRev1320_004_03_case1</t>
    <phoneticPr fontId="10" type="noConversion"/>
  </si>
  <si>
    <t>1、连接AcuRev1320电表到Acuview2上，链接状态为connected
2、Input1~3(A&amp;B&amp;C相)电流为(3A、3A、3A)， 电压均为120V
3、电压相角θ和电流相角ϕ差值为0°
4、等待4小时
5、 检查检查Real-Time Metering （200ms）、Real-Time Metering （3s）、Real-Time Metering （10min）、Real-Time Metering （2hr）、High-Speed Metering  页面的A&amp;B&amp;C、系统的P、Q、S、PF测量值</t>
    <phoneticPr fontId="10" type="noConversion"/>
  </si>
  <si>
    <t>5、各个页面A&amp;B&amp;C、系统的P、Q、S、PF测量值一致
P： 0.36
Q:  0
S: 0.36
PF：1
系统的有功和视在功率为1.08
备注： 除了200ms页面，其他页面没有精度要求，测量值接近不能偏离太远</t>
    <phoneticPr fontId="10" type="noConversion"/>
  </si>
  <si>
    <t>3ELEMENT_4_WIRE_Y接线输入Input1~3(A&amp;B&amp;C相)电流为(10A)，电压均为100V, 电压电流相角差为0°(纯电阻负载)，,系统总负载特性、A&amp;B&amp;C相、input1~3通道负载特性为R</t>
  </si>
  <si>
    <t>1、连接AcuRev1320电表到Acuview2上，链接状态为connected
2、Input1~3电流为(10A)， 电压均为100V
3、电压相角θ和电流相角ϕ差值为0°
4、Acuview2上和HMI上检查系统总负载特性、A&amp;B&amp;C相、input1~3通道负载特性是否均为R。
5、检查web页面是否与上位机及电表负载特性是否一致</t>
  </si>
  <si>
    <t>4、Acuview2上和HMI上检查系统总负载特性、A&amp;B&amp;C相、input1~3通道负载特性均为R。
5、检查web页面是否与上位机及电表负载特性一致</t>
  </si>
  <si>
    <t>1、连接AcuRev1320电表到Acuview2上，链接状态为connected
2、Input1~3电流为(5A)， 电压均为347V，三相电压均施加2次谐波2%
3、电压相角θ和电流相角ϕ差值为0°
4、Acuview2上和HMI上检查系统总负载特性、A&amp;B&amp;C相、input1~3通道负载特性是否均为R。</t>
  </si>
  <si>
    <t>4.Acuview2上和HMI上检查系统总负载特性、A&amp;B&amp;C相、input1~3通道负载特性均为R。</t>
  </si>
  <si>
    <t>3ELEMENT_4_WIRE_Y接线输入Input1~3(A&amp;B&amp;C相)电流为(10A)，电压均为100V, 电压电流相角差为180°(阻性负载),系统总负载特性、A&amp;B&amp;C相、input1~3通道负载特性为R</t>
  </si>
  <si>
    <t>1、连接AcuRev1320电表到Acuview2上，链接状态为connected
2、Input1~3电流为(10A)， 电压均为100V
3、电压相角θ和电流相角ϕ差值为180°
4、Acuview2上和HMI上检查系统总负载特性、A&amp;B&amp;C相、User1通道、input1~3通道负载特性是否均为R。
5、检查web页面是否与上位机及电表负载特性是否一致</t>
  </si>
  <si>
    <t>Function_AcuRev1320_005_01_case3</t>
    <phoneticPr fontId="10" type="noConversion"/>
  </si>
  <si>
    <t>1、Acuview2上位机
2、网线/RTU串口线
3、AcuRev1320电表
4、接线方式为3E4w y</t>
    <phoneticPr fontId="10" type="noConversion"/>
  </si>
  <si>
    <t>4、Acuview2上和HMI上检查系统总负载特性、A&amp;B&amp;C相、input1~3通道负载特性均为L。</t>
  </si>
  <si>
    <t xml:space="preserve">1、连接AcuRev1320电表到Acuview2上，链接状态为connected
2、Input1~3电流为(10A)， 电压均为100V
3、电压相角θ和电流相角ϕ差值为90°
4、Acuview2上和HMI上检查系统总负载特性、A&amp;B&amp;C相、input1~3通道负载特性是否均为L。
5、检查web页面是否与上位机及电表负载特性是否一致
</t>
  </si>
  <si>
    <t>1、连接AcuRev1320电表到Acuview2上，链接状态为connected
2、Input1~3电流为(10A)， 电压均为100V
3、电压相角θ和电流相角ϕ差值为210°
4、Acuview2上和HMI上检查系统总负载特性、A&amp;B&amp;C相、input1~3通道负载特性是否均为L。</t>
  </si>
  <si>
    <t xml:space="preserve">1、连接AcuRev1320电表到Acuview2上，链接状态为connected
2、Input1~3电流为(10A)， 电压均为100V
3、电压相角θ和电流相角ϕ差值为120°
4、Acuview2上和HMI上检查系统总负载特性、A&amp;B&amp;C相、input1~3通道负载特性是否均为C。
6、检查web页面是否与上位机及电表负载特性是否一致
</t>
  </si>
  <si>
    <t xml:space="preserve">4、Acuview2上和HMI上检查系统总负载特性、A&amp;B&amp;C相、input1~3通道负载特性均为C。
5、检查web页面是否与上位机及电表负载特性一致
</t>
  </si>
  <si>
    <t>1、连接AcuRev1320电表到Acuview2上，链接状态为connected
2、Input1~3电流为(10A)， 电压均为100V
3、电压相角θ和电流相角ϕ差值为270°
4、Acuview2上和HMI上检查系统总负载特性、A&amp;B&amp;C相、input1~3通道负载特性是否均为L。</t>
  </si>
  <si>
    <t xml:space="preserve">1、连接AcuRev1320电表到Acuview2上，链接状态为connected
2、Input1~3电流为(10A)， 电压均为100V
3、电压相角θ和电流相角ϕ差值为330°
4、Acuview2上和HMI上检查系统总负载特性、A&amp;B&amp;C相、input1~3通道负载特性是否均为C。
</t>
  </si>
  <si>
    <t>4、Acuview2上和HMI上检查系统总负载特性、A&amp;B&amp;C相、input1~3通道负载特性均为C。</t>
  </si>
  <si>
    <t>2E3P3w delta输入Input1~2电流为(5A)，ABC电压均为100V，线电压φab:0°,&amp;φbc:240°( 电流Ia:270°， I2:30°),  系统负载特性为L。 input1、input2、A B C 相均无负载特性。</t>
  </si>
  <si>
    <t>1、Acuview2上位机
2、网线/RTU串口线
3、AcuRev1320电表
4、接线方式为2E3P3w delta</t>
  </si>
  <si>
    <t>1、连接AcuRev1320电表到Acuview2上，链接状态为connected
2、Input1~2电流为(5A)， 电压均为100V
3、线电压φab:0°&amp;φbc:240°(电流Ia:210°， I2:330°)
4、Acuview2上和HMI上检查系统总负载特性、A&amp;B&amp;C相、input1~2通道负载特性是否正确</t>
  </si>
  <si>
    <t>5、Acuview2上和HMI上系统负载特性为C。 input1、input2、A B C 相均无负载特性，显示“-”。
补充计算过程：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</si>
  <si>
    <t>Function_AcuRev1320_005_01_case11</t>
    <phoneticPr fontId="10" type="noConversion"/>
  </si>
  <si>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4.上位机和HMI上检查系统负载特性为R
备注：电压电流角度统一加30°</t>
    <phoneticPr fontId="10" type="noConversion"/>
  </si>
  <si>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4.上位机和HMI上检查系统负载特性为L
备注：电压电流角度统一加30°</t>
  </si>
  <si>
    <t>1e2w 接线输入InputA电流为(10A)，电压均为100V, 电压电流相角差为330°，系统总负载特性、A相通道负载特性为C</t>
  </si>
  <si>
    <t xml:space="preserve">1、连接AcuRev1320电表到Acuview2上，链接状态为connected
2、InputA电流为10A， 电压均为100V
3、电压相角θ和电流相角ϕ差值为330°
4、Acuview2上和HMI上检查系统总负载特性、A相通道负载特性是否均为C。
</t>
  </si>
  <si>
    <t>4、Acuview2上和HMI上检查系统总负载特性、A相通道负载特性是否均为C。</t>
  </si>
  <si>
    <t>上位机配置2e3w 1phase接线，InputA、InputC电流为10A，电压均为100V, 电压电流相角差为210°，系统总负载特性、A、C相通道负载特性为L</t>
  </si>
  <si>
    <t xml:space="preserve">1、连接AcuRev1320电表到Acuview2上，链接状态为connected
2、InputA电流为10A， 电压均为100V
3、电压相角θ和电流相角ϕ差值为210°
4、Acuview2上和HMI上检查系统总负载特性、A相通道负载特性是否均为L。
</t>
  </si>
  <si>
    <t>4、Acuview2上和HMI上检查系统总负载特性、A相通道负载特性是否均为L。</t>
  </si>
  <si>
    <t xml:space="preserve">1、连接AcuRev1320电表到Acuview2上，链接状态为connected
2、InputA电流为10A， 电压均为100V
3、电压相角θ和电流相角ϕ差值为0°
4、Acuview2上和HMI上检查系统总负载特性、A相通道负载特性是否均为R。
</t>
  </si>
  <si>
    <t>4、Acuview2上和HMI上检查系统总负载特性、A相通道负载特性是否均为R。</t>
  </si>
  <si>
    <t>3E4w y输入Input1~3(A&amp;B&amp;C相)电流为(5A)，电压各为100V, 电压电流相角差值分别为(30°,210°，0°)，系统总负载特性R, A&amp;B&amp;C相和input1~3通道负载特性为L、L、R</t>
  </si>
  <si>
    <t>1、连接AcuRev1320电表到Acuview2上，链接状态为connected
2、Input1~3电流为(5A)， 电压均为100V
3、电压相角θ和电流相角ϕ差值为(30°,210°，0°)
4、Acuview2上和HMI上检查系统总负载特性是否为R, A&amp;B&amp;C相和input1~3通道负载特性是否分别为L、L、R</t>
  </si>
  <si>
    <t>4、Acuview2上和HMI上检查系统总负载特性为R, A&amp;B&amp;C相和input1~3通道负载特性分别为L、L、R
备注： 总系统负载特性根据系统有功和系统无功的正负进行计算</t>
  </si>
  <si>
    <t>3E4w y输入Input1~3(A&amp;B&amp;C相)电流为(5A)，电压各为100V, 电压电流相角差值分别为(30°,210°，30°)，系统总负载特性L, A&amp;B&amp;C相和input1~3通道负载特性为L、L、L</t>
  </si>
  <si>
    <t>1、连接AcuRev1320电表到Acuview2上，链接状态为connected
2、Input1~3电流为(5A)， 电压均为100V
3、电压相角θ和电流相角ϕ差值为(30°,210°，30°)
4、Acuview2上和HMI上检查系统总负载特性是否为L, A&amp;B&amp;C相和input1~3通道负载特性是否分别为L、L、L</t>
  </si>
  <si>
    <t>5、Acuview2上和HMI上检查系统总负载特性为L, A&amp;B&amp;C相和input1~3通道负载特性分别为L、L、L</t>
  </si>
  <si>
    <t>3E4w y输入Input1~3(A&amp;B&amp;C相)电流为(5A)，电压各为100V, 电压电流相角差值分别为(30°,210°，120°)，系统总负载特性C, A&amp;B&amp;C相和input1~3通道负载特性为L、L、C</t>
  </si>
  <si>
    <t>1、连接AcuRev1320电表到Acuview2上，链接状态为connected
2、Input1~3电流为(5A)， 电压均为100V
3、电压相角θ和电流相角ϕ差值为(30°,210°，120°)
4、Acuview2上和HMI上检查系统总负载特性是否为C, A&amp;B&amp;C相和input1~3通道负载特性是否分别为L、L、C</t>
  </si>
  <si>
    <t>1E1p2w输入InputA电流为(5A)，电压为100V, 电压电流相角差值依次为(30°,210°，120°)，PhaseA和系统总负载特性依次为L、L、C</t>
  </si>
  <si>
    <t>1、Acuview2上位机
2、网线/RTU串口线
3、AcuRev1320电表
4、接线方式为1E2w</t>
  </si>
  <si>
    <t xml:space="preserve">1、连接AcuRev1320电表到Acuview2上，链接状态为connected
2、InputA电流为(5A)， 电压均为100V
3、电压相角θ和电流相角ϕ差值依次为(30°,210°，120°)
4、Acuview2上和HMI上检查PhaseA和系统总负载特性依次为L、L、C
</t>
  </si>
  <si>
    <t>4、Acuview2上和HMI上检查PhaseA和系统总负载特性依次为L、L、C</t>
  </si>
  <si>
    <t>聚合页面的负载特性验证</t>
  </si>
  <si>
    <t>Function_AcuRev1320_005_03_case1</t>
  </si>
  <si>
    <t>3E4w y输入InputA&amp;B&amp;C相电流为(5A)，电压各为100V, 电压电流相角差值分别为(30°,210°，120°)，验证上位机Real-time 聚合数据的各个页面的系统总负载特性为C, A&amp;B&amp;C相负载特性为L、L、C</t>
  </si>
  <si>
    <t>1、连接AcuRev1320电表到Acuview2上，链接状态为connected
2、InputA&amp;B&amp;C相电流为5A， 电压均为100V
3、电压电流相角差值分别为(30°,210°，120°)
4、等待4小时
5、 检查Real-Time Metering （200ms）、Real-Time Metering （3s）、Real-Time Metering （10min）、Real-Time Metering （2hr）页面的系统总负载特性为C, A&amp;B&amp;C相负载特性为L、L、C</t>
  </si>
  <si>
    <t>5、 检查Real-Time Metering （200ms）、Real-Time Metering （3s）、Real-Time Metering （10min）、Real-Time Metering （2hr）页面的系统总负载特性为C, A&amp;B&amp;C相负载特性为L、L、C</t>
  </si>
  <si>
    <t>Function_AcuRev1320_006_01_case2</t>
    <phoneticPr fontId="10" type="noConversion"/>
  </si>
  <si>
    <t xml:space="preserve">1、Acuview2上位机
2、网线/RTU串口线
3、AcuRev1320电表
</t>
    <phoneticPr fontId="10" type="noConversion"/>
  </si>
  <si>
    <t>1、连接AcuRev1320电表到Acuview2上，链接状态为connected
2、台体输入Ua,Uc（30°，90°），电压为100V
3、上位机和HMI上检查Uab,Ubc,Uca的线电压角是否满足精度±0.1°</t>
    <phoneticPr fontId="10" type="noConversion"/>
  </si>
  <si>
    <t>3,检查Uab,Ubc,Uca的线电压角度为（0，240，120）满足精度±0.1°</t>
    <phoneticPr fontId="10" type="noConversion"/>
  </si>
  <si>
    <t>3、检查相电压A B C三相的精度符合±0.1°
4、 相角图绘制相角信息与实际一致
5、web页面相角展示与上位机一致
备注: 使用excel公式计算具体值</t>
    <phoneticPr fontId="10" type="noConversion"/>
  </si>
  <si>
    <t>1、连接AcuRev1320电表到Acuview2上，链接状态为connected
2、台体输入Ua,Uc（30°，90°），电压为100V
3、上位机和HMI上检查Uab,Ubc,Uca的线电压角是否满足精度±0.1°
4、检查上位机相角图页面绘制信息
5、检查web页面相角展示是否与上位机一致</t>
    <phoneticPr fontId="10" type="noConversion"/>
  </si>
  <si>
    <t>Function_AcuRev1320_006_02_case4</t>
    <phoneticPr fontId="10" type="noConversion"/>
  </si>
  <si>
    <t xml:space="preserve">1、连接AcuRev1320电表到Acuview2上，链接状态为connected
2、电源输入input1~3的电流相角为(60°、90°、120°)，电流为5A
3、检查input1~3的电流相角的精度是否符合±0.1°
4、检查上位机相角图页面绘制信息
5、web页面相角绘制图应该与表计及上位机一致，图像准确
</t>
    <phoneticPr fontId="10" type="noConversion"/>
  </si>
  <si>
    <t>1、连接AcuRev1320电表到Acuview2上，链接状态为connected
2、Independent Input Channel 使能，电源输入In的幅值为5A，相角依次为0°、120°、210°、330°
3、检查input1~3的电流相角的精度是否符合±0.1°
4、检查上位机相角图页面绘制信息
5、web页面相角绘制图应该与表计及上位机一致，图像准确</t>
    <phoneticPr fontId="10" type="noConversion"/>
  </si>
  <si>
    <t>聚合页面的角度测量验证</t>
  </si>
  <si>
    <t>Function_AcuRev1320_006_03_case1</t>
  </si>
  <si>
    <t>输入电压A、B、C三相的相角为（0，240，120），验证上位机Real-time 聚合数据的各个页面的相电压角度测量正确</t>
  </si>
  <si>
    <t>1、连接AcuRev1320电表到Acuview2上，链接状态为connected
2、电压 A&amp;B&amp;C相的角度为（0， 240， 120）
3、等待4小时
4、 检查Real-Time Metering （200ms）、Real-Time Metering （3s）、Real-Time Metering （10min）、Real-Time Metering （2hr）、High Speed Metering 页面的相电压角度</t>
    <phoneticPr fontId="10" type="noConversion"/>
  </si>
  <si>
    <t>5、 检查Real-Time Metering （200ms）、Real-Time Metering （3s）、Real-Time Metering （10min）、Real-Time Metering （2hr）、High Speed Metering 页面的相电压角度为(0, 240, 120)
备注： 除了200ms页面，其他页面没有精度要求，测量值接近不能偏离太远</t>
    <phoneticPr fontId="10" type="noConversion"/>
  </si>
  <si>
    <t>Function_AcuRev1320_006_03_case2</t>
  </si>
  <si>
    <t>输入电压A、B、C三相的相角为（0，240，120），验证上位机Real-time 聚合数据的各个页面的线电压角度测量正确</t>
  </si>
  <si>
    <t>1、连接AcuRev1320电表到Acuview2上，链接状态为connected
2、电压 A&amp;B&amp;C相的角度为（0， 240， 120）
3、等待4小时
4、 检查Real-Time Metering （200ms）、Real-Time Metering （3s）、Real-Time Metering （10min）、Real-Time Metering （2hr）页面的线电压角度</t>
  </si>
  <si>
    <t>5、 检查Real-Time Metering （200ms）、Real-Time Metering （3s）、Real-Time Metering （10min）、Real-Time Metering （2hr）页面的线电压角度为(30, 270, 150)
备注： 除了200ms页面，其他页面没有精度要求，测量值接近不能偏离太远</t>
    <phoneticPr fontId="10" type="noConversion"/>
  </si>
  <si>
    <t>Function_AcuRev1320_006_03_case3</t>
  </si>
  <si>
    <t>输入电流A、B、C三相的相角为（0， 240， 120），验证上位机Real-time 聚合数据的各个页面的电流角度测量正确</t>
  </si>
  <si>
    <t>1、连接AcuRev1320电表到Acuview2上，链接状态为connected
2、电流A&amp;B&amp;C相的角度为（0， 240， 120）
3、等待4小时
4、 检查Real-Time Metering （200ms）、Real-Time Metering （3s）、Real-Time Metering （10min）、Real-Time Metering （2hr）、High Speed Metering 页面的相电流角度</t>
    <phoneticPr fontId="10" type="noConversion"/>
  </si>
  <si>
    <t>5、 检查Real-Time Metering （200ms）、Real-Time Metering （3s）、Real-Time Metering （10min）、Real-Time Metering （2hr）、High Speed Metering 页面的电流角度为(0, 240, 120)
备注： 除了200ms页面，其他页面没有精度要求，测量值接近不能偏离太远</t>
    <phoneticPr fontId="10" type="noConversion"/>
  </si>
  <si>
    <t>Function_AcuRev1320_006_03_case4</t>
  </si>
  <si>
    <t>输入电压A、B、C三相的相角为（0，240，120），电流A、B、C三相的相角为（0， 240， 120），High Speed 页面的Voltage-to-Current Phase Angle 测量符合预期</t>
    <phoneticPr fontId="10" type="noConversion"/>
  </si>
  <si>
    <t>1、连接AcuRev1320电表到Acuview2上，链接状态为connected
2、电压 A&amp;B&amp;C相的角度为（0， 240， 120）；电流A&amp;B&amp;C相的角度为（0， 240， 120）
3、检查High Speed Metering 页面的压流角测量符合预期</t>
    <phoneticPr fontId="10" type="noConversion"/>
  </si>
  <si>
    <t>3、 检查High Speed Metering 页面的压流角为0°
备注： 没有精度要求，但是不能波动太远</t>
  </si>
  <si>
    <t>Function_AcuRev1320_007_01_case1</t>
  </si>
  <si>
    <t xml:space="preserve">设置ABC相电压均设置为120V，谐波含量百分比1%，谐波次数2，谐波相位30°，测量电表谐波参数(百分比，谐波幅值，谐波角度)满足精度±0.15% </t>
  </si>
  <si>
    <t xml:space="preserve">设置ABC相电压均设置为120V，谐波含量百分比3%，  谐波次数2，谐波相位120°，测量电表谐波参数(百分比，谐波幅值，谐波角度)满足精度±0.15% </t>
  </si>
  <si>
    <t>4、上位机和电表上测量电表谐波参数(百分比)满足精度±0.15% 
备注: 使用excel公式计算具体值2.85~3.15
备注：4100项目不支持查看谐波角度
2026/4/3：DSP确认，谐波不考虑角度</t>
    <phoneticPr fontId="10" type="noConversion"/>
  </si>
  <si>
    <t>设置ABC相电压均设置为120V，谐波含量百分比15%， 谐波次数2，谐波相位210°， 测量电表谐波参数(百分比，谐波幅值，谐波角度)满足精度5%</t>
  </si>
  <si>
    <t>1、连接AcuRev1320电表到Acuview2上，链接状态为connected
2、设置ABC相电压均设置为120V
3、谐波含量百分比15%， 谐波次数2，谐波相位210°
4、检查上位机和电表上测量电表谐波参数(百分比，谐波幅值，谐波角度)满足精度5% 
5、检查web页面中谐波参数(百分比，谐波幅值，谐波角度)是否满足精度</t>
  </si>
  <si>
    <t xml:space="preserve">设置ABC相电压均设置为120V，谐波含量百分比1%，谐波次数20，谐波相位330°，测量电表谐波参数(百分比，谐波幅值，谐波角度)满足精度±0.15% </t>
  </si>
  <si>
    <t xml:space="preserve">1、连接AcuRev1320电表到Acuview2上，链接状态为connected
2、设置ABC相电压均设置为120V
3、谐波含量百分比1%，谐波次数20，谐波相位330°
4、检查上位机和电表上测量电表谐波参数(百分比，谐波幅值，谐波角度)满足精度±0.15% </t>
  </si>
  <si>
    <t>4、上位机和电表上测量电表谐波参数(百分比)满足精度±0.15% 
备注: 使用excel公式计算具体值0.85~1.15
备注：4100项目不支持查看谐波角度</t>
  </si>
  <si>
    <t xml:space="preserve">设置ABC相电压均设置为120V，谐波含量百分比3%， 谐波次数20，谐波相位90°， 测量电表谐波参数(百分比，谐波幅值，谐波角度)满足精度±0.15% </t>
  </si>
  <si>
    <t xml:space="preserve">1、连接AcuRev1320电表到Acuview2上，链接状态为connected
2、设置ABC相电压均设置为120V
3、谐波含量百分比3%， 谐波次数20，谐波相位90°
4、检查上位机和电表上测量电表谐波参数(百分比，谐波幅值，谐波角度)满足精度±0.15% </t>
  </si>
  <si>
    <t>1、连接AcuRev1320电表到Acuview2上，链接状态为connected
2、设置ABC相电压均设置为120V
3、谐波含量百分比30%，谐波次数62，谐波相位180°
4、检查上位机和电表上测量电表谐波参数(百分比，谐波幅值，谐波角度)满足精度5% 
5、检查web页面中谐波参数(百分比，谐波幅值，谐波角度)是否满足精度</t>
  </si>
  <si>
    <t>4、上位机和电表上测量电表谐波参数(百分比)满足精度5% 
5、检查web页面中谐波参数(百分比，谐波幅值，谐波角度)满足精度
备注: 使用excel公式计算具体值28.5~31.5
备注：4100项目不支持查看谐波角度</t>
  </si>
  <si>
    <t xml:space="preserve">1、连接AcuRev1320电表到Acuview2上，链接状态为connected
2、设置ABC相电压均设置为120V
3、谐波含量百分比1%，  谐波次数62，谐波相位270°
4、检查上位机和电表上测量电表谐波参数(百分比，谐波幅值，谐波角度)满足精度±0.15%  </t>
  </si>
  <si>
    <t xml:space="preserve">设置ABC相电压均设置为120V，谐波含量百分比1%，谐波次数3，谐波相位30°，测量电表谐波参数(百分比，谐波幅值，谐波角度)满足精度±0.15%  </t>
  </si>
  <si>
    <t xml:space="preserve">1、连接AcuRev1320电表到Acuview2上，链接状态为connected
2、设置ABC相电压均设置为120V
3、谐波含量百分比1%，谐波次数3，谐波相位30°
4、检查上位机和电表上测量电表谐波参数(百分比，谐波幅值，谐波角度)满足精度±0.15%  </t>
  </si>
  <si>
    <t xml:space="preserve">1、连接AcuRev1320电表到Acuview2上，链接状态为connected
2、设置ABC相电压均设置为120V
3、谐波含量百分比3%，  谐波次数3，谐波相位150°
4、检查上位机和电表上测量电表谐波参数(百分比，谐波幅值，谐波角度)满足精度±0.15%  
</t>
  </si>
  <si>
    <t xml:space="preserve">1、连接AcuRev1320电表到Acuview2上，链接状态为connected
2、设置ABC相电压均设置为120V
3、谐波含量百分比15%， 谐波次数3，谐波相位210° 
4、检查上位机和电表上测量电表谐波参数(百分比，谐波幅值，谐波角度)满足精度5% </t>
  </si>
  <si>
    <t>1、连接AcuRev1320电表到Acuview2上，链接状态为connected
2、设置ABC相电压均设置为120V
3、谐波含量百分比1%，  谐波次数31，谐波相位300°
4、检查上位机和电表上测量电表谐波参数(百分比，谐波幅值，谐波角度)满足精度±0.15%   
5、检查web页面中谐波参数(百分比，谐波幅值，谐波角度)是否满足精度</t>
  </si>
  <si>
    <t>4、上位机和电表上测量电表谐波参数(百分比)满足精度±0.15%   
5、检查web页面中谐波参数(百分比，谐波幅值，谐波角度)满足精度
备注: 使用excel公式计算具体值0.85~1.15
备注：4100项目不支持查看谐波角度</t>
  </si>
  <si>
    <t xml:space="preserve">1、连接AcuRev1320电表到Acuview2上，链接状态为connected
2、设置ABC相电压均设置为120V
3、谐波含量百分比3%， 谐波次数31，谐波相位90°
4、检查上位机和电表上测量电表谐波参数(百分比，谐波幅值，谐波角度)满足精度±0.15%   </t>
  </si>
  <si>
    <t xml:space="preserve">1、连接AcuRev1320电表到Acuview2上，链接状态为connected
2、设置ABC相电压均设置为120V
3、谐波含量百分比15%，谐波次数63，谐波相位180°
4、检查上位机和电表上测量电表谐波参数(百分比，谐波幅值，谐波角度)满足精度5%
5、检查web页面中谐波参数(百分比，谐波幅值，谐波角度)是否满足精度 </t>
  </si>
  <si>
    <t>4、上位机和电表上测量电表谐波参数(百分比)满足精度5% 
5、检查web页面中谐波参数(百分比，谐波幅值，谐波角度)满足精度 
备注: 使用excel公式计算具体值14.25~15.75
备注：4100项目不支持查看谐波角度</t>
  </si>
  <si>
    <t xml:space="preserve">设置ABC相电压均设置为120V，谐波含量百分比30%，  谐波次数63，谐波相位270°，测量电表谐波参数(百分比，谐波幅值，谐波角度)满足精度5% </t>
  </si>
  <si>
    <t xml:space="preserve">1、连接AcuRev1320电表到Acuview2上，链接状态为connected
2、设置ABC相电压均设置为120V
3、谐波含量百分比30%，  谐波次数63，谐波相位270°
4、检查上位机和电表上测量电表谐波参数(百分比，谐波幅值，谐波角度)满足精度5% </t>
  </si>
  <si>
    <t xml:space="preserve">输入3路电流10A，谐波含量百分比5%，谐波次数9，谐波相位30°，测量电表谐波参数(百分比，谐波幅值，谐波角度)满足精度±0.5%   </t>
  </si>
  <si>
    <t xml:space="preserve">1、连接AcuRev1320电表到Acuview2上，连接状态为connected
2、输入3路电流10A
3、谐波含量百分比5%，谐波次数9，谐波相位30° 
4、检查上位机和电表上测量电表谐波参数(百分比，谐波幅值，谐波角度)满足精度±0.5%    
</t>
  </si>
  <si>
    <t xml:space="preserve">输入3路电流10A，谐波含量百分比10%，谐波次数9，谐波相位120°，测量电表谐波参数(百分比，谐波幅值，谐波角度)满足精度±0.5%   </t>
  </si>
  <si>
    <t>4、上位机和电表上测量电表谐波参数(百分比)满足精度±0.5%   
5、检查web页面上THD页面中电表谐波参数(百分比，谐波幅值，谐波角度)满足精度
备注: 使用excel公式计算具体值9.5-10.5
备注：4100项目不支持查看谐波角度</t>
  </si>
  <si>
    <t xml:space="preserve">1、连接AcuRev1320电表到Acuview2上，连接状态为connected
2、输入3路电流10A
3、谐波含量百分比5%，谐波次数63，谐波相位300°
4、检查上位机和电表上测量电表谐波参数(百分比，谐波幅值，谐波角度)满足精度±0.5%   
5、检查web页面上THD页面中电表谐波参数(百分比，谐波幅值，谐波角度)是否满足精度
</t>
  </si>
  <si>
    <t xml:space="preserve">1、连接AcuRev1320电表到Acuview2上，连接状态为connected
2、输入3路电流10A
3、谐波含量百分比10%，  谐波次数63，谐波相位90°
4、检查上位机和电表上测量电表谐波参数(百分比，谐波幅值，谐波角度)满足精度±0.5%   </t>
  </si>
  <si>
    <t xml:space="preserve">1、连接AcuRev1320电表到Acuview2上，连接状态为connected
2、输入3路电流10A
3、谐波含量百分比30%， 谐波次数63，谐波相位180°
4、检查上位机和电表上测量电表谐波参数(百分比，谐波幅值，谐波角度)满足精度5% </t>
  </si>
  <si>
    <t xml:space="preserve">Independent Input Channel 使能，输入4路电流5A，谐波含量百分比5%，谐波次数33，谐波相位300，测量电表谐波参数(百分比，谐波幅值，谐波角度)满足精度±0.5%   </t>
  </si>
  <si>
    <t xml:space="preserve">1、连接AcuRev1320电表到Acuview2上，连接状态为connected
2、输入4路电流5A
3、谐波含量百分比5%，谐波次数33，谐波相位300°
4、检查上位机和电表上测量电表谐波参数(百分比，谐波幅值，谐波角度)满足精度±0.5%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</si>
  <si>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使用excel公式计算具体值4.5~5.5
备注：4100项目不支持查看谐波角度</t>
  </si>
  <si>
    <t xml:space="preserve">Independent Input Channel 使能，输入4路电流5A，谐波含量百分比10%，谐波次数33，，谐波相位90°，测量电表谐波参数(百分比，谐波幅值，谐波角度)满足精度±0.5%   </t>
  </si>
  <si>
    <t xml:space="preserve">1、连接AcuRev1320电表到Acuview2上，连接状态为connected
2、输入4路电流5A
3、谐波含量百分比10%，  谐波次数33，谐波相位90°
4、检查上位机和电表上测量电表谐波参数(百分比，谐波幅值，谐波角度)满足精度±0.5%   </t>
  </si>
  <si>
    <t>4、上位机和电表上测量电表谐波参数(百分比)满足精度±0.5% 
备注: 使用excel公式计算具体值9.5~10.5
备注：4100项目不支持查看谐波角度</t>
  </si>
  <si>
    <t>Independent Input Channel 使能，输入4路电流5A，谐波含量百分比15%，谐波次数33，谐波相位180°， 测量电表谐波参数(百分比，谐波幅值，谐波角度)满足精度5%</t>
  </si>
  <si>
    <t xml:space="preserve">1、连接AcuRev1320电表到Acuview2上，连接状态为connected
2、输入4路电流5A
3、谐波含量百分比15%， 谐波次数33，谐波相位180°
4、检查上位机和电表上测量电表谐波参数(百分比，谐波幅值，谐波角度)满足精度5%   </t>
  </si>
  <si>
    <t xml:space="preserve">输入1路电流10A，谐波含量百分比5%，谐波次数4，谐波相位30°， 测量电表谐波参数(百分比，谐波幅值，谐波角度)满足精度±0.5% </t>
  </si>
  <si>
    <t xml:space="preserve">1、连接AcuRev1320电表到Acuview2上，连接状态为connected
2、输入1路电流10A
3、谐波百分比5%，谐波次数4，谐波相位30°
4、检查上位机和电表上测量电表电流谐波参数(百分比，谐波幅值，谐波角度)满足精度±0.5%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</si>
  <si>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使用excel公式计算具体值4.5-5.5
备注：4100项目不支持查看谐波角度</t>
  </si>
  <si>
    <t xml:space="preserve">1、连接AcuRev1320电表到Acuview2上，连接状态为connected
2、输入1路电流10A
3、谐波百分比10%，  谐波次数4，谐波相位150°
4、检查上位机和电表上测量电表电流谐波参数(百分比，谐波幅值，谐波角度)满足精度±0.5% </t>
  </si>
  <si>
    <t xml:space="preserve">1、连接AcuRev1320电表到Acuview2上，连接状态为connected
2、输入1路电流10A
3、谐波百分比15%， 谐波次数4，谐波相位210°
4、检查上位机和电表上测量电表电流谐波参数(百分比，谐波幅值，谐波角度)满足精度5% </t>
  </si>
  <si>
    <t xml:space="preserve">1、连接AcuRev1320电表到Acuview2上，链接状态为connected
2、输入3路电流10A
3、谐波含量百分比5%，谐波次数62，谐波相位330°
4、检查上位机和电表上测量电表谐波参数(百分比，谐波幅值，谐波角度)满足精度±0.5% </t>
  </si>
  <si>
    <t xml:space="preserve">1、连接AcuRev1320电表到Acuview2上，链接状态为connected
2、输入3路电流10A
3、谐波含量百分比10%，  谐波次数62，谐波相位90°
4、检查上位机和电表上测量电表谐波参数(百分比，谐波幅值，谐波角度)满足精度±0.5% 
5、检查web页面上THD页面中电表谐波参数(百分比，谐波幅值，谐波角度)是否满足精度
</t>
  </si>
  <si>
    <t>4、上位机和电表上测量电表谐波参数(百分比)满足精度±0.5% 
5、检查web页面上THD页面中电表谐波参数(百分比，谐波幅值，谐波角度)满足精度
备注: 使用excel公式计算具体值9.5~10.5
备注：4100项目不支持查看谐波角度</t>
  </si>
  <si>
    <t xml:space="preserve">1、连接AcuRev1320电表到Acuview2上，链接状态为connected
2、输入3路电流10A
3、谐波含量百分比30%， 谐波次数62，谐波相位270°
4、检查上位机和电表上测量电表谐波参数(百分比，谐波幅值，谐波角度)满足精度5% </t>
  </si>
  <si>
    <t xml:space="preserve">Independent Input Channel 使能，输入4路电流5A，谐波含量百分比5%，谐波次数32，谐波相位300，测量电表谐波参数(百分比，谐波幅值，谐波角度)满足精度±0.5% </t>
  </si>
  <si>
    <t xml:space="preserve">1、连接AcuRev1320电表到Acuview2上，连接状态为connected
2、输入4路电流5A
3、谐波含量百分比5%，谐波次数32，谐波相位300°
4、检查上位机和电表上测量电表谐波参数(百分比，谐波幅值，谐波角度)满足精度±0.5%  
5、检查web页面上THD页面中电表谐波参数(百分比，谐波幅值，谐波角度)是否满足精度
</t>
  </si>
  <si>
    <t xml:space="preserve">Independent Input Channel 使能，输入4路电流5A，谐波含量百分比10%，谐波次数32，谐波相位90°，测量电表谐波参数(百分比，谐波幅值，谐波角度)满足精度±0.5% </t>
  </si>
  <si>
    <t xml:space="preserve">1、连接AcuRev1320电表到Acuview2上，连接状态为connected
2、输入4路电流5A
3、谐波含量百分比10%，  谐波次数32，谐波相位90°
4、检查上位机和电表上测量电表谐波参数(百分比，谐波幅值，谐波角度)满足精度±0.5% </t>
  </si>
  <si>
    <t>Independent Input Channel 使能，输入4路电流5A，谐波含量百分比15%，谐波次数32，谐波相位180°， 测量电表谐波参数(百分比，谐波幅值，谐波角度)满足精度5%</t>
  </si>
  <si>
    <t xml:space="preserve">1、连接AcuRev1320电表到Acuview2上，连接状态为connected
2、输入4路电流5A
3、谐波含量百分比15%， 谐波次数32，谐波相位180°
4、检查上位机和电表上测量电表谐波参数(百分比，谐波幅值，谐波角度)满足精度5% </t>
  </si>
  <si>
    <t>4、上位机和电表上测量电表谐波参数(百分比)满足精度5% 
备注: 使用excel公式计算具体值14.25~15.75
备注：4100项目不支持查看谐波角度</t>
  </si>
  <si>
    <t>Function_AcuRev1320_007_04_case12</t>
  </si>
  <si>
    <t>1、连接AcuRev1320电表到Acuview2上，连接状态为connected
2、输入ABC三相电压均为120V，谐波含量分别为3%、5％、9％；3路电流5A谐波含量为10%、4％、20％
3、检查上位机Harmonic Specturm界面绘制的图像</t>
  </si>
  <si>
    <t>Function_AcuRev1320_007_04_case13</t>
  </si>
  <si>
    <t>1、连接AcuRev1320电表到Acuview2上，连接状态为connected
2、输入ABC三相电压均为120V，谐波含量分别为3%、5％、9％；3路电流5A谐波含量为10%、4％、20％
3、检查上位机Harmonic Specturm界面绘制的图像
4、 关闭源的电压电流以及谐波输入
5、检查上位机Harmonic Specturm界面绘制的图像</t>
  </si>
  <si>
    <t>1、连接AcuRev1320电表到Acuview2上，连接状态为connected
2、设置ABC相电压均为120V，谐波含量百分比0.5%，谐波次数2， 谐波相位60°
3、检查上位机和电表上ABC三相电压谐波因素计算是否正确</t>
    <phoneticPr fontId="10" type="noConversion"/>
  </si>
  <si>
    <t>3、检查上位机和电表上ABC三相电压谐波因素计算正确(HMI和上位机百分比显示保留1位小数)
Phase A Voltage THD					0.500%
Phase A Voltage THD Odd				0.000%
Phase A Voltage THD Even			0.500%
Phase A Voltage Crest Factor		1.414 
Phase A Voltage THFF Factor			0.44375%
Phase B Voltage THD					0.500%
Phase B Voltage THD Odd				0.000%
Phase B Voltage THD Even			0.500%
Phase B Voltage Crest Factor		1.414 
Phase B Voltage THFF Factor			0.44375%
Phase C Voltage THD					0.500%
Phase C Voltage THD Odd				0.000%
Phase C Voltage THD Even			0.500%
Phase C Voltage Crest Factor		1.414 
Phase C Voltage THFF Factor			0.44375%
Average Voltage THD					0.500%
Average Voltage THD Odd				0.000%
Average Voltage THD Even			0.500%</t>
    <phoneticPr fontId="10" type="noConversion"/>
  </si>
  <si>
    <t>Function_AcuRev1320_008_01_case2</t>
    <phoneticPr fontId="10" type="noConversion"/>
  </si>
  <si>
    <t>1、连接AcuRev1320电表到Acuview2上，连接状态为connected
2、设置ABC相电压均为220V，谐波含量百分比30%， 谐波次数31，谐波相位60°
3、检查上位机和电表上ABC三相电压谐波因素计算是否正确</t>
    <phoneticPr fontId="10" type="noConversion"/>
  </si>
  <si>
    <t>3、检查上位机和电表上ABC三相电压谐波因素计算正确(HMI和上位机百分比显示保留1位小数)
Phase A Voltage THD					30.000%
Phase A Voltage THD Odd				30.000%
Phase A Voltage THD Even			0.000%
Phase A Voltage Crest Factor		1.414 
Phase A Voltage THFF Factor			5.227%
Phase B Voltage THD					30.000%
Phase B Voltage THD Odd				30.000%
Phase B Voltage THD Even			0.000%
Phase B Voltage Crest Factor		1.414 
Phase B Voltage THFF Factor		5.227%
Phase C Voltage THD					30.000%
Phase C Voltage THD Odd				30.000%
Phase C Voltage THD Even			0.000%
Phase C Voltage Crest Factor		1.414 
Phase C Voltage THFF Factor			5.227%
Average Voltage THD					30.000%
Average Voltage THD Odd				30.000%
Average Voltage THD Even			0.000%</t>
    <phoneticPr fontId="10" type="noConversion"/>
  </si>
  <si>
    <t>1、连接AcuRev1320电表到Acuview2上，连接状态为connected
2、设置ABC相电压均为347V，谐波含量百分比50%， 谐波次数63，谐波相位60°
3、检查上位机和电表上ABC三相电压谐波因素计算是否正确
4、检查Web页面中THD界面电表上ABC三相电压谐波因素计算是否正确</t>
    <phoneticPr fontId="10" type="noConversion"/>
  </si>
  <si>
    <t>3、检查上位机和电表上ABC三相电压谐波因素计算正确(HMI和上位机百分比显示保留1位小数)
4、检查Web页面中THD界面电表上ABC三相电压谐波因素计算正确
Phase A Voltage THD					50.000%
Phase A Voltage THD Odd				50.000%
Phase A Voltage THD Even			0.000%
Phase A Voltage Crest Factor		1.414 
Phase A Voltage THFF Factor			0.44375%
Phase B Voltage THD					50.000%
Phase B Voltage THD Odd				50.000%
Phase B Voltage THD Even			0.000%
Phase B Voltage Crest Factor		1.414 
Phase B Voltage THFF Factor			0.44375%
Phase C Voltage THD					50.000%
Phase C Voltage THD Odd				50.000%
Phase C Voltage THD Even			0.000%
Phase C Voltage Crest Factor		1.414 
Phase C Voltage THFF Factor			0.44375%
Average Voltage THD					50.000%
Average Voltage THD Odd				50.000%
Average Voltage THD Even			0.000%</t>
    <phoneticPr fontId="10" type="noConversion"/>
  </si>
  <si>
    <t>3、检查上位机和电表上ABC三相电压谐波因素计算正确(HMI和上位机百分比显示保留1位小数)
4、检查Web页面中THD界面电表上ABC三相电压谐波因素计算正确
Phase A Voltage THD					56.569%
Phase A Voltage THD Odd				40.000%
Phase A Voltage THD Even			40.000%
Phase A Voltage Crest Factor		1.535
Phase A Voltage THFF Factor			4.997%
Phase B Voltage THD					56.569%
Phase B Voltage THD Odd				40.000%
Phase B Voltage THD Even			40.000%
Phase B Voltage Crest Factor		1.535
Phase B Voltage THFF Factor				4.997%
Phase C Voltage THD					56.569%
Phase C Voltage THD Odd				40.000%
Phase C Voltage THD Even			40.000%
Phase C Voltage Crest Factor		1.535 
Phase C Voltage THFF Factor				4.997%
Average Voltage THD					56.569%
Average Voltage THD Odd				40.000%
Average Voltage THD Even			40.000%
备注: 从计算公式开，多次谐波相角不会影响谐波因素， 可借助execel公式批量计算</t>
    <phoneticPr fontId="10" type="noConversion"/>
  </si>
  <si>
    <t>3、检查上位机和电表上ABC三相电压谐波因素计算正确(HMI和上位机百分比显示保留1位小数)
4、检查Web页面中THD界面电表上ABC三相电压谐波因素计算正确
Phase A Voltage THD					50.000%
Phase A Voltage THD Odd				30.000%
Phase A Voltage THD Even			40.000%
Phase A Voltage Crest Factor		1.414 
Phase A Voltage THFF Factor			4.766%
Phase B Voltage THD					50.000%
Phase B Voltage THD Odd				30.000%
Phase B Voltage THD Even			40.000%
Phase B Voltage Crest Factor		1.414 
Phase B Voltage THFF Factor			4.766%
Phase C Voltage THD					50.000%
Phase C Voltage THD Odd				30.000%
Phase C Voltage THD Even			40.000%
Phase C Voltage Crest Factor		1.414 
Phase C Voltage THFF Factor			4.766%
Average Voltage THD					50.000%
Average Voltage THD Odd				30.000%
Average Voltage THD Even			40.000%
此处的预期测量值待公式确认后更新
备注: 从计算公式开，多次谐波相角不会影响谐波因素， 可借助execel公式批量计算
2026/4/7：ODD和EVEN显示反了，用例问题</t>
    <phoneticPr fontId="10" type="noConversion"/>
  </si>
  <si>
    <t>1、连接AcuRev1320电表到Acuview2上，连接状态为connected
2、输入1路电流3A，谐波百分比0.5%，谐波次数2， 谐波相位30°
3、检查上位机和电表上电流谐波因素参数计算是否正确。
4、检查Web页面中THD界面电表上电流谐波因素参数计算是否正确</t>
    <phoneticPr fontId="10" type="noConversion"/>
  </si>
  <si>
    <t xml:space="preserve">3、检查上位机和电表上电流谐波因素参数计算正确(HMI和上位机百分比显示保留1位小数)
4、检查Web页面中THD界面电表上电流谐波因素参数计算正确
Input1 Current THD				0.500%
Input1 Current THD Odd			0.000%
Input1 Current THD Even			0.500%
Input1 Current K Factor			1.000 </t>
    <phoneticPr fontId="10" type="noConversion"/>
  </si>
  <si>
    <t>3、检查上位机和电表上电流谐波因素参数计算正确。(HMI和上位机百分比显示保留1位小数)
Input1 Current THD					10.000%
Input1 Current THD Odd				10.000%
Input1 Current THD Even				0.000%
Input1 Current K Factor				1.24</t>
    <phoneticPr fontId="10" type="noConversion"/>
  </si>
  <si>
    <t>输入2路电流5A，4次和5次谐波百分比分别为10%和10%，4次和5次谐波相位30°和210°，测量电表谐波参数Input1~2_THD, Input1~2_OTHD,Input1~2_THD,Input1~2_KFactor测量准确</t>
  </si>
  <si>
    <t>3、检查上位机和电表上电流谐波因素参数计算正确。(HMI和上位机百分比显示保留1位小数)
Input1 Current THD					22.361%
Input1 Current THD Odd				20.000%
Input1 Current THD Even				10.000%
Input 1 Current K Factor			13.333
Input2 Current THD					22.361%
Input2 Current THD Odd				20.000%
Input2 Current THD Even				10.000%
Input2 Current K Factor				13.333
此处的预期测量值待公式确认后更新
备注: 从计算公式开，多次谐波相角不会影响谐波因素， 可借助execel公式批量计算
实际K factor为2.05</t>
    <phoneticPr fontId="10" type="noConversion"/>
  </si>
  <si>
    <t>聚合页面的电压谐波因素验证</t>
    <phoneticPr fontId="10" type="noConversion"/>
  </si>
  <si>
    <t>Function_AcuRev1320_008_02_case5</t>
    <phoneticPr fontId="10" type="noConversion"/>
  </si>
  <si>
    <t>1、连接AcuRev1320电表到Acuview2上，连接状态为connected
2、设置ABC相电压均为120V，谐波含量百分比0.5%，谐波次数2， 谐波相位60°
3、等待4小时
4、 检查Real-Time Metering （200ms）、Real-Time Metering （3s）、Real-Time Metering （10min）、Real-Time Metering （2hr）页面的ABC三相电压谐波因素计算是否正确</t>
    <phoneticPr fontId="10" type="noConversion"/>
  </si>
  <si>
    <t>3、检查上位机上ABC三相电压谐波因素计算正确(上位机百分比显示保留1位小数)
Phase A Voltage THD					0.500%
Phase A Voltage THD Odd				0.000%
Phase A Voltage THD Even			0.500%
Phase B Voltage THD					0.500%
Phase B Voltage THD Odd				0.000%
Phase B Voltage THD Even			0.500%
Phase C Voltage THD					0.500%
Phase C Voltage THD Odd				0.000%
Phase C Voltage THD Even			0.500%
Average Voltage THD					0.500%
Average Voltage THD Odd				0.000%
Average Voltage THD Even			0.500%</t>
    <phoneticPr fontId="10" type="noConversion"/>
  </si>
  <si>
    <t>聚合页面的电流谐波因素验证</t>
    <phoneticPr fontId="10" type="noConversion"/>
  </si>
  <si>
    <t>Function_AcuRev1320_008_02_case6</t>
  </si>
  <si>
    <t>1、连接AcuRev1320电表到Acuview2上，连接状态为connected
2、输入1路电流3A，谐波百分比0.5%，谐波次数2， 谐波相位30°
3、等待4小时
4、 检查Real-Time Metering （200ms）、Real-Time Metering （3s）、Real-Time Metering （10min）、Real-Time Metering （2hr）页面的ABC三相电流谐波因素计算是否正确</t>
    <phoneticPr fontId="10" type="noConversion"/>
  </si>
  <si>
    <t xml:space="preserve">3、检查上位机上电流谐波因素参数计算正确(上位机百分比显示保留1位小数)
4、检查Web页面中THD界面电表上电流谐波因素参数计算正确
Input1 Current THD				0.500%
Input1 Current THD Odd			0.000%
Input1 Current THD Even			0.500% </t>
    <phoneticPr fontId="10" type="noConversion"/>
  </si>
  <si>
    <t>电能质量测量</t>
    <phoneticPr fontId="10" type="noConversion"/>
  </si>
  <si>
    <t>Function_AcuRev1320_009_01_case1</t>
    <phoneticPr fontId="10" type="noConversion"/>
  </si>
  <si>
    <t>3E4w y Y， 三相电压相角分别为0°、240°、120°，相电压分别为68V、69V、69V，检查电表的三相电压不平衡因素VUF测量精度满足±1%</t>
  </si>
  <si>
    <t>1、连接AcuRev1320电表到Acuview2上，连接状态为connected
2、三相电压相角分别为0°、240°、120°，相电压分别为68V、69V、69V
3、检查上位机和电表上电压的不平衡因素VUF是否满足精度±1%</t>
    <phoneticPr fontId="10" type="noConversion"/>
  </si>
  <si>
    <t>3、检查上位机和电表上电压的不平衡因素VUF满足精度1%，
VUF： 0.485% 0% ~ 1.485%</t>
    <phoneticPr fontId="10" type="noConversion"/>
  </si>
  <si>
    <t>Function_AcuRev1320_009_01_case2</t>
    <phoneticPr fontId="10" type="noConversion"/>
  </si>
  <si>
    <t>3E4w y Y， 三相电压相角分别为0°、240°、120°，相电压分别为120V、87V、120V,检查电表的三相电压不平衡因素VUF测量精度满足±1%</t>
  </si>
  <si>
    <t>1、Acuview2上位机
2、网线/RTU串口线
3、AcuRev1320电表</t>
    <phoneticPr fontId="10" type="noConversion"/>
  </si>
  <si>
    <t>1、连接AcuRev1320电表到Acuview2上，连接状态为connected
2、三相电压相角分别为0°、240°、120°，相电压分别为120V、88V、120V
3、检查上位机和电表上电压的不平衡因素VUF是否满足精度±1%
4、检查Web页面中THD界面电压的不平衡因素VUF是否满足精度±1%</t>
    <phoneticPr fontId="10" type="noConversion"/>
  </si>
  <si>
    <t>3E4w y接线方式，三相电压相角分别为0°、240°、120°，相电压分别为230V、230V、196V,检查电表的三相电压不平衡因素VUF测量精度满足±1%</t>
  </si>
  <si>
    <t>3E4w y接线方式，三相电压相角分别为0°、240°、120°，相电压分别为347V、347V、255V,检查电表的三相电压不平衡因素VUF测量精度满足±1%</t>
  </si>
  <si>
    <t>Function_AcuRev1320_009_01_case5</t>
    <phoneticPr fontId="10" type="noConversion"/>
  </si>
  <si>
    <t>3E4w y Y接线方式，三相电压相角分别为0°、240°、103°，三相电压相同，遍历69V、120V、230V、347V,检查电表的三相电压不平衡因素VUF测量精度满足±1%</t>
  </si>
  <si>
    <t>1、连接AcuRev1320电表到Acuview2上，连接状态为connected
2、三相电压相角分别为0°、240°、103°，三相电压全部为69V
3、检查上位机和电表上电压的不平衡因素VUF是否满足精度±1%
4、三相电压相角分别为0°、240°、103°，三相电压全部为120V
5、检查上位机和电表上电压的不平衡因素VUF是否满足精度±1%
6、三相电压相角分别为0°、240°、103°，三相电压全部为230V
7、检查上位机和电表上电压的不平衡因素VUF是否满足精度±1%
8、三相电压相角分别为0°、240°、103°，三相电压全部为347V
9、检查上位机和电表上电压的不平衡因素VUF是否满足精度±1%</t>
    <phoneticPr fontId="10" type="noConversion"/>
  </si>
  <si>
    <t>3E4w y接线方式，三相电压相角分别为0°、240°、120°，相电压分别为145V、210V、220V,检查电表的三相电压不平衡因素VUF测量值为12.267%，没有精度要求</t>
  </si>
  <si>
    <t>3、检查上位机和电表上电压的不平衡因素VUF测量值为12.267%
备注： 电压不平衡因数超出10%，没有精度要求，但是不能偏离太多</t>
    <phoneticPr fontId="10" type="noConversion"/>
  </si>
  <si>
    <t>3E4w y Y接线方式，三相电压相角分别为0°、120°、120°，三相电压相同，遍历69V、120V检查电表的三相电压不平衡因素VUF测量值为100.00%，没有精度要求</t>
  </si>
  <si>
    <t>3E4w y Y接线方式，三相电压相角分别为0°、120°、230°，三相电压相同，遍历69V、120V检查电表的三相电压不平衡因素VUF测量值为150.00%，没有精度要求</t>
  </si>
  <si>
    <t>3E4w y Y接线方式，三相电压相角分别为0°、240°、120°，三相电压相同，遍历69V、120V、230V、347V，检查电表的三相电压不平衡因素VUF测量精度满足±1%</t>
  </si>
  <si>
    <t>1、连接AcuRev1320电表到Acuview2上，连接状态为connected
2、三相电压相角分别为0°、240°、120°，三相电压全部为69V
3、检查上位机和电表上电压的不平衡因素VUF是否满足精度±1%
4、三相电压相角分别为0°、240°、120°，三相电压全部为120V
5、检查上位机和电表上电压的不平衡因素VUF是否满足精度±1%
6、三相电压相角分别为0°、240°、120°，三相电压全部为230V
7、检查上位机和电表上电压的不平衡因素VUF是否满足精度±1%
8、三相电压相角分别为0°、240°、120°，三相电压全部为347V
9、检查上位机和电表上电压的不平衡因素VUF是否满足精度±1%</t>
    <phoneticPr fontId="10" type="noConversion"/>
  </si>
  <si>
    <t>3E4w y Y接线方式，三相电压相角分别为0°，三相电压相同为0V，检查电表的三相电压不平衡因素VUF测量值为0.00%</t>
  </si>
  <si>
    <t>Function_AcuRev1320_009_01_case11</t>
    <phoneticPr fontId="10" type="noConversion"/>
  </si>
  <si>
    <t>1 ELEMENT_2_WIRE,相电压分别为100V、0V、0V,检查电表的三相电压不平衡因素VUF测量值为"-"</t>
    <phoneticPr fontId="10" type="noConversion"/>
  </si>
  <si>
    <t>1、连接AcuRev1320电表到Acuview2上，连接状态为connected
2、电表设置接线方式1 ELEMENT_2_WIRE,三相电压相角分别为0°、0°、0°，相电压分别为100V、0V、0V
3、检查上位机和电表上电压的不平衡因素VUF是否显示"-"
4、检查Web页面中电压的不平衡因素VUF是否显示为-</t>
    <phoneticPr fontId="10" type="noConversion"/>
  </si>
  <si>
    <t>Function_AcuRev1320_009_01_case12</t>
    <phoneticPr fontId="10" type="noConversion"/>
  </si>
  <si>
    <t>2 Element 3 Wire Network接线方式, 三相电压相角分别为0°、240°、120°，相电压分别为69V、80V、69V,检查电表的三相电压不平衡因素VUF测量精度满足±1%</t>
    <phoneticPr fontId="10" type="noConversion"/>
  </si>
  <si>
    <t>不平衡因数(Unbalance factor)</t>
    <phoneticPr fontId="10" type="noConversion"/>
  </si>
  <si>
    <t>Function_AcuRev1320_009_01_case13</t>
    <phoneticPr fontId="10" type="noConversion"/>
  </si>
  <si>
    <t>2 Element 3 Wire 1 Phase接线方式, Ua和Uc相电压分别为230V、250V,检查电表的三相电压不平衡因素VUF测量值正确</t>
    <phoneticPr fontId="10" type="noConversion"/>
  </si>
  <si>
    <t>1、连接AcuRev1320电表到Acuview2上，连接状态为connected
2、Ua和Uc相电压分别为230V、250V
3、VUF按照按照UA，UC平均值计算，是否为4.167% 3.167%~5.167%
4、HMI和上位机上系统需分量是否为“-”
5、检查Web页面中电压的不平衡因素VUF是否为-
备注: 2 Element 3 Wire 1 Phase按照UA，UC平均值计算VUF， 2 Element 3 Wire 1 Phase、显示需分量参数为“-”</t>
    <phoneticPr fontId="10" type="noConversion"/>
  </si>
  <si>
    <t>3、VUF按照I按照UA，UC平均值计算，为4.167% 3.167%~5.167%
4、HMI和上位机上系统需分量为“-”
5、同上位机及表显示一致
备注: 2 Element 3 Wire 1 Phase按照UA，UC平均值计算VUF， 2 Element 3 Wire 1 Phase、显示需分量参数为“-”</t>
    <phoneticPr fontId="10" type="noConversion"/>
  </si>
  <si>
    <t>2 Element 3 Wire Delta接线方式, UA、UC相电压分别为69V、69V检查电表的三相电压不平衡因素VUF测量值正确</t>
    <phoneticPr fontId="10" type="noConversion"/>
  </si>
  <si>
    <t>1、连接AcuRev1320电表到Acuview2上，连接状态为connected
2、UA、UC相电压分别为69V、69V
3、VUF按照 UAB、UBC、UCA平均值计算，是否为0% 0%~1%
4、HMI和上位机上系统需分零是否为“-”
5、检查Web页面中电压的不平衡因素VUF是否为-
备注: 1 Element 2 Wire、2 Element 3 Wire 1 Phase、2 Element 3 Wire Delta、3 Element 3 Wire Delta显示-；UAB、UBC、UCA平均值计算VUF
接线方式备注: 科陆源先择PT3，接两路电流</t>
    <phoneticPr fontId="10" type="noConversion"/>
  </si>
  <si>
    <t>3、VUF按照IUAB、UBC、UCA平均值计算，为0% 0%~1%
4、HMI和上位机上系统需分零为“-”
5、同上位机及表显示一致
备注: 2 Element 3 Wire Delta、3 Element 3 Wire Delta 需分量参数 显示-
VUF :   2 Element 3 Wire Delta、3 Element 3 Wire Delta按照UAB、UBC、UCA平均值计算</t>
    <phoneticPr fontId="10" type="noConversion"/>
  </si>
  <si>
    <t>1、连接AcuRev1320电表到Acuview2上，连接状态为connected
2、 UA、Ub、UC相电压分别为100V、150V、200V，角度分别为0、240、120
3、VUF按照 UAB、UBC、UCA平均值计算，是否为16.9%， 没有精度要求
4、HMI和上位机上系统需分量是否为“-”
5、查看web页面数据是否与上位机及电表保持一致
备注: 1 Element 2 Wire、2 Element 3 Wire 1 Phase、2 Element 3 Wire Delta、3Element4Wire Delta显示-；UAB、UBC、UCA平均值计算VUF
接线方式</t>
    <phoneticPr fontId="10" type="noConversion"/>
  </si>
  <si>
    <t>Function_AcuRev1320_009_01_case16</t>
    <phoneticPr fontId="10" type="noConversion"/>
  </si>
  <si>
    <t>3E4w y Y，1个用户对应3路电流，电流相角分别为0°、240°、120°，IA、IB、IC分别为0.49A、0.5A、0.5A，测量电表用户user1的电流不平衡因素CUF满足精度±1%</t>
  </si>
  <si>
    <t>1、连接AcuRev1320电表到Acuview2上，连接状态为connected
2、1个用户对应3路电流，电流相角分别为0°、240°、120°，IA、IB、IC分别为0.49A、0.5A、0.5A
3、检查上位机和电表上电流的不平衡因素CUF是否满足精度±1%</t>
    <phoneticPr fontId="10" type="noConversion"/>
  </si>
  <si>
    <t>3E4w y Y，1个用户对应3路电流，电流相角分别为0°、240°、120°，IA、IB、IC_C分别为2A、1.97A、2A，测量电表用户user1的电流不平衡因素CUF满足精度1%</t>
  </si>
  <si>
    <t>3E4w y Y，1个用户对应3路电流，电流相角分别为0°、240°、120°，IA、IB、IC分别为20A、10A、10A，测量电表用户user1的电流不平衡因素CUF满足精度1%</t>
  </si>
  <si>
    <t>1、连接AcuRev1320电表到Acuview2上，连接状态为connected
2、1个用户对应3路电流，电流相角分别为0°、240°、120°，IA、IB、IC分别为20A、10A、10A
3、检查上位机和电表上电流的不平衡因素CUF是否满足精度±1%</t>
    <phoneticPr fontId="10" type="noConversion"/>
  </si>
  <si>
    <t>3、检查上位机和电表上电流的不平衡因素CUF满足精度1%，
 CUF：25% 24% ~ 26%</t>
    <phoneticPr fontId="10" type="noConversion"/>
  </si>
  <si>
    <t>3E4w y Y，1个用户对应3路电流，电流相角分别为0°、170°、120°，三路流相同，遍历0.5A、2A、5A、10A、20A
,测量电表用户user1的电流不平衡因素CUF满足精度1%</t>
  </si>
  <si>
    <t>1、连接AcuRev1320电表到Acuview2上，连接状态为connected
2、电表设置2e2p3w-phase, 1个用户对应2路电流，电流相角分别为0°、240°，IA、IB分别为3A、5A，
3、检查上位机和电表上电流的不平衡因素CUF满足精度±1%，  CUF：25% 24.000% ~ 26.000%</t>
    <phoneticPr fontId="10" type="noConversion"/>
  </si>
  <si>
    <t>3、检查上位机和电表上电流的不平衡因素CUF满足精度1%，
 CUF：25% 24.000% ~ 26.000%
备注: 按照DSP开发给的小于3路负载的计算方法计算不平衡度VUF和CUF，
需分量显示为-</t>
    <phoneticPr fontId="10" type="noConversion"/>
  </si>
  <si>
    <t>2e2p3w-phase, 1个用户对应2路电流，电流相角分别为0°、240°，IA、IB分别为20A、5A，测量电表用户user1的电流不平衡因素CUF值符合预期，没有精度要求</t>
    <phoneticPr fontId="10" type="noConversion"/>
  </si>
  <si>
    <t>1、连接AcuRev1320电表到Acuview2上，连接状态为connected
2、电表设置2e2p3w-phase, 1个用户对应2路电流，电流相角分别为0°、240°，IA、IB分别为20A、5A，
3、检查上位机和电表上电流的不平衡因素CUF满足精度±1%，  CUF：60%
4、检查web页面上不平衡界面中电流的不平衡因素CUF是否满足精度±1%</t>
    <phoneticPr fontId="10" type="noConversion"/>
  </si>
  <si>
    <t>3、检查上位机和电表上电流的不平衡因素CUF满足精度1%，
 CUF：60% 没有精度要求
4、检查web页面上不平衡界面中电流的不平衡因素CUF满足精度±1%
备注: 按照DSP开发给的小于3路负载的计算方法计算不平衡度VUF和CUF，
需分量显示为-</t>
    <phoneticPr fontId="10" type="noConversion"/>
  </si>
  <si>
    <t>3、上位机和电表上电流的不平衡因素CUF 显示“-”
4、同上位机及电表显示一致</t>
    <phoneticPr fontId="10" type="noConversion"/>
  </si>
  <si>
    <t>电表设置3E4w y Y， 不接负载时候， 测量电表用户系统的电流不平衡因素CUF 不显示</t>
  </si>
  <si>
    <t>1、连接AcuRev1320电表到Acuview2上，连接状态为connected
2、电表不接任何负载
3、检查上位机和电表上电流的不平衡因素CUF是是否显示0
4、检查web页面上不平衡界面中电流的不平衡因素CUF是如何显示</t>
    <phoneticPr fontId="10" type="noConversion"/>
  </si>
  <si>
    <t>Function_AcuRev1320_009_01_case24</t>
    <phoneticPr fontId="10" type="noConversion"/>
  </si>
  <si>
    <r>
      <t xml:space="preserve">1、连接AcuRev1320电表到Acuview2上，连接状态为connected
2、1个用户对应2路电流,相角分别为0°、240°、120°,IA、IB分别为(2A,4A)，接线方式为2ELEMENT_3_WIRE_NETWORK
3、检查上位机和电表上电流的不平衡因素CUF是否满足精度±1%
4、检查web页面上不平衡界面中电流的不平衡因素CUF是如何显示
</t>
    </r>
    <r>
      <rPr>
        <sz val="8"/>
        <color theme="1"/>
        <rFont val="微软雅黑"/>
        <family val="2"/>
        <charset val="134"/>
      </rPr>
      <t>2026/3/5:用例问题：应输入,IA、IC为(2A,4A)，</t>
    </r>
    <phoneticPr fontId="10" type="noConversion"/>
  </si>
  <si>
    <t>Function_AcuRev1320_009_01_case26</t>
    <phoneticPr fontId="10" type="noConversion"/>
  </si>
  <si>
    <t>2E3p3w Delta，2路电流,相角分别为0°、240°、120°,IA、IC分别为(2A,4A)， 测量电表用户user1的电流不平衡因素CUF满足精度1%</t>
    <phoneticPr fontId="10" type="noConversion"/>
  </si>
  <si>
    <t>1、连接AcuRev1320电表到Acuview2上，连接状态为connected
2、1个用户对应2路电流,相角分别为0°、240°、120°,IA、IC分别为(2A,4A)，接线方式为2E3p4w Delta
3、检查上位机和电表上电流的不平衡因素CUF是否满足精度1%
4、检查上位机和电表上其他user电流的不平衡因素CUF是否为0
5、检查web页面上不平衡界面中电流的不平衡因素CUF是如何显示</t>
    <phoneticPr fontId="10" type="noConversion"/>
  </si>
  <si>
    <t>3E4w y Delta，2路电流,相角分别为0°、240°、120°,IA、IB、IC分别为(2A,3A、4A)， 测量电表系统的电流不平衡因素CUF满足精度1%</t>
  </si>
  <si>
    <t>1、连接AcuRev1320电表到Acuview2上，连接状态为connected
2、系统电流角度分别为0°、240°、120°,IA、IB、IC分别为(2A,3A、4A)，接线方式为3E4w y Delta
3、检查上位机和电表上电流的不平衡因素CUF是否满足精度1%
5、检查web页面上不平衡界面中电流的不平衡因素CUF是如何显示</t>
  </si>
  <si>
    <t>Function_AcuRev1320_009_01_case28</t>
    <phoneticPr fontId="10" type="noConversion"/>
  </si>
  <si>
    <t>3E4w y接线方式，三相电压相角分别为0°、240°、120°，相电压分别为230V、230V、196V,检查电表的三相电压不平衡因素VUF测量精度满足±1%，3路电流，电流相角分别为0°、240°、120°，IA、IB、IC分别为20A、10A、10A，测量电表用户user1的电流不平衡因素CUF满足精度1%</t>
  </si>
  <si>
    <t>Function_AcuRev1320_009_02_case1</t>
    <phoneticPr fontId="10" type="noConversion"/>
  </si>
  <si>
    <t>1、连接AcuRev1320电表到Acuview2上，连接状态为connected
2、电表设置逆向序(A-&gt;C-&gt;B), 三相电压相角分别为0°、120°、240°，相电压分别为220V、220V、220V
3、相电压相电压V0(零序)，V1(正序)，V2(负序)测量模值和序分量角度是否正确，电压矢量值是否正常
4、检查上位机中Sequence对应的电压电流矢量图显示是否正常
5、检查web页面中相电压相电压V0(零序)，V1(正序)，V2(负序)测量模值和序分量角度是否正确，Sequence对应的电压电流矢量图显示是否正常</t>
    <phoneticPr fontId="10" type="noConversion"/>
  </si>
  <si>
    <t>3、相电压相电压V0(零序)，V1(正序)，V2(负序)测量模值为：0.00， 220.00, 0.00，
V0(零序)，V1(正序)，V2(负序)测量角度分别为：0.00°，0.00°，0.00°，电压矢量值正常
4、检查上位机中Sequence对应的电压电流矢量图正常
5、检查web页面中相电压相电压V0(零序)，V1(正序)，V2(负序)测量模值和序分量角度正确，Sequence对应的电压电流矢量图显示正常</t>
    <phoneticPr fontId="10" type="noConversion"/>
  </si>
  <si>
    <t>3E4w y Y接线方式，电表设置顺向序(A-&gt;B-&gt;C), 三相电压相角分别为0°、120°、240°，相电压分别为220V、220V、220V，相电压V0(零序)，V1(正序)，V2(负序)测量模值和序分量角度正确，电压矢量值是否正常</t>
  </si>
  <si>
    <t>3、相电压相电压V0(零序)，V1(正序)，V2(负序)测量模值为：0.00, 0.00，220.00
V0(零序)，V1(正序)，V2(负序)测量角度分别为：0.00°，0.00°，0.00°
4、电压矢量值正确</t>
    <phoneticPr fontId="10" type="noConversion"/>
  </si>
  <si>
    <t>3E4w y Y接线方式，电表设置顺向序(A-&gt;B-&gt;C), 三相电压相角分别为0°、120°、240°，相电压分别为0V、220V、220V， 相电压V0，V1，V2测量正确，随后相电压分别为0V、0V、0V, 相电压V0，V1，V2测量准确</t>
    <phoneticPr fontId="10" type="noConversion"/>
  </si>
  <si>
    <t>1、连接AcuRev1320电表到Acuview2上，连接状态为connected
2、三相电压相角分别为0°、120°、240°，相电压分别为0V、220V、220V
3、相电压零序分量V0幅值和角度、正序分量V1幅值和角度、负序分量V2幅值和角度测量是否正确。电压矢量值是否正常
4、随后修改三相电压相角分别为0°、120°、240°，相电压分别为0V、0V、0V
5、查看相电压V0，V1，V2测量值是否全为0
6、检查上位机中Sequence对应的电压电流矢量图显示是否正常
7、检查web页面中相电压相电压V0(零序)，V1(正序)，V2(负序)测量模值和序分量角度是否正确，Sequence对应的电压电流矢量图显示是否正常</t>
  </si>
  <si>
    <t>Function_AcuRev1320_009_02_case5</t>
    <phoneticPr fontId="10" type="noConversion"/>
  </si>
  <si>
    <t>1、连接AcuRev1320电表到Acuview2上，连接状态为connected
2、分别切换1E2W,2E3W-1phase，2E3W-Network，2E3W-delta，3E4W-delta接线方式，三相电压相角分别为0°、120°、240°，相电压分别为220V
3、上位机上相电压零序分量V0幅值和角度、正序分量V1幅值和角度、负序分量V2幅值和角度测量是否正确，电压矢量值是否正常
4、检查上位机中Sequence对应的电压电流矢量图显示是否正常
5、检查web页面中相电压相电压V0(零序)，V1(正序)，V2(负序)测量模值和序分量角度是否正确，Sequence对应的电压电流矢量图显示是否正常</t>
    <phoneticPr fontId="10" type="noConversion"/>
  </si>
  <si>
    <t>3、上位机相电压相电压V0(零序)，V1(正序)，V2(负序)测量模值为：VUF:"-"， 模值和角度显示正常，电压矢量值准确
4、检查上位机中Sequence对应的电压电流矢量图无显示
5、检查web页面中相电压相电压V0(零序)，V1(正序)，V2(负序)测量模值和序分量角度正确，Sequence对应的电压电流矢量图显示正常（同上位机）</t>
    <phoneticPr fontId="10" type="noConversion"/>
  </si>
  <si>
    <t>Function_AcuRev1320_009_02_case6</t>
    <phoneticPr fontId="10" type="noConversion"/>
  </si>
  <si>
    <t>3E4w y Y接线方式，电表设置顺向序(A-&gt;B-&gt;C), 三相电压相角分别为0°、120°、0°，相电压分别为220V、220V、220V，相电压V0(零序)，V1(正序)，V2(负序)测量模值和序分量角度正确，随后修改三相电压相角分别为0°、0°、0°，查看相电压V0(零序)，V1(正序)，V2(负序)测量模值和序分量角度正确</t>
    <phoneticPr fontId="10" type="noConversion"/>
  </si>
  <si>
    <t>3、相电压相电压V0(零序)，V1(正序)，V2(负序)测量模值为：127.017 127.017 127.017
V0(零序)，V1(正序)，V2(负序)测量角度分别为：30°，270°，30°
5、相电压相电压V0(零序)，V1(正序)，V2(负序)测量模值为：220.00, 0.00，0.00
V0(零序)，V1(正序)，V2(负序)测量角度分别为：0.00°，0.00°，0.00°
6、电压矢量值正确</t>
    <phoneticPr fontId="10" type="noConversion"/>
  </si>
  <si>
    <t>Function_AcuRev1320_009_03_case1</t>
    <phoneticPr fontId="10" type="noConversion"/>
  </si>
  <si>
    <t>1、连接AcuRev1320电表到Acuview2上，连接状态为connected
2、电表设置正向序(A-&gt;B-&gt;C), 三相电压相角分别为0°、240°、120°，系统对应3路电流，电流5A、5A、5A
3、系统的I0(零序)，I1(正序)，I2(负序)测量模值和序分量角度是否正确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phoneticPr fontId="10" type="noConversion"/>
  </si>
  <si>
    <t>3、用户user1的I0(零序)，I1(正序)，I2(负序)测量模值为：0.000,5.000，0.000，
I0(零序)，I1(正序)，I2(负序)测量角度分别为：0.00°，0.00°，0.00°
4、检查上位机中Sequence对应的电压矢量图显示正常
5、检查web页面中相电压相电压V0(零序)，V1(正序)，V2(负序)测量模值和序分量角度正确，Sequence对应的电压矢量图显示正常</t>
    <phoneticPr fontId="10" type="noConversion"/>
  </si>
  <si>
    <t>3E4w y Y接线方式，电表设置负向序系统(A-&gt;C-&gt;B), 3相电流相角分别为0°、240°、120°，电流分别为5A、5A、5A，系统的I0(零序)，I1(正序)，I2(负序)测量模值和序分量角度正确</t>
  </si>
  <si>
    <t>3、用户user1的I0(零序)，I1(正序)，I2(负序)测量模值为：0.000,0.000，5.000
I0(零序)，I1(正序)，I2(负序)测量角度分别为：0.00°，0.00°，0.00°
4、检查上位机中Sequence对应的电压矢量图显示正常，电流矢量数据正确</t>
    <phoneticPr fontId="10" type="noConversion"/>
  </si>
  <si>
    <t>3E4w y Y接线方式， 电表设置正向序(A-&gt;B-&gt;C), user1对应3路电流,电流相角分别为0°、120°、240°，相电流分别为0A、4A、4A，系统I0(零序)，I1(正序)，I2(负序)测量模值和序分量角度正确</t>
  </si>
  <si>
    <t>1、连接AcuRev1320电表到Acuview2上，连接状态为connected
2、系统对应1路电流,电流相角分别为0°、120°、240°，相电流分别为4A、0A、0A
3、上位机上用户user1的I0(零序)，I1(正序)，I2(负序)测量模值和序分量角度是否正确
4、检查上位机中Sequence对应的电压矢量图显示是否正常
5、检查web页面中相电压相电压V0(零序)，V1(正序)，V2(负序)测量模值和序分量角度是否正确，Sequence对应的电压矢量图显示是否正常</t>
    <phoneticPr fontId="10" type="noConversion"/>
  </si>
  <si>
    <t>3、上位机上用户user1的I0(零序)，I1(正序)，I2(负序)测量模值为："-" "-" "-"
I0(零序):，I1(正序)，I2(负序)测量角度分别为："-"  "-"  "-"
4、检查上位机中Sequence对应的电压矢量图无显示
5、检查web页面中相电压相电压V0(零序)，V1(正序)，V2(负序)测量模值和序分量角度是否与上位机保持一致，Sequence对应的电压矢量图无显示</t>
    <phoneticPr fontId="10" type="noConversion"/>
  </si>
  <si>
    <t>3E4w y Y接线方式，系统对应3路电流,电流相角分别为0°、120°、240°，相电流分别为0A、0A、0A,系统的I0，I1，I2测量值全为0</t>
  </si>
  <si>
    <t>3、用户user的I0，I1，I2测量值全为0，CUF 为0
备注:  不加电流的时候，用户的序分量默认值什么？ 是0</t>
    <phoneticPr fontId="10" type="noConversion"/>
  </si>
  <si>
    <t>Function_AcuRev1320_009_03_case8</t>
    <phoneticPr fontId="10" type="noConversion"/>
  </si>
  <si>
    <t>3E4w y Y接线方式，电表设置正向序(A-&gt;B-&gt;C), 系统对应3路电流,电流相角分别为0°、120°、0°，电流分别为4A、4A、4A, 系统的I0(零序)，I1(正序)，I2(负序)测量模值和序分量角度正确</t>
  </si>
  <si>
    <t>Function_AcuRev1320_009_03_case9</t>
    <phoneticPr fontId="10" type="noConversion"/>
  </si>
  <si>
    <t>1、连接AcuRev1320电表到Acuview2上，连接状态为connected
2、系统对应3路电流,电流相角分别为0°、0°、0°，电流分别为4A、4A、4A
3、用户user1的I0(零序)，I1(正序)，I2(负序)测量模值和序分量角度是否正确</t>
    <phoneticPr fontId="10" type="noConversion"/>
  </si>
  <si>
    <t xml:space="preserve">2E3p3w Delta接线方式， user1对应2路电流,电流相角分别为30°,120°，电流分别为2A,4A, 上位机和HMI上用户user1的I0(零序)，I1(正序)，I2(负序)测量模值和序分量角度正确
</t>
    <phoneticPr fontId="10" type="noConversion"/>
  </si>
  <si>
    <t>3E4w y Delta接线方式， 3路电流,电流相角分别为0°,240°，120°，电流分别为2A,3A,4A, 上位机和HMI上用户系统的I0(零序)，I1(正序)，I2(负序)测量模值和序分量角度正确</t>
  </si>
  <si>
    <t>Function_AcuRev1320_009_03_case15</t>
    <phoneticPr fontId="10" type="noConversion"/>
  </si>
  <si>
    <t>3E4w y Y接线方式，电表设置正向序(A-&gt;B-&gt;C),  user1对应3路电流，电流相位角30°、120°、240°，电流5A、5A、5A，用户user1的I0(零序)，I1(正序)，I2(负序)测量模值和序分量角度正确</t>
  </si>
  <si>
    <t>Function_AcuRev1320_010_01_case1</t>
    <phoneticPr fontId="10" type="noConversion"/>
  </si>
  <si>
    <t>CT选型5A/333mV，3E4w y输入(A&amp;B&amp;C相)电流均为0.05A，ABC电压均为347V,电压电流相角ϕ差为0°，接入源负载10分钟，测量A&amp;B&amp;C的、系统、W_p、W_q、W_s对应（Import、Export、Net、Total），电能精度满足0.2%</t>
  </si>
  <si>
    <t>CT选型5A/333mV，3E4w y输入(A&amp;B&amp;C相)电流均为0.15A，ABC电压均为347V,电压电流相角ϕ差为0°，接入源负载10分钟，测量A&amp;B&amp;C的、系统、W_p、W_q、W_s对应（Import、Export、Net、Total），电能精度满足0.2%</t>
  </si>
  <si>
    <t>CT选型5A/333mV，3E4w y输入(A&amp;B&amp;C相)电流均为0.25A，ABC电压均为69V,电压电流相角ϕ差为0°，接入源负载10分钟，测量A&amp;B&amp;C的、系统、W_p、W_q、W_s对应（Import、Export、Net、Total），电能精度满足0.1%</t>
  </si>
  <si>
    <t>CT选型5A/333mV，3E4w y输入(A&amp;B&amp;C相)电流均为3.5A，ABC电压均为69V,电压电流相角ϕ差为0°，接入源负载10分钟，测量A&amp;B&amp;C的、系统、W_p、W_q、W_s对应（Import、Export、Net、Total），电能精度满足0.1%</t>
  </si>
  <si>
    <t>CT选型5A/333mV，3E4w y输入(A&amp;B&amp;C相)电流均为6A，ABC电压均为69V,电压电流相角ϕ差为0°，接入源负载10分钟，测量A&amp;B&amp;C的、系统、W_p、W_q、W_s对应（Import、Export、Net、Total），电能精度满足0.1%</t>
  </si>
  <si>
    <t>CT选型5A/333mV，3E4w y输入(A&amp;B&amp;C相)电流均为0.1A，ABC电压均为120V,电压电流相角ϕ差为60°，接入源负载10分钟，测量A&amp;B&amp;C的、系统、W_p、W_q、W_s对应（Import、Export、Net、Total），电能精度满足0.25%</t>
  </si>
  <si>
    <t>CT选型5A/333mV，3E4w y输入(A&amp;B&amp;C相)电流均为0.3A，ABC电压均为120V,电压电流相角ϕ差为60°，接入源负载10分钟，测量A&amp;B&amp;C的、系统、W_p、W_q、W_s对应（Import、Export、Net、Total），电能精度满足0.25%</t>
  </si>
  <si>
    <t>CT选型5A/333mV，3E4w y输入(A&amp;B&amp;C相)电流均为0.1A，ABC电压均为69V,电压电流相角ϕ差为143.13°，接入源负载10分钟，测量A&amp;B&amp;C的、系统、W_p、W_q、W_s对应（Import、Export、Net、Total），电能精度满足0.25%</t>
  </si>
  <si>
    <t>CT选型5A/333mV，3E4w y输入(A&amp;B&amp;C相)电流均为0.3A，ABC电压均为69V,电压电流相角ϕ差为143.13°，接入源负载10分钟，测量A&amp;B&amp;C的、系统、W_p、W_q、W_s对应（Import、Export、Net、Total），电能精度满足0.25%</t>
  </si>
  <si>
    <t>CT选型5A/333mV，3E4w y输入(A&amp;B&amp;C相)电流均为0.5A，ABC电压均为120V,电压电流相角ϕ差为60°，接入源负载10分钟，测量A&amp;B&amp;C的、系统、W_p、W_q、W_s对应（Import、Export、Net、Total），电能精度满足0.15%</t>
  </si>
  <si>
    <t>CT选型5A/333mV，3E4w y输入(A&amp;B&amp;C相)电流均为3.5A，ABC电压均为120V,电压电流相角ϕ差为60°，接入源负载10分钟，测量A&amp;B&amp;C的、系统、W_p、W_q、W_s对应（Import、Export、Net、Total），电能精度满足0.15%</t>
  </si>
  <si>
    <t>CT选型5A/333mV，3E4w y输入(A&amp;B&amp;C相)电流均为6A，ABC电压均为120V,电压电流相角ϕ差为60°，接入源负载10分钟，测量A&amp;B&amp;C的、系统、W_p、W_q、W_s对应（Import、Export、Net、Total），电能精度满足0.15%</t>
  </si>
  <si>
    <t>CT选型5A/333mV，3E4w y输入(A&amp;B&amp;C相)电流均为0.5A，ABC电压均为69V,电压电流相角ϕ差为143.13°，接入源负载10分钟，测量A&amp;B&amp;C的、系统、W_p、W_q、W_s对应（Import、Export、Net、Total），电能精度满足0.15%</t>
  </si>
  <si>
    <t>CT选型5A/333mV，3E4w y输入(A&amp;B&amp;C相)电流均为3.5A，ABC电压均为69V,电压电流相角ϕ差为143.13°，接入源负载10分钟，测量A&amp;B&amp;C的、系统、W_p、W_q、W_s对应（Import、Export、Net、Total），电能精度满足0.15%</t>
  </si>
  <si>
    <t>Function_AcuRev1320_010_01_case15</t>
    <phoneticPr fontId="10" type="noConversion"/>
  </si>
  <si>
    <t>CT选型5A/333mV，3E4w y输入(A&amp;B&amp;C相)电流均为6A，ABC电压均为69V,电压电流相角ϕ差为143.13°，接入源负载10分钟，测量A&amp;B&amp;C的、系统、W_p、W_q、W_s对应（Import、Export、Net、Total），电能精度满足0.15%</t>
  </si>
  <si>
    <t>1、连接AcuRev1320电表到Acuview2上，连接状态为connected
2、重置用户电能数据
3、(A&amp;B&amp;C相)电流为6A，ABC电压均69V,电压电流相角差143.13°
4、等待10mins。
5、上位机上和电表上检查A&amp;B&amp;C相、系统W_p、W_q、W_s对应（Import、Export、Net、Total）电能精度是否满足0.15%</t>
    <phoneticPr fontId="10" type="noConversion"/>
  </si>
  <si>
    <t>CT选型5A/333mV，3E4w y_DELTA源A、B、C分别输入207.8V,120V,120V,电压夹角分别为330°，240°，60°，电流输入值分别为5A,角度分别为330°，210°，90°，接入源负载10分钟，测量系统W_p、W_q、W_s对应（Import、Export、Net、Total）</t>
    <phoneticPr fontId="10" type="noConversion"/>
  </si>
  <si>
    <t>1、Acuview2上位机
2、网线/RTU串口线
3、AcuRev1320电表
4、接线方式3E4w y_DELTA</t>
  </si>
  <si>
    <t>5、上位机上和电表上检查系统W_p、W_q、W_s对应（Import、Export、Net、Total）电能精度满足0.1%
6、查看web页面中energy界面内energy相关数据与上位机及电表一致，且数据准确
备注: modbus表中能量参数有55个，测试时候需要借助Excel公式计算和上位机及电表上数据比对。</t>
    <phoneticPr fontId="10" type="noConversion"/>
  </si>
  <si>
    <t>CT选型5A/333mV，3E4w y_DELTA源A、B、C分别输入207.8V,120V,120V,电压夹角分别为330°，240°，60°，电流输入值分别为5A,角度分别为270°，150°，30°，接入源负载10分钟，测量系统W_p、W_q、W_s对应（Import、Export、Net、Total）</t>
  </si>
  <si>
    <t>CT选型5A/333mV，3E4w y_DELTA源A、B、C分别输入207.8V,120V,120V,电压夹角分别为330°，240°，60°，电流输入值分别为5A,角度分别为210°，90°，330°，接入源负载10分钟，测量系统W_p、W_q、W_s对应（Import、Export、Net、Total）</t>
  </si>
  <si>
    <t>1、连接AcuRev1320电表到Acuview2上，连接状态为connected
2、重置用户电能数据
3、(A&amp;C相)电流为(4A、4A)，Vab&amp;Vbc为120V、120V,电压电流相角差30°。
4、等待10mins。
5、上位机上和电表上检查A&amp;C相、系统的W_p、W_q、W_s对应（Import、Export、Net、Total）电能精度是否满足0.15%
6、查看web页面中energy界面内energy相关数据是否与上位机及电表一致，且数据准确</t>
    <phoneticPr fontId="10" type="noConversion"/>
  </si>
  <si>
    <t>CT选型5A/333mV, 1E1p2w输入A相电流均为0.05A，A相电压均为347V, 电压电流相角ϕ差为0°，接入源负载10分钟，测量A的、系统W_p、W_q、W_s对应（Import、Export、Net、Total），电能精度满足0.2%</t>
    <phoneticPr fontId="10" type="noConversion"/>
  </si>
  <si>
    <t>CT选型20A/100mA，3E4w y输入(A&amp;B&amp;C相)电流为0.16A，ABC电压均为347V,电压电流相角差为0°，上位机配置对应user1,测量A&amp;B&amp;C的、系统W_p、W_q、W_s对应（Import、Export、Net、Total），电能精度满足0.2%</t>
  </si>
  <si>
    <t>CT选型20A/100mA，3E4w y输入(A&amp;B&amp;C相)电流为0.5A，ABC电压均为347V,电压电流相角差为0°，测量A&amp;B&amp;C的、系统W_p、W_q、W_s对应（Import、Export、Net、Total），电能精度满足0.2%</t>
  </si>
  <si>
    <t>CT选型20A/100mA，3E4w y输入(A&amp;B&amp;C相)电流为0.8A，ABC电压均为69V,电压电流相角差为0°，测量A&amp;B&amp;C的、系统W_p、W_q、W_s对应（Import、Export、Net、Total），电能精度满足0.2%</t>
  </si>
  <si>
    <t>CT选型20A/100mA，3E4w y输入(A&amp;B&amp;C相)电流为15A，ABC电压均为69V,电压电流相角差为0°，测量A&amp;B&amp;C的、系统W_p、W_q、W_s对应（Import、Export、Net、Total），电能精度满足0.1%</t>
  </si>
  <si>
    <t>CT选型20A/100mA，3E4w y输入(A&amp;B&amp;C相)电流为19.2A，ABC电压均为69V,电压电流相角差为0°，测量A&amp;B&amp;C的、系统W_p、W_q、W_s对应（Import、Export、Net、Total），电能精度满足0.1%</t>
  </si>
  <si>
    <t>CT选型20A/100mA，3E4w y输入(A&amp;B&amp;C相)电流为0.32A，ABC电压均为120V,电压电流相角差为60°，测量A&amp;B&amp;C的、系统W_p、W_q、W_s对应（Import、Export、Net、Total），电能精度满足0.25%</t>
  </si>
  <si>
    <t>CT选型20A/100mA，3E4w y输入(A&amp;B&amp;C相)电流为1.5A，ABC电压均为120V,电压电流相角差为60°，测量A&amp;B&amp;C的、系统W_p、W_q、W_s对应（Import、Export、Net、Total），电能精度满足0.25%</t>
  </si>
  <si>
    <t>CT选型20A/100mA，3E4w y输入(A&amp;B&amp;C相)电流为0.32A，ABC电压均为69V,电压电流相角差为143.13°，测量A&amp;B&amp;C的、系统W_p、W_q、W_s对应（Import、Export、Net、Total），电能精度满足0.25%</t>
  </si>
  <si>
    <t>CT选型20A/100mA，3E4w y输入(A&amp;B&amp;C相)电流为1.5A，ABC电压均为69V,电压电流相角差为143.13°，测量A&amp;B&amp;C的、系统W_p、W_q、W_s对应（Import、Export、Net、Total），电能精度满足0.25%</t>
  </si>
  <si>
    <t>CT选型20A/100mA，3E4w y输入(A&amp;B&amp;C相)电流为1.6A，ABC电压均为120V,电压电流相角差为60°，测量A&amp;B&amp;C的、系统W_p、W_q、W_s对应（Import、Export、Net、Total），电能精度满足0.25%</t>
  </si>
  <si>
    <t>CT选型20A/100mA，3E4w y输入(A&amp;B&amp;C相)电流为15A，ABC电压均为120V,电压电流相角差为60°，测量A&amp;B&amp;C的、系统W_p、W_q、W_s对应（Import、Export、Net、Total），电能精度满足0.15%</t>
  </si>
  <si>
    <t>CT选型20A/100mA，3E4w y输入(A&amp;B&amp;C相)电流为19.2A，ABC电压均为120V,电压电流相角差为60°，测量A&amp;B&amp;C的、系统W_p、W_q、W_s对应（Import、Export、Net、Total），电能精度满足0.15%</t>
  </si>
  <si>
    <t>CT选型20A/100mA，3E4w y输入(A&amp;B&amp;C相)电流为1.6A，ABC电压均为69V,电压电流相角差为143.13°，测量A&amp;B&amp;C的、系统W_p、W_q、W_s对应（Import、Export、Net、Total），电能精度满足0.25%</t>
  </si>
  <si>
    <t>CT选型20A/100mA，3E4w y输入(A&amp;B&amp;C相)电流为15A，ABC电压均为69V,电压电流相角差为143.13°，测量A&amp;B&amp;C的、系统W_p、W_q、W_s对应（Import、Export、Net、Total），电能精度满足0.15%</t>
  </si>
  <si>
    <t>CT选型20A/100mA，3E4w y输入(A&amp;B&amp;C相)电流为19.2A，ABC电压均为69V,电压电流相角差为143.13°，测量A&amp;B&amp;C的、系统W_p、W_q、W_s对应（Import、Export、Net、Total），电能精度满足0.25%</t>
  </si>
  <si>
    <t>CT选型20A/100mA，3E4w y输入(A&amp;B&amp;C相)电流为0A，ABC电压均为120V,电压电流相角差为0°，测量A&amp;B&amp;C的、系统W_p、W_q、W_s对应（Import、Export、Net、Total）</t>
  </si>
  <si>
    <t>CT选型5A/333mV, 接线方式3E4w y,三相电压69V，电流2.5A,电压电流相角差0°，Energy pulse constant设置为5000，Pulse LED parameter selection为系统正向有功电能，能量脉冲精度满足0.1%</t>
  </si>
  <si>
    <t>1、Acuview2上位机
2、网线/RTU串口线
3、AcuRev1320电表
4、接线方式3E4w y
5、Pulse LED width：20</t>
  </si>
  <si>
    <t>1、CT选型5A/333mV，连接AcuRev1320电表到Acuview2上，连接状态为connected
2、接线方式3E4w y,三相电压69V，电流2.5A,电压电流相角差0°，Energy pulse constant设置为5000，Pulse LED parameter selection为系统正向有功电能
3、检查系统正向有功电能脉冲精度是否满足0.1%</t>
  </si>
  <si>
    <t>CT选型5A/333mV, 接线方式3E4w y,三相电压120V，电流2.5A,电压电流相角差60°，Energy pulse constant设置为5000，Pulse LED parameter selection为系统正向有功电能，能量脉冲精度满足0.15%</t>
  </si>
  <si>
    <t>1、CT选型5A/333mV，连接AcuRev1320电表到Acuview2上，连接状态为connected
2、接线方式3E4w y,三相电压120V，电流2.5A,电压电流相角差60°，Energy pulse constant设置为5000，Pulse LED parameter selection为系统正向有功电能
3、检查系统正向有功电能脉冲精度是否满足0.15%</t>
  </si>
  <si>
    <t>CT选型5A/333mV, 接线方式3E4w y,三相电压347V，电流2.5A,电压电流相角差143.13°，Energy pulse constant设置为5000，Pulse LED parameter selection为系统正向有功电能，能量脉冲精度满足0.15%</t>
  </si>
  <si>
    <t>1、CT选型5A/333mV，连接AcuRev1320电表到Acuview2上，连接状态为connected
2、接线方式3E4w y,三相电压347V，电流2.5A,电压电流相角差143.13°，Energy pulse constant设置为5000，Pulse LED parameter selection为系统正向有功电能
3、检查系统正向有功电能脉冲精度是否满足0.15%</t>
  </si>
  <si>
    <t>CT选型5A/333mV, 接线方式3E4w y,三相电压347V，电流6A,电压电流相角差0°，Energy pulse constant设置为5000，Pulse LED parameter selection为系统正向有功电能，能量脉冲精度满足0.1%</t>
  </si>
  <si>
    <t>1、CT选型5A/333mV，连接AcuRev1320电表到Acuview2上，连接状态为connected
2、接线方式3E4w y,三相电压347V，电流6A,电压电流相角差0°，Energy pulse constant设置为5000，Pulse LED parameter selection为系统正向有功电能
3、检查系统正向有功电能脉冲精度是否满足0.1%</t>
  </si>
  <si>
    <t>CT选型5A/333mV, 接线方式3E4w y,三相电压347V，电流6A,电压电流相角差60°，Energy pulse constant设置为5000，Pulse LED parameter selection为系统正向有功电能，能量脉冲精度满足0.15%</t>
  </si>
  <si>
    <t>1、CT选型5A/333mV，连接AcuRev1320电表到Acuview2上，连接状态为connected
2、接线方式3E4w y,三相电压347V，电流6A,电压电流相角差60°，Energy pulse constant设置为5000，Pulse LED parameter selection为系统正向有功电能
3、检查系统正向有功电能脉冲精度是否满足0.15%</t>
  </si>
  <si>
    <t>CT选型5A/333mV, 接线方式3E4w y,三相电压347V，电流6A,电压电流相角差143.13°，Energy pulse constant设置为5000，Pulse LED parameter selection为系统正向有功电能，能量脉冲精度满足0.15%</t>
  </si>
  <si>
    <t>1、CT选型5A/333mV，连接AcuRev1320电表到Acuview2上，连接状态为connected
2、接线方式3E4w y,三相电压347V，电流6A,电压电流相角差143.13°，Energy pulse constant设置为5000，Pulse LED parameter selection为系统正向有功电能
3、检查系统正向有功电能脉冲精度是否满足0.15%</t>
  </si>
  <si>
    <t>CT选型20A/100mA, 接线方式3E4w y,三相电压69V，电流8A,电压电流相角差0°，Energy pulse constant设置为1500，Pulse LED parameter selection为系统正向有功电能，能量脉冲精度满足0.1%</t>
  </si>
  <si>
    <t>1、CT选型5A/333mV，连接AcuRev1320电表到Acuview2上，连接状态为connected
2、接线方式3E4w y,三相电压69V，电流8A,电压电流相角差0°，Energy pulse constant设置为1500，Pulse LED parameter selection为系统正向有功电能
3、检查系统正向有功电能脉冲精度是否满足0.1%</t>
  </si>
  <si>
    <t>CT选型20A/100mA, 接线方式3E4w y,三相电压120V，电流8A,电压电流相角差60°，Energy pulse constant设置为1500，Pulse LED parameter selection为系统正向有功电能，能量脉冲精度满足0.15%</t>
  </si>
  <si>
    <t>1、CT选型5A/333mV，连接AcuRev1320电表到Acuview2上，连接状态为connected
2、接线方式3E4w y,三相电压120V，电流8A,电压电流相角差60°，Energy pulse constant设置为1500，Pulse LED parameter selection为系统正向有功电能
3、检查系统正向有功电能脉冲精度是否满足0.15%</t>
  </si>
  <si>
    <t>CT选型20A/100mA, 接线方式3E4w y,三相电压347V，电流8A,电压电流相角差143.13°，Energy pulse constant设置为1500，Pulse LED parameter selection为系统正向有功电能，能量脉冲精度满足0.15%</t>
  </si>
  <si>
    <t>1、CT选型5A/333mV，连接AcuRev1320电表到Acuview2上，连接状态为connected
2、接线方式3E4w y,三相电压347V，电流8A,电压电流相角差143.13°，Energy pulse constant设置为1500，Pulse LED parameter selection为系统正向有功电能
3、检查系统正向有功电能脉冲精度是否满足0.15%</t>
  </si>
  <si>
    <t>CT选型20A/100mA, 接线方式3E4w y,三相电压347V，电流19.2A,电压电流相角差0°，Energy pulse constant设置为1500，Pulse LED parameter selection为系统正向有功电能，能量脉冲精度满足0.1%</t>
  </si>
  <si>
    <t>1、CT选型5A/333mV，连接AcuRev1320电表到Acuview2上，连接状态为connected
2、接线方式3E4w y,三相电压347V，电流19.2A,电压电流相角差0°，Energy pulse constant设置为1500，Pulse LED parameter selection为系统正向有功电能
3、检查系统正向有功电能脉冲精度是否满足0.1%</t>
  </si>
  <si>
    <t>CT选型20A/100mA, 接线方式3E4w y,三相电压347V，电流19.2A,电压电流相角差60°，Energy pulse constant设置为1500，Pulse LED parameter selection为系统正向有功电能，能量脉冲精度满足0.15%</t>
  </si>
  <si>
    <t>1、CT选型5A/333mV，连接AcuRev1320电表到Acuview2上，连接状态为connected
2、接线方式3E4w y,三相电压347V，电流19.2A,电压电流相角差60°，Energy pulse constant设置为1500，Pulse LED parameter selection为系统正向有功电能
3、检查系统正向有功电能脉冲精度是否满足0.15%</t>
  </si>
  <si>
    <t>CT选型20A/100mA, 接线方式3E4w y,三相电压347V，电流19.2A,电压电流相角差143.13°，Energy pulse constant设置为1500，Pulse LED parameter selection为系统正向有功电能，能量脉冲精度满足0.15%</t>
  </si>
  <si>
    <t>1、CT选型5A/333mV，连接AcuRev1320电表到Acuview2上，连接状态为connected
2、接线方式3E4w y,三相电压347V，电流19.2A,电压电流相角差143.13°，Energy pulse constant设置为1500，Pulse LED parameter selection为系统正向有功电能
3、检查系统正向有功电能脉冲精度是否满足0.15%</t>
  </si>
  <si>
    <t>CT类型为5A/333mV，接线方式为3e4w y，Independent Input channel 配置为Enable，Summation 2配置为input4，对应UA，源输入UA电压为69V，电流为0.05A，电压电流相角差0°，Energy pulse constant设置为100000，Pulse LED parameter selection为Summation2正向有功电能，能量脉冲精度满足0.2%</t>
  </si>
  <si>
    <t>四象限电能精度测试</t>
  </si>
  <si>
    <t>Function_AcuRev1320_010_04_case1</t>
  </si>
  <si>
    <t>CT类型为5A/333mV，接线方式为3e4w y，A、B、C相电压为220V，电流为5A，压流角为30°，接入源负载10分钟，检查energy的四个象限的能量累计情况</t>
  </si>
  <si>
    <t>1、连接AcuRev1320电表到Acuview2上，连接状态为connected
2、重置用户电能数据
3、(A&amp;B&amp;C相)电流为5A，ABC电压均220V,电压电流相角差30°
4、等待10mins。
5、上位机上和电表上检查A&amp;B&amp;C相、系统四象限的能量</t>
  </si>
  <si>
    <t>5、 上位机和电表HMI上检查A、B、C、系统的能量累计在第一象限</t>
  </si>
  <si>
    <t>Function_AcuRev1320_010_04_case2</t>
  </si>
  <si>
    <t>CT类型为5A/333mV，接线方式为3e4w y，A、B、C相电压为220V，电流为5A，压流角为120°，接入源负载10分钟，检查energy的四个象限的能量累计情况</t>
  </si>
  <si>
    <t>1、连接AcuRev1320电表到Acuview2上，连接状态为connected
2、重置用户电能数据
3、(A&amp;B&amp;C相)电流为5A，ABC电压均220V,电压电流相角差120°
4、等待10mins。
5、上位机上和电表上检查A&amp;B&amp;C相、系统四象限的能量</t>
  </si>
  <si>
    <t>5、 上位机和电表HMI上检查A、B、C、系统的能量累计在第二象限</t>
  </si>
  <si>
    <t>Function_AcuRev1320_010_04_case3</t>
  </si>
  <si>
    <t>CT类型为5A/333mV，接线方式为3e4w y，A、B、C相电压为220V，电流为5A，压流角为210°，接入源负载10分钟，检查energy的四个象限的能量累计情况</t>
  </si>
  <si>
    <t>1、连接AcuRev1320电表到Acuview2上，连接状态为connected
2、重置用户电能数据
3、(A&amp;B&amp;C相)电流为5A，ABC电压均220V,电压电流相角差210°
4、等待10mins。
5、上位机上和电表上检查A&amp;B&amp;C相、系统四象限的能量</t>
  </si>
  <si>
    <t>5、 上位机和电表HMI上检查A、B、C、系统的能量累计在第三象限</t>
  </si>
  <si>
    <t>Function_AcuRev1320_010_04_case4</t>
  </si>
  <si>
    <t>CT类型为5A/333mV，接线方式为3e4w y，A、B、C相电压为220V，电流为5A，压流角为300°，接入源负载10分钟，检查energy的四个象限的能量累计情况</t>
  </si>
  <si>
    <t>1、连接AcuRev1320电表到Acuview2上，连接状态为connected
2、重置用户电能数据
3、(A&amp;B&amp;C相)电流为5A，ABC电压均220V,电压电流相角差300°
4、等待10mins。
5、上位机上和电表上检查A&amp;B&amp;C相、系统四象限的能量</t>
  </si>
  <si>
    <t>5、 上位机和电表HMI上检查A、B、C、系统的能量累计在第四象限</t>
  </si>
  <si>
    <t>Function_AcuRev1320_010_04_case5</t>
  </si>
  <si>
    <t>CT类型为5A/333mV，接线方式为3e4w y，A、B、C相电压为220V，电流为5A，压流角为0°，接入源负载10分钟，检查energy的四个象限的能量累计情况</t>
  </si>
  <si>
    <t>1、连接AcuRev1320电表到Acuview2上，连接状态为connected
2、重置用户电能数据
3、(A&amp;B&amp;C相)电流为5A，ABC电压均220V,电压电流相角差0°
4、等待10mins。
5、上位机上和电表上检查A&amp;B&amp;C相、系统四象限的能量</t>
  </si>
  <si>
    <t>5、 上位机和电表HMI上检查A、B、C、系统的有功能量累计在第一象限或第四象限，角度存在上下波动；无功能量始终为0</t>
  </si>
  <si>
    <t>Function_AcuRev1320_010_04_case6</t>
  </si>
  <si>
    <t>CT类型为5A/333mV，接线方式为3e4w y，A、B、C相电压为220V，电流为5A，压流角为180°，接入源负载10分钟，检查energy的四个象限的能量累计情况</t>
  </si>
  <si>
    <t>1、连接AcuRev1320电表到Acuview2上，连接状态为connected
2、重置用户电能数据
3、(A&amp;B&amp;C相)电流为5A，ABC电压均220V,电压电流相角差180°
4、等待10mins。
5、上位机上和电表上检查A&amp;B&amp;C相、系统四象限的能量</t>
  </si>
  <si>
    <t>5、 上位机和电表HMI上检查A、B、C、系统的有能量累计在第二象限或第三象限，角度存在上下波动；无功能量始终为0</t>
  </si>
  <si>
    <t>Function_AcuRev1320_010_04_case11</t>
  </si>
  <si>
    <t>CT类型为5A/333mV，接线方式为3e4w y，A、B、C相电压为220V，电流为5A，压流角为90°，接入源负载10分钟，检查energy的四个象限的能量累计情况</t>
  </si>
  <si>
    <t>1、连接AcuRev1320电表到Acuview2上，连接状态为connected
2、重置用户电能数据
3、(A&amp;B&amp;C相)电流为5A，ABC电压均220V,电压电流相角差90°
4、等待10mins。
5、上位机上和电表上检查A&amp;B&amp;C相、系统四象限的能量</t>
  </si>
  <si>
    <t>5、 上位机和电表HMI上检查A、B、C、系统的无功能量累计在第一象限或第二象限，角度存在上下波动；有功能量始终为0</t>
  </si>
  <si>
    <t>Function_AcuRev1320_010_04_case12</t>
  </si>
  <si>
    <t>CT类型为5A/333mV，接线方式为3e4w y，A、B、C相电压为220V，电流为5A，压流角为270°，接入源负载10分钟，检查energy的四个象限的能量累计情况</t>
    <phoneticPr fontId="10" type="noConversion"/>
  </si>
  <si>
    <t>1、连接AcuRev1320电表到Acuview2上，连接状态为connected
2、重置用户电能数据
3、(A&amp;B&amp;C相)电流为5A，ABC电压均220V,电压电流相角差270°
4、等待10mins。
5、上位机上和电表上检查A&amp;B&amp;C相、系统四象限的能量</t>
    <phoneticPr fontId="10" type="noConversion"/>
  </si>
  <si>
    <t>5、 上位机和电表HMI上检查A、B、C、系统的无功能量累计在第三象限或第四象限，角度存在上下波动；有功能量始终为0</t>
  </si>
  <si>
    <t>Energy Calculation Method</t>
    <phoneticPr fontId="10" type="noConversion"/>
  </si>
  <si>
    <t>Function_AcuRev1320_010_05_case1</t>
    <phoneticPr fontId="10" type="noConversion"/>
  </si>
  <si>
    <t>接线方式3E4w y，Energy Calculation Method——Generic验证，满足ANSI C12.1-2024：4.7.4.2</t>
    <phoneticPr fontId="10" type="noConversion"/>
  </si>
  <si>
    <t>1、连接AcuRev1320电表到Acuview2上，连接状态为connected，
2、设置Energy Calculation Method：Generic
3、(A&amp;B&amp;C相)电流为2A，ABC电压均120V,电压电流相角差0°
计算5分钟标准能量：E1=U*I*cosθ*0.08333*0.98051
4、添加谐波设置：
3次谐波：电压谐波含量：3.8%，相位180：电流谐波含量：30%，相位0
5次谐波：电压谐波含量：2.4%，相位180：电流谐波含量：18%，相位0
7次谐波：电压谐波含量：1.7%，相位180：电流谐波含量：14%，相位0
11次谐波：电压谐波含量：1.1%，相位180：电流谐波含量：9%，相位0
13次谐波：电压谐波含量：0.8%，相位180：电流谐波含量：5%，相位0
5、重置用户电能数据
6、等待5mins。
7、上位机上和电表上检查A&amp;B&amp;C相、系统的能量E2
8、比较E1与E2值（E2-E1）/E1。满足精度±0.3%</t>
    <phoneticPr fontId="10" type="noConversion"/>
  </si>
  <si>
    <t>8、比较E1与E2值（E2-E1）/E1。满足精度±0.3%</t>
    <phoneticPr fontId="10" type="noConversion"/>
  </si>
  <si>
    <t>Function_AcuRev1320_010_05_case2</t>
  </si>
  <si>
    <t>接线方式3E4w y，Energy Calculation Method——Fundamental验证，条件：ANSI C12.1-2024：4.7.4.2</t>
    <phoneticPr fontId="10" type="noConversion"/>
  </si>
  <si>
    <t>1、连接AcuRev1320电表到Acuview2上，连接状态为connected，
2、设置Energy Calculation Method：Fundamenta
3、(A&amp;B&amp;C相)电流为2A，ABC电压均120V,电压电流相角差0°
计算5分钟标准能量：E1=U*I*cosθ*0.08333
4、添加谐波设置：
3次谐波：电压谐波含量：3.8%，相位180：电流谐波含量：30%，相位0
5次谐波：电压谐波含量：2.4%，相位180：电流谐波含量：18%，相位0
7次谐波：电压谐波含量：1.7%，相位180：电流谐波含量：14%，相位0
11次谐波：电压谐波含量：1.1%，相位180：电流谐波含量：9%，相位0
13次谐波：电压谐波含量：0.8%，相位180：电流谐波含量：5%，相位0
5、重置用户电能数据
6、等待5mins。
7、上位机上和电表上检查A&amp;B&amp;C相、系统的能量E2
8、比较E1与E2值（E2-E1）/E1。满足精度±0.2%</t>
    <phoneticPr fontId="10" type="noConversion"/>
  </si>
  <si>
    <t>8、比较E1与E2值（E2-E1）/E1。满足精度±0.2%</t>
    <phoneticPr fontId="10" type="noConversion"/>
  </si>
  <si>
    <t>Function_AcuRev1320_010_05_case3</t>
  </si>
  <si>
    <t>接线方式3E4w y，Energy Calculation Method——Generic验证，满足ANSI C12.1-2024：4.7.4.3</t>
    <phoneticPr fontId="10" type="noConversion"/>
  </si>
  <si>
    <t>1、连接AcuRev1320电表到Acuview2上，连接状态为connected，
2、设置Energy Calculation Method：Generic
3、(A&amp;B&amp;C相)电流为5A，ABC电压均120V,电压电流相角差0°
计算5分钟标准能量：E1=U*I*cosθ*0.08333*0.98051
4、添加谐波设置：
3次谐波：电压谐波含量：3.8%，相位0：电流谐波含量：30%，相位180
5次谐波：电压谐波含量：2.4%，相位180：电流谐波含量：18%，相位0
7次谐波：电压谐波含量：1.7%，相位0：电流谐波含量：14%，相位180
11次谐波：电压谐波含量：1.1%，相位0：电流谐波含量：9%，相位180
13次谐波：电压谐波含量：0.8%，相位180：电流谐波含量：5%，相位0
5、重置用户电能数据
6、等待5mins。
7、上位机上和电表上检查A&amp;B&amp;C相、系统的能量E2
8、比较E1与E2值（E2-E1）/E1。满足精度±0.3%</t>
    <phoneticPr fontId="10" type="noConversion"/>
  </si>
  <si>
    <t>Function_AcuRev1320_010_05_case4</t>
  </si>
  <si>
    <t>接线方式3E4w y，Energy Calculation Method——Fundamental验证，条件：ANSI C12.1-2024：4.7.4.3</t>
    <phoneticPr fontId="10" type="noConversion"/>
  </si>
  <si>
    <t>1、连接AcuRev1320电表到Acuview2上，连接状态为connected，
2、设置Energy Calculation Method：Fundamenta
3、(A&amp;B&amp;C相)电流为2A，ABC电压均120V,电压电流相角差0°
计算5分钟标准能量：E1=U*I*cosθ*0.08333
4、添加谐波设置：
3次谐波：电压谐波含量：3.8%，相位0：电流谐波含量：30%，相位180
5次谐波：电压谐波含量：2.4%，相位180：电流谐波含量：18%，相位0
7次谐波：电压谐波含量：1.7%，相位0：电流谐波含量：14%，相位180
11次谐波：电压谐波含量：1.1%，相位0：电流谐波含量：9%，相位180
13次谐波：电压谐波含量：0.8%，相位180：电流谐波含量：5%，相位0
5、重置用户电能数据
6、等待5mins。
7、上位机上和电表上检查A&amp;B&amp;C相、系统的能量E2
8、比较E1与E2值（E2-E1）/E1。满足精度±0.2%</t>
    <phoneticPr fontId="10" type="noConversion"/>
  </si>
  <si>
    <t>Function_AcuRev1320_010_05_case5</t>
  </si>
  <si>
    <t>接线方式3E4w y，Energy Calculation Method——Generic验证，满足ANSI C12.1-2024：4.7.4.4</t>
    <phoneticPr fontId="10" type="noConversion"/>
  </si>
  <si>
    <t>1、连接AcuRev1320电表到Acuview2上，连接状态为connected，
2、设置Energy Calculation Method：Generic
3、(A&amp;B&amp;C相)电流为2A，ABC电压均120V,电压电流相角差0°
计算5分钟标准能量：E1=U*I*cosθ*0.08333*0.94321
4、添加谐波设置：
3次谐波：电压谐波含量：3.8%，相位0：电流谐波含量：80%，相位180
5次谐波：电压谐波含量：2.4%，相位180：电流谐波含量：60%，相位0
7次谐波：电压谐波含量：1.7%，相位0：电流谐波含量：40%，相位180
9次谐波：电压谐波含量：1.5%，相位180：电流谐波含量：22%，相位0
11次谐波：电压谐波含量：1.1%，相位0：电流谐波含量：12%，相位180
13次谐波：电压谐波含量：0.8%，相位180：电流谐波含量：5%，相位0
15次谐波：电压谐波含量：0.6%，相位0：电流谐波含量：2%，相位180
17次谐波：电压谐波含量：0.4%，相位180：电流谐波含量：1%，相位0
19次谐波：电压谐波含量：0.3%，相位0：电流谐波含量：0.5%，相位180
5、重置用户电能数据
6、等待5mins。
7、上位机上和电表上检查A&amp;B&amp;C相、系统的能量E2
8、比较E1与E2值（E2-E1）/E1。满足精度±0.3%</t>
    <phoneticPr fontId="10" type="noConversion"/>
  </si>
  <si>
    <t>Function_AcuRev1320_010_05_case6</t>
  </si>
  <si>
    <t>接线方式3E4w y，Energy Calculation Method——Fundamental验证，条件：ANSI C12.1-2024：4.7.4.4</t>
    <phoneticPr fontId="10" type="noConversion"/>
  </si>
  <si>
    <t>1、连接AcuRev1320电表到Acuview2上，连接状态为connected，
2、设置Energy Calculation Method：Fundamenta
3、(A&amp;B&amp;C相)电流为2A，ABC电压均120V,电压电流相角差0°
计算5分钟标准能量：E1=U*I*cosθ*0.08333
4、添加谐波设置：
3次谐波：电压谐波含量：3.8%，相位0：电流谐波含量：80%，相位180
5次谐波：电压谐波含量：2.4%，相位180：电流谐波含量：60%，相位0
7次谐波：电压谐波含量：1.7%，相位0：电流谐波含量：40%，相位180
9次谐波：电压谐波含量：1.5%，相位180：电流谐波含量：22%，相位0
11次谐波：电压谐波含量：1.1%，相位0：电流谐波含量：12%，相位180
13次谐波：电压谐波含量：0.8%，相位180：电流谐波含量：5%，相位0
15次谐波：电压谐波含量：0.6%，相位0：电流谐波含量：2%，相位180
17次谐波：电压谐波含量：0.4%，相位180：电流谐波含量：1%，相位0
19次谐波：电压谐波含量：0.3%，相位0：电流谐波含量：0.5%，相位180
5、重置用户电能数据
6、等待5mins。
7、上位机上和电表上检查A&amp;B&amp;C相、系统的能量E2
8、比较E1与E2值（E2-E1）/E1。满足精度±0.2%</t>
    <phoneticPr fontId="10" type="noConversion"/>
  </si>
  <si>
    <t>Function_AcuRev1320_010_05_case7</t>
  </si>
  <si>
    <t>接线方式3E4w y，Energy Calculation Method——Generic验证，满足：ANSI C12.1-2024：4.7.4.5，单加电流谐波</t>
    <phoneticPr fontId="10" type="noConversion"/>
  </si>
  <si>
    <t>1、连接AcuRev1320电表到Acuview2上，连接状态为connected，
2、设置Energy Calculation Method：Generic
3、(A&amp;B&amp;C相)电流为2A，ABC电压均120V,电压电流相角差0°
计算5分钟标准能量：E1=U*I*cosθ*0.08333
4、添加谐波设置，单加电流谐波：
2次谐波：电压谐波含量：0%，相位0：电流谐波含量：5%，相位90
3次谐波：电压谐波含量：0%，相位0：电流谐波含量：18%，相位200
4次谐波：电压谐波含量：0%，相位0：电流谐波含量：10%，相位110
5次谐波：电压谐波含量：0%，相位0：电流谐波含量：66%，相位130
7次谐波：电压谐波含量：0%，相位0：电流谐波含量：50%，相位50
5、重置用户电能数据
6、等待5mins。
7、上位机上和电表上检查A&amp;B&amp;C相、系统的能量E2
8、比较E1与E2值（E2-E1）/E1。满足精度±0.2%</t>
    <phoneticPr fontId="10" type="noConversion"/>
  </si>
  <si>
    <t>Function_AcuRev1320_010_05_case8</t>
  </si>
  <si>
    <t>接线方式3E4w y，Energy Calculation Method——Generic验证，满足：ANSI C12.1-2024：4.7.4.6，单加电压谐波</t>
    <phoneticPr fontId="10" type="noConversion"/>
  </si>
  <si>
    <t>1、连接AcuRev1320电表到Acuview2上，连接状态为connected，
2、设置Energy Calculation Method：Generic
3、(A&amp;B&amp;C相)电流为2A，ABC电压均120V,电压电流相角差0°
计算5分钟标准能量：E1=U*I*cosθ*0.08333
4、添加谐波设置，单加电压谐波：
3次谐波：电压谐波含量：0%，相位0：电流谐波含量：0%，相位0
5次谐波：电压谐波含量：20%，相位155：电流谐波含量：0%，相位0
7次谐波：电压谐波含量：25%，相位155：电流谐波含量：0%，相位0
5、重置用户电能数据
6、等待5mins。
7、上位机上和电表上检查A&amp;B&amp;C相、系统的能量E2
8、比较E1与E2值（E2-E1）/E1。满足精度±0.2%</t>
    <phoneticPr fontId="10" type="noConversion"/>
  </si>
  <si>
    <t>Function_AcuRev1320_010_05_case9</t>
  </si>
  <si>
    <t>接线方式1E2w，Energy Calculation Method——Generic验证，满足ANSI C12.1-2024：4.7.4.2</t>
    <phoneticPr fontId="10" type="noConversion"/>
  </si>
  <si>
    <t>1、Acuview2上位机
2、网线/RTU串口线
3、AcuRev1320电表
4、接线方式1E2w</t>
    <phoneticPr fontId="10" type="noConversion"/>
  </si>
  <si>
    <t>1、连接AcuRev1320电表到Acuview2上，连接状态为connected，
2、设置Energy Calculation Method：Generic
3、(A&amp;B&amp;C相)电流为2A，ABC电压均120V,电压电流相角差0°
计算5分钟标准能量：E1=U*I*cosθ*0.08333*0.98051
4、添加谐波设置：
3次谐波：电压谐波含量：3.8%，相位180：电流谐波含量：30%，相位0
5次谐波：电压谐波含量：2.4%，相位180：电流谐波含量：18%，相位0
7次谐波：电压谐波含量：1.7%，相位180：电流谐波含量：14%，相位0
11次谐波：电压谐波含量：1.1%，相位180：电流谐波含量：9%，相位0
13次谐波：电压谐波含量：0.8%，相位180：电流谐波含量：5%，相位0
5、重置用户电能数据
6、等待5mins。
7、上位机上和电表上检查A相、系统的能量E2
8、比较E1与E2值（E2-E1）/E1。满足精度±0.3%</t>
    <phoneticPr fontId="10" type="noConversion"/>
  </si>
  <si>
    <t>Function_AcuRev1320_010_05_case10</t>
  </si>
  <si>
    <t>接线方式2E3w-1phase，Energy Calculation Method——Generic验证，满足ANSI C12.1-2024：4.7.4.3</t>
    <phoneticPr fontId="10" type="noConversion"/>
  </si>
  <si>
    <t>1、Acuview2上位机
2、网线/RTU串口线
3、AcuRev1320电表
4、接线方式2E3w-1phase</t>
    <phoneticPr fontId="10" type="noConversion"/>
  </si>
  <si>
    <t>1、连接AcuRev1320电表到Acuview2上，连接状态为connected，
2、设置Energy Calculation Method：Generic
3、(A&amp;B&amp;C相)电流为2A，ABC电压均120V,电压电流相角差0°
计算5分钟标准能量：E1=U*I*cosθ*0.08333*0.98051
4、添加谐波设置：
3次谐波：电压谐波含量：3.8%，相位0：电流谐波含量：30%，相位180
5次谐波：电压谐波含量：2.4%，相位180：电流谐波含量：18%，相位0
7次谐波：电压谐波含量：1.7%，相位0：电流谐波含量：14%，相位180
11次谐波：电压谐波含量：1.1%，相位0：电流谐波含量：9%，相位180
13次谐波：电压谐波含量：0.8%，相位180：电流谐波含量：5%，相位0
5、重置用户电能数据
6、等待5mins。
7、上位机上和电表上检查A&amp;C相、系统的能量E2
8、比较E1与E2值（E2-E1）/E1。满足精度±0.3%</t>
    <phoneticPr fontId="10" type="noConversion"/>
  </si>
  <si>
    <t>Function_AcuRev1320_010_05_case11</t>
  </si>
  <si>
    <t>接线方式2E3w-delta，Energy Calculation Method——Generic验证，满足ANSI C12.1-2024：4.7.4.4</t>
    <phoneticPr fontId="10" type="noConversion"/>
  </si>
  <si>
    <t>1、Acuview2上位机
2、网线/RTU串口线
3、AcuRev1320电表
4、接线方式2E3w-delta</t>
    <phoneticPr fontId="10" type="noConversion"/>
  </si>
  <si>
    <t>1、连接AcuRev1320电表到Acuview2上，连接状态为connected，
2、设置Energy Calculation Method：Generic
3、源依旧按照Y模式输电（Ua为100V，φua为0°，Ub为100V， 短接连到电表Un，φub为240°，Uc为100V，φuc为120°），上位机配2e2P3W delta接线，I_in1为4A、0°，I_in2为0A、0°，I_in3为5A、120°，同时从源上把电流的input2和input3调换输出位置），上位机测量到的Ia和Ib分别为4A 和5A， 角度φI1~2为330°，90°。
S = (Uab * Ia + Ubc * Ic) * cos(30)
P = S * cos(压流角)
P=1.350kwh
计算5分钟标准能量：E1=1.350kwh*0.08333*0.94321
4、添加谐波设置：
3次谐波：电压谐波含量：3.8%，相位0：电流谐波含量：80%，相位180
5次谐波：电压谐波含量：2.4%，相位180：电流谐波含量：60%，相位0
7次谐波：电压谐波含量：1.7%，相位0：电流谐波含量：40%，相位180
9次谐波：电压谐波含量：1.5%，相位180：电流谐波含量：22%，相位0
11次谐波：电压谐波含量：1.1%，相位0：电流谐波含量：12%，相位180
13次谐波：电压谐波含量：0.8%，相位180：电流谐波含量：5%，相位0
15次谐波：电压谐波含量：0.6%，相位0：电流谐波含量：2%，相位180
17次谐波：电压谐波含量：0.4%，相位180：电流谐波含量：1%，相位0
19次谐波：电压谐波含量：0.3%，相位0：电流谐波含量：0.5%，相位180
5、重置用户电能数据
6、等待5mins。
7、上位机上和电表上检查系统的能量E2
8、比较E1与E2值（E2-E1）/E1。满足精度±0.3%</t>
    <phoneticPr fontId="10" type="noConversion"/>
  </si>
  <si>
    <t>Function_AcuRev1320_010_05_case12</t>
  </si>
  <si>
    <t>接线方式2E3w network，Energy Calculation Method——Generic验证，满足ANSI C12.1-2024：4.7.4.2</t>
    <phoneticPr fontId="10" type="noConversion"/>
  </si>
  <si>
    <t>1、Acuview2上位机
2、网线/RTU串口线
3、AcuRev1320电表
4、接线方式2E3w network</t>
    <phoneticPr fontId="10" type="noConversion"/>
  </si>
  <si>
    <t>1、连接AcuRev1320电表到Acuview2上，连接状态为connected，
2、设置Energy Calculation Method：Generic
3、(A&amp;B&amp;C相)电流为2A，ABC电压均120V,电压电流相角差0°
计算5分钟标准能量：E1=U*I*cosθ*0.08333*0.98051
4、添加谐波设置：
3次谐波：电压谐波含量：3.8%，相位180：电流谐波含量：30%，相位0
5次谐波：电压谐波含量：2.4%，相位180：电流谐波含量：18%，相位0
7次谐波：电压谐波含量：1.7%，相位180：电流谐波含量：14%，相位0
11次谐波：电压谐波含量：1.1%，相位180：电流谐波含量：9%，相位0
13次谐波：电压谐波含量：0.8%，相位180：电流谐波含量：5%，相位0
5、重置用户电能数据
6、等待5mins。
7、上位机上和电表上检查A&amp;C相、系统的能量E2
8、比较E1与E2值（E2-E1）/E1。满足精度±0.3%</t>
    <phoneticPr fontId="10" type="noConversion"/>
  </si>
  <si>
    <t>Function_AcuRev1320_010_05_case13</t>
  </si>
  <si>
    <t>接线方式2E3w-delta，Energy Calculation Method——Generic验证，满足ANSI C12.1-2024：4.7.4.3</t>
    <phoneticPr fontId="10" type="noConversion"/>
  </si>
  <si>
    <t>1、连接AcuRev1320电表到Acuview2上，连接状态为connected，
2、设置Energy Calculation Method：Generic
3、源按照三相四线Y接线A、B、C、N分别接入电表的电压接线柱中，三相电流分别接入电表的电流接线；
源A、B、C分别输入207.8V,120V,120V,电压夹角分别为0°，270°，90°，电流输入值分别为5A,角度分别为0°，240°，120°
S = (Uab * Ia + Ubc * Ic) * cos(30)
P = S * cos(压流角)
计算5分钟标准能量：E1=2.0784kw*0.08333*0.98051
4、添加谐波设置：
3次谐波：电压谐波含量：3.8%，相位0：电流谐波含量：30%，相位180
5次谐波：电压谐波含量：2.4%，相位180：电流谐波含量：18%，相位0
7次谐波：电压谐波含量：1.7%，相位0：电流谐波含量：14%，相位180
11次谐波：电压谐波含量：1.1%，相位0：电流谐波含量：9%，相位180
13次谐波：电压谐波含量：0.8%，相位180：电流谐波含量：5%，相位0
5、重置用户电能数据
6、等待5mins。
7、上位机上和电表上检查A&amp;C相、系统的能量E2
8、比较E1与E2值（E2-E1）/E1。满足精度±0.3%</t>
    <phoneticPr fontId="10" type="noConversion"/>
  </si>
  <si>
    <t>需量测量</t>
  </si>
  <si>
    <t>Block Demand方式需量测量</t>
    <phoneticPr fontId="10" type="noConversion"/>
  </si>
  <si>
    <t>Function_AcuRev1320_011_01_case1</t>
    <phoneticPr fontId="10" type="noConversion"/>
  </si>
  <si>
    <t>固定窗口需量，3E4w y Y接线，设置需量参数时间16:28，DemandInterval设4分钟，上报周期5分钟，窗口从16:32开始计时，需量更新时间依次为：16:36,16:40</t>
  </si>
  <si>
    <t>1、设置固定窗口需量fixed
2、DemandInterval设4分钟，上报周期5分钟(固定窗口场景，上报周期不影响上报频率)
3、接线方式设置为3E4w y Y接线
4、三项电压400V，三项电流2A，压流角0°，
5、设置需量参数时间16:28
5.1 检查实时需量是否全部清零0
6、窗口从16:32开始计时
7、需量更新时间是否为：16:36 ， 且需量更新正确, 电流为2A，功率为:0.8*3
9、16:38立即改变电流为4A
8、需量更新时间是否为：16:40， 且需量更新正确，电流为4A，功率为:1.6*3
9、检查web上demand界面，需量相关数据更新时间及内容是否准确</t>
    <phoneticPr fontId="10" type="noConversion"/>
  </si>
  <si>
    <t>Function_AcuRev1320_011_01_case2</t>
    <phoneticPr fontId="10" type="noConversion"/>
  </si>
  <si>
    <t>固定窗口需量，3E4w y Y接线，重置需量最值时间T1，DemandInterval设5分钟，电压均为0V,  intput1~3电流为5A，距离最近T1最近5分钟整点开始计时T2，5分钟后首次上报，需量值更新为0</t>
  </si>
  <si>
    <t>1、Acuview2上位机
2、网线/RTU串口线
3、AcuRev1320电表
4、功率和电流需量不为0</t>
    <phoneticPr fontId="10" type="noConversion"/>
  </si>
  <si>
    <t>1、设置固定窗口需量fixed
2、DemandInterval设5分钟，上报周期5分钟(固定窗口场景，上报周期不影响上报频率)
3、接线方式设置为3E4w y Y
4、三项电压9V，三项电流5A，压流角0°，
5、重置需量最值，时间记录为T1
6、距离最近T1最近5分钟整点开始计时T2
7、则是否T2+5分钟首次上报，过去的5分钟需量平均值(电流、功率)为0</t>
    <phoneticPr fontId="10" type="noConversion"/>
  </si>
  <si>
    <t>Function_AcuRev1320_011_01_case3</t>
    <phoneticPr fontId="10" type="noConversion"/>
  </si>
  <si>
    <t>固定窗口需量，3E4w y Y接线，电表上电时间T1，DemandInterval设10分钟，上报周期15分钟， 距离最近T1最近10分钟整点开始计时T2，10分钟后首次上报，10分钟第二次上报 。</t>
    <phoneticPr fontId="10" type="noConversion"/>
  </si>
  <si>
    <t>1、设置固定窗口需量fixed
2、DemandInterval设10分钟，上报周期15分钟(固定窗口场景，上报周期不影响上报频率)
3、接线方式设置为3E4w y Y
4、三项电压400V，三项电流2A，压流角0°，
5、电表掉电上电，时间记录为T1
5.1 检查实时需量是否全部清零0
6、距离最近T1最近10分钟整点开始计时T2
7、则是否T2+10分钟首次上报，过去的10分钟需量平均值(电流、功率)
8、改变电压为450V
9、则是否T2+20分钟第二次上报，过去的10分钟需量平均值(电流、功率)
10、检查web上demand界面，需量相关数据更新时间及内容是否准确
备注：在步骤8测试时，已经在10分钟周期内，修改电压时会有短暂的时间，电压和电流都为0，故步骤9上报的电流和功率会比理论值小，实际测试电流为1.895A，功率为0.851W</t>
    <phoneticPr fontId="10" type="noConversion"/>
  </si>
  <si>
    <t>5.1 检查实时需量全部清零0
7、则是否T2+10分钟首次上报需量正确，过去的10分钟需量平均值(电流、功率)
9、则是否T2+20分钟第二次上报需量正确，过去的10分钟需量平均值(电流、功率) 
10、检查web上demand界面，需量相关数据更新时间及内容准确</t>
    <phoneticPr fontId="10" type="noConversion"/>
  </si>
  <si>
    <t>固定窗口需量，3E4w y Y接线，设置需量配置参数时间T1，DemandInterval设5分钟，上报周期10分钟， 距离最近T1最近5分钟整点开始计时T2，5分钟后首次上报，5分钟第二次上报 。</t>
  </si>
  <si>
    <t>1、设置固定窗口需量fixed
2、DemandInterval设5分钟，上报周期10分钟(固定窗口场景，上报周期不影响上报频率)
3、接线方式设置为3E4w y Y
4、三项电压400V，三项电流2A，压流角30°，
5、设置需量配置参数，时间记录为T1为17点24
5.1 检查实时需量是否全部清零0
6、距离最近T1最近5分钟整点开始计时T2
7、则是否T2+5分钟首次上报，过去的5分钟需量平均值(电流、功率)
8、则是否T2+10分钟第二次上报，过去的5分钟需量平均值(电流、功率)</t>
  </si>
  <si>
    <t>固定窗口需量，3E4w y Y接线， 设置时钟时间T1，DemandInterval设15分钟，上报周期15分钟， 距离最近T1最近5分钟整点开始计时T2，15分钟后首次上报，15分钟第二次上报 。</t>
    <phoneticPr fontId="10" type="noConversion"/>
  </si>
  <si>
    <t>1、设置固定窗口需量fixed
2、DemandInterval设15分钟，上报周期15分钟(固定窗口场景，上报周期不影响上报频率)
3、接线方式设置为3E4w y Y
4、三项电压400V，三项电流2A，压流角120°，
5、设置时钟，时间记录为T1
5.1 检查实时需量是否全部清零0
6、距离最近T1最近15分钟整点开始计时T2
7、则是否T2+15分钟首次上报，过去的15分钟需量平均值(电流、功率)
8、则是否T2+30分钟第二次上报，过去的15分钟需量平均值(电流、功率)</t>
  </si>
  <si>
    <t>固定窗口需量， 3E4w y Y接线，设置时钟时间T1，DemandInterval设30分钟，上报周期15分钟， 距离最近T1最近30分钟整点开始计时T2，再过30分钟后首次上报，下一个30分钟第二次上报 。</t>
  </si>
  <si>
    <t>1、设置固定窗口需量fixed
2、DemandInterval设30分钟，上报周期15分钟(固定窗口场景，上报周期不影响上报频率)
3、接线方式设置为3E4w y Y
4、三项电压400V，三项电流2A，压流角120°，
5、设置时钟，时间记录为T1
5.1 检查实时需量是否全部清零0
6、距离最近T1最近30分钟整点开始计时T2
7、则是否T2+30分钟首次上报，过去的30分钟需量平均值(电流、功率)
8、则是否T2+60分钟第二次上报，过去的30分钟需量平均值(电流、功率)</t>
  </si>
  <si>
    <t>固定窗口需量，3E4w y Y接线，设置需量参数时间16:27，DemandInterval设7分钟，上报周期15分钟，窗口从16:28开始计时，需量更新时间依次为：16:35,16:42</t>
  </si>
  <si>
    <t>1、设置固定窗口需量fixed
2、DemandInterval设7分钟，上报周期15分钟(固定窗口场景，上报周期不影响上报频率)
3、接线方式设置为3E4w y Y
4、三项电压400V，三项电流2A，压流角330°，
5、设置需量参数时间16:27
5.1 检查实时需量是否全部清零0
6、窗口从16:28开始计时
7、检查16:35是否更新16:28-16:35期间的需量(电流、功率)， 且更新数据成功正确
8，修改电压450V,
9、检查16:42是否更新16:35-16:42期间的需量(电流、功率)， 且更新数据成功正确</t>
  </si>
  <si>
    <t>固定窗口需量，3E4w y Y接线，毫安CT(20A/100mA),重置需量最值时间T1，DemandInterval设5分钟，电压均为400V,  intput1~3电流为0.01A, 距离最近T1最近5分钟整点开始计时T2，5分钟后首次上报 ，需量值更新为0</t>
  </si>
  <si>
    <t>1、设置固定窗口需量fixed
2、DemandInterval设5分钟，上报周期15分钟(固定窗口场景，上报周期不影响上报频率)
3、接线方式设置为3E4w y Y
4、三项电压400V，三项电流0.01A，压流角0°，
5、重置需量最值，时间记录为T1
6、距离最近T1最近5分钟整点开始计时T2
7、则是否T2+5分钟首次上报，过去的5分钟需量平均值(电流、功率)为0</t>
  </si>
  <si>
    <t>7、则T2+5分钟首次上报，过去的5分钟需量平均值(电流、功率)为0
8、则T2+10分钟第二次上报，过去的5分钟需量平均值(电流、功率)为0
备注：电流输入0.012 = 0.006</t>
  </si>
  <si>
    <t>固定窗口需量，3E4w y Y接线，毫伏CT(5A/333mV),重置需量最值时间T1，DemandInterval设5分钟，电压均为400V,  intput1~3电流为0.002A, 距离最近T1最近5分钟整点开始计时T2，5分钟后首次上报，需量值更新为0</t>
    <phoneticPr fontId="10" type="noConversion"/>
  </si>
  <si>
    <t>1、设置固定窗口需量fixed
2、DemandInterval设5分钟，上报周期15分钟(固定窗口场景，上报周期不影响上报频率)
3、接线方式设置为3E4w y Y
4、三项电压400V，三项电流0.002A，压流角0°，
5、重置需量最值，时间记录为T1
6、距离最近T1最近5分钟整点开始计时T2
7、则是否T2+5分钟首次上报，过去的5分钟需量平均值(电流、功率)为0</t>
  </si>
  <si>
    <t>7、则T2+5分钟首次上报，过去的5分钟需量平均值(电流、功率)为0
备注：电流输入0.00375</t>
    <phoneticPr fontId="10" type="noConversion"/>
  </si>
  <si>
    <t>Function_AcuRev1320_011_01_case10</t>
    <phoneticPr fontId="10" type="noConversion"/>
  </si>
  <si>
    <t>固定窗口需量，3E4w y Y接线，重置需量最值时间T1，DemandInterval设5分钟，电压均为9V,  intput1~3电流为5A，距离最近T1最近5分钟整点开始计时T2，5分钟后首次上报，需量值更新为0</t>
  </si>
  <si>
    <t>1、设置固定窗口需量fixed
2、DemandInterval设5分钟，上报周期15分钟(固定窗口场景，上报周期不影响上报频率)
3、接线方式设置为3E4w y Y
4、三项电压9V，三项电流5A，压流角0°，
5、重置需量最值，时间记录为T1
6、距离最近T1最近5分钟整点开始计时T2
7、则是否T2+5分钟首次上报，过去的5分钟需量平均值(电流、功率)为0</t>
  </si>
  <si>
    <t>7、则T2+5分钟首次上报，过去的5分钟需量平均值(电流、功率)为0     
备注：输入电压大于等于10V</t>
    <phoneticPr fontId="10" type="noConversion"/>
  </si>
  <si>
    <t>固定窗口需量，3E4w y Y接线，不加电压电流， 实时需量显示0</t>
  </si>
  <si>
    <t>1、固定窗口需量，3E4w y Y接线，不加电压电流，
2、检查实时需量是否显示0
3、检查web上demand界面，需量相关数据更新时间及内容是否准确</t>
  </si>
  <si>
    <t>1、设置固定窗口需量fixed
2、DemandInterval设5分钟，上报周期15分钟(固定窗口场景，上报周期不影响上报频率)
3、接线方式设置为
4、Ua电压400V，Ia电流2A，压流角120°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10" type="noConversion"/>
  </si>
  <si>
    <t>1、设置固定窗口需量fixed
2、DemandInterval设5分钟，上报周期15分钟(固定窗口场景，上报周期不影响上报频率)
3、接线方式设置为
4、Ua Ub电压400V，Ia电流2A，压流角210°（150°，0°，270°）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10" type="noConversion"/>
  </si>
  <si>
    <t>1、设置固定窗口需量fixed
2、DemandInterval设5分钟，上报周期15分钟(固定窗口场景，上报周期不影响上报频率)
3、接线方式设置为
4、Ua Ub电压400V，Ia电流2A，压流角330°（30°，0°，150°）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10" type="noConversion"/>
  </si>
  <si>
    <t>Function_AcuRev1320_011_01_case15</t>
    <phoneticPr fontId="10" type="noConversion"/>
  </si>
  <si>
    <t>1、设置固定窗口需量fixed
2、DemandInterval设5分钟，上报周期15分钟(固定窗口场景，上报周期不影响上报频率)
3、接线方式设置为
4、Ua Ub电压400V，Ia电流2A，压流角0°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10" type="noConversion"/>
  </si>
  <si>
    <t>Function_AcuRev1320_011_01_case16</t>
    <phoneticPr fontId="10" type="noConversion"/>
  </si>
  <si>
    <t>1、设置固定窗口需量fixed
2、DemandInterval设5分钟，上报周期15分钟(固定窗口场景，上报周期不影响上报频率)
3、接线方式设置为
4、Ua Ub Uc电压400V，Ia、Ic分别为电流2A 3A，压流角0°
5、重置需量最值，时间记录为T1
6、距离最近T1最近5分钟整点开始计时T2
7、则是否T2+5分钟首次上报，过去的5分钟需量平均值(电流、功率)
8、则是否T2+10分钟第二次上报，过去的5分钟需量平均值(电流、功率)
9、检查web上demand界面，需量相关数据更新时间及内容是否准确</t>
    <phoneticPr fontId="10" type="noConversion"/>
  </si>
  <si>
    <t>固定窗口需量，3E4w y Y接线，设置需量配置参数时间T1，DemandInterval设5分钟， 距离最近T1最近5分钟整点开始计时T2，5分钟后首次上报，改变电压，5分钟第二次上报 (新值大于已存值)。</t>
  </si>
  <si>
    <t>1、设置固定窗口需量fixed
2、DemandInterval设5分钟，上报周期15分钟(固定窗口场景，上报周期不影响上报频率)
3、接线方式设置为3E4w y Y
4、三项电压200V，三项电流2A，压流角0°，
5、设置需量配置参数，时间记录为T1
6、距离最近T1最近5分钟整点开始计时T2
7、则是否T2+5分钟首次上报，过去的5分钟需量平均值(电流、功率)， 最大值更新正确
8、立即改变电压400V
9、则是否T2+10分钟第二次上报，过去的5分钟需量平均值(电流、功率)， 最大值更新正确</t>
    <phoneticPr fontId="10" type="noConversion"/>
  </si>
  <si>
    <t>滑块需量，3E4w y Y接线，电表上电时间T1，DemandInterval设10分钟，上报周期5分钟， 距离最近T1最近10分钟整点开始计时T2，T2+5分钟后首次上报，T2+10分钟第二次上报 ，T2+15分钟第三次上报 。</t>
  </si>
  <si>
    <t>1、设置需量Sliding
2、DemandInterval设10分钟，上报周期5分钟
3、接线方式设置为3E4w y Y
4、三项电压400V，三项电流2A，压流角0°，
5、电表掉电上电，时间记录为T1
5.1 检查实时需量是否全部清零0
6、距离最近T1最近10分钟整点开始计时T2
7、则是否T2+10分钟首次上报，过去的10分钟需量平均值(电流、功率)
8、T2+10时刻，立即改变电流为4A
9、则是否T2+15分钟第二次上报需量，且需量为过去10分钟(前5分钟电流为2A，后五分钟电流为4A)需量平均值(电流、功率)
10、则是否T2+20分钟第三次上报需量，且需量为过去10分钟(前5分钟电流为4A，后五分钟电流为4A)需量平均值(电流、功率)
11、检查web上demand界面，需量相关数据更新时间及内容是否准确</t>
  </si>
  <si>
    <t>滑块需量，3E4w y Y接线，电表设置时钟时间T1，DemandInterval设5分钟，上报周期5分钟， 距离最近T1最近5分钟整点开始计时T2，T2+5分钟后首次上报，T2+10分钟第二次上报 ，T2+15分钟第三次上报 。</t>
  </si>
  <si>
    <t>1、设置需量Sliding
2、DemandInterval设5分钟，上报周期5分钟
3、接线方式设置为3E4w y Y
4、三项电压400V，三项电流2A，压流角120°，
5、电表设置时钟时间，时间记录为T1
5.1 检查实时需量是否全部清零0
6、距离最近T1最近5分钟整点开始计时T2
7、则是否T2+5分钟首次上报，过去的5分钟需量平均值(电流、功率)
8、T2+5时刻，立即改变电流为5A
9、则是否T2+10分钟第二次上报需量，且需量为过去5分钟(后五分钟电流为5A)需量平均值(电流、功率)
10、T2+10时刻，立即改变电流为1A
11、则是否T2+15分钟第三次上报需量，且需量为过去5分钟(后五分钟电流为1A)需量平均值(电流、功率)</t>
  </si>
  <si>
    <t>滑块需量，3E4w y Y接线，重置需量最值时间T1，DemandInterval设20分钟，上报周期10分钟， 距离最近T1最近20分钟整点开始计时T2，T2+20分钟后首次上报，T2+30分钟第二次上报 ，T2+40分钟第三次上报 。</t>
  </si>
  <si>
    <t>1、设置需量Sliding
2、DemandInterval设20分钟，上报周期10分钟
3、接线方式设置为3E4w y Y
4、三项电压400V，三项电流2A，压流角210°，
5、重置需量最值，时间记录为T1
5.1 检查实时需量是否全部清零0
6、距离最近T1最近20分钟整点开始计时T2
7、则T2+20分钟首次上报，过去的20分钟需量平均值(电流、功率)
8、T2+20时刻，立即改变电流为4A
9、则是否T2+30分钟第二次上报需量
10、则是否T2+40分钟第三次上报需量
11、检查web上demand界面，需量相关数据更新时间及内容是否准确</t>
  </si>
  <si>
    <t>滑块需量，3E4w y Y接线，设置需量配置参数T1，DemandInterval设8分钟，上报周期5分钟， 距离最近T1最近8分钟整倍数开始计时T2，T2+8分钟后首次上报，T2+13分钟第二次上报 ，T2+18分钟第三次上报 。</t>
  </si>
  <si>
    <t>1、设置需量Sliding
2、DemandInterval设8分钟，上报周期5分钟
3、接线方式设置为3E4w y Y
4、三项电压400V，三项电流2A，压流角330°
5、设置需量配置参数，时间记录为T1
5.1 检查实时需量是否全部清零0
6、距离最近T1最近8分钟倍数点开始计时T2
7、则T2+8分钟首次上报，过去的8分钟需量平均值(电流、功率)
8、T2+8时刻，立即改变电流为4A
9、则是否T2+13分钟第二次上报需量，且需量为过去8分钟(前3分钟电流为2A，后5分钟电流为4A)需量平均值(电流、功率)
10、则是否T2+18分钟第三次上报需量，且需量为过去8分钟(前3分钟电流为4A，后5分钟电流为4A)需量平均值(电流、功率)</t>
  </si>
  <si>
    <t>Function_AcuRev1320_011_02_case8</t>
    <phoneticPr fontId="10" type="noConversion"/>
  </si>
  <si>
    <t>滑块需量，2Element 3 Wire Delta接线，重置需量最值时间T1，DemandInterval设5分钟，上报周期5分钟， 距离最近T1最近5分钟整点开始计时T2，5分钟后首次上报，5分钟第二次上报 。</t>
    <phoneticPr fontId="10" type="noConversion"/>
  </si>
  <si>
    <t>滑块需量，3E4w y Y接线，毫安CT(20A/100mA),重置需量最值时间T1，DemandInterval设5分钟，上报周期5分钟，电压均为400V,  intput1~3电流为0.01A，距离最近T1最近5分钟整点开始计时T2，15分钟后首次上报，需量值更新为0</t>
  </si>
  <si>
    <t>1、设置窗口需量Sliding
2、DemandInterval设5分钟，上报周期5分钟
3、接线方式设置为3E4w y Y
4、三项电压400V，三项电流0.01A，压流角0°，
5、重置需量最值，时间记录为T1
6、距离最近T1最近5分钟整点开始计时T2
7、则是否T2+5分钟首次上报，过去的5分钟需量平均值(电流、功率)为0
8.则是否T2+10分钟第二次上报</t>
    <phoneticPr fontId="10" type="noConversion"/>
  </si>
  <si>
    <t>滑块需量，3E4w y Y接线，重置需量最值时间T1，DemandInterval设5分钟，上报周期5分钟，电压均为9V,  intput1~3电流为5A，距离最近T1最近5分钟整点开始计时T2，5分钟后首次上报，需量值更新为0</t>
  </si>
  <si>
    <t>1、设置窗口需量Sliding
2、DemandInterval设5分钟，上报周期5分钟
3、接线方式设置为3E4w y Y
4、三项电压9V，三项电流5A，压流角0°，
5、重置需量最值，时间记录为T1
6、距离最近T1最近5分钟整点开始计时T2
7、则是否T2+5分钟首次上报，过去的5分钟需量平均值(电流、功率)为0</t>
  </si>
  <si>
    <t>Function_AcuRev1320_011_02_case11</t>
    <phoneticPr fontId="10" type="noConversion"/>
  </si>
  <si>
    <t>滑块需量，3E4w y Y接线，重置需量最值时间T1，DemandInterval设4分钟，上报周期5分钟，</t>
  </si>
  <si>
    <t>4、查看上位机提交失败</t>
    <phoneticPr fontId="10" type="noConversion"/>
  </si>
  <si>
    <t>需量测量</t>
    <phoneticPr fontId="10" type="noConversion"/>
  </si>
  <si>
    <t>Function_AcuRev1320_011_02_case12</t>
    <phoneticPr fontId="10" type="noConversion"/>
  </si>
  <si>
    <t>需量模块，3E4w y Y接线，重置系统时间为2000-01-01 00：00：00，系统已存在的实时需量被清除为0</t>
  </si>
  <si>
    <t>1、重置系统时间为2000-01-01 00：00：00
2、查看demand的功率和电流需量是否为0</t>
  </si>
  <si>
    <t>2、demand的功率和电流需量为0</t>
    <phoneticPr fontId="10" type="noConversion"/>
  </si>
  <si>
    <t>接线配置</t>
    <phoneticPr fontId="10" type="noConversion"/>
  </si>
  <si>
    <t>1、连接AcuRev1320电表到Acuview2上，连接状态为connected
2、1e1P2W输电,上位机配1P2W接线，Va为120V, I_in1为4A，压流夹角0°。
4、检查上位机和HMI上input1是否只能配置Van
5、检查上位机和HMI上input1应有功功率是否正确，无其他input功率</t>
    <phoneticPr fontId="10" type="noConversion"/>
  </si>
  <si>
    <t>1、连接AcuRev1320电表到Acuview2上，连接状态为connected
2、1e1P2W输电,上位机配1P2W接线，Va为120V, I_in1为4A，压流夹角0°。
3、 根据最新的接线方式说明书检查上位机和HMI上real-time页面显示
4、 根据最新的接线方式上位机显示要求检查上位机的Energy、Demand、MaxDemand、THD页面显示符合预期</t>
    <phoneticPr fontId="10" type="noConversion"/>
  </si>
  <si>
    <t>6、上位机和HMI上能量测量参数全部置为0, 电压电流测量正确</t>
  </si>
  <si>
    <t>1e1P2W接线验证</t>
    <phoneticPr fontId="10" type="noConversion"/>
  </si>
  <si>
    <t>Function_AcuRev1320_012_01_case3_01</t>
    <phoneticPr fontId="10" type="noConversion"/>
  </si>
  <si>
    <t>1 ELEMENT_2_WIRE 接线方式，不同聚合方式下，电表real-time数据显示</t>
  </si>
  <si>
    <t>1、连接AcuRev1320电表到Acuview2上，连接状态为connected
2、1e1P2W输电,上位机配1P2W接线，Va为120V, I_in1为4A，压流夹角0°。
3、不同聚合方式下（20ms\200ms,3s\10min\2h），查看电表real-time数据显示是否正常，上位机是否按照1E2W进行显示</t>
  </si>
  <si>
    <t>1、连接AcuRev1320电表到Acuview2上，连接状态为connected
2、上位机配2e2P3W phase1接线，
2.1、检查上位机和HMI的默认配置是否为 Va、Vc
2.2、 Va、Vc配置为120V, A、C相电流分别为2A 和4A，压流夹角0°。
（Va/Vc角度0、180°，A、C相电流角度0/180°）
3.系统的平均电流是否为3A， PhaseC 功率数据与PhaseB功率数据之和是否等于sys功率</t>
    <phoneticPr fontId="10" type="noConversion"/>
  </si>
  <si>
    <t>Function_AcuRev1320_012_02_case3</t>
    <phoneticPr fontId="10" type="noConversion"/>
  </si>
  <si>
    <t>Function_AcuRev1320_012_02_case4</t>
    <phoneticPr fontId="10" type="noConversion"/>
  </si>
  <si>
    <t>1、连接AcuRev1320电表到Acuview2上，连接状态为connected
2、上位机配2e2P3W phase1接线，
2.1、检查上位机和HMI的默认配置是否为 Va、Vc
2.2、 Va、Vc配置为120V, A、C相电流分别为2A 和4A，压流夹角0°。
（Va/Vc角度0、180°，A、C相电流角度0/180°）
3、 根据最新的接线方式说明书检查上位机和HMI上real-time显示
4、 根据最新的接线方式上位机\HMI显示要求检查上位机的Energy、Demand、MaxDemand、THD、MAXMIN页面显示符合预期</t>
  </si>
  <si>
    <t>Function_AcuRev1320_012_02_case7_01</t>
    <phoneticPr fontId="10" type="noConversion"/>
  </si>
  <si>
    <t>2E3W phase1接线配置，不同聚合方式下，电表real-time数据显示</t>
  </si>
  <si>
    <t>1、Acuview2上位机
2、网线/RTU串口线
3、AcuRev1320电表
4、2P3W phase1接线验证</t>
  </si>
  <si>
    <t>1、连接AcuRev1320电表到Acuview2上，连接状态为connected
2、上位机配2e2P3W phase1接线，
2.1、检查上位机和HMI的默认配置是否为 Va、Vc
2.2、 Va、Vc配置为120V, A、C相电流分别为2A 和4A，压流夹角0°。
（Va/Vc角度0、180°，A、C相电流角度0/180°）
3、不同聚合方式下（20ms\200ms,3s\10min\2h），查看电表real-time数据显示是否正常，上位机是否按照2E3W phase1进行显示</t>
    <phoneticPr fontId="10" type="noConversion"/>
  </si>
  <si>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系统：P=1.350kwh，Q=0.000kvar，S=1.351kva，PF= 1.000
用户：Puser1=1.350kwhkwh，Quser1=0.000kwh，Suser1=1.350kva，PF= 1.000
其他user功率为0，input功率为"-"
备注计算方式：
S = (Uab * Ia + Ubc * Ic) * cos(30)
P = S * cos(压流角)
Q= S^2 - P^2 开根号
压流角： Uab、Ubc、Uca 角度为0°、240°、120°，
Ia、Ic 是330°、90°，换算Iab、Ica是 0°、120°
比较Uab和Iab、Uca和Ica的压流角是0</t>
    <phoneticPr fontId="10" type="noConversion"/>
  </si>
  <si>
    <t>上位机配2e2P3W delta接线，input1~input2分别配置Vab、Vbc，且无法配置Va/vb/Vcn，user1最多添加两路input， 模拟φuab，φubc，φuca平衡(0° 240° 120° )，压流夹角为120°，input1~2和user1对应功率正确，其他user和input功率为0</t>
    <phoneticPr fontId="10" type="noConversion"/>
  </si>
  <si>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系统：P=-0.75kwh，Q=1.299kvar，S=1.500kva，PF= -0.500
用户：Puser1=-0.75kwhkwh，Quser1=1.299kwh，Suser1=1.500kva，PF= -0.500
其他user功率为0，input功率为"-"
备注计算方式：
S = (Uab * Ia + Ubc * Ic) * cos(30)
P = S * cos(压流角)
Q= S^2 - P^2 开根号
压流角： Uab、Ubc、Uca 角度为0°、240°、120°，
Ia、Ic 是210°、330°，换算Iab、Ica是 240°、0°
比较Uab和Iab、Uca和Ica的压流角是120
夹角在第二象限，Q为正数【一二象限为正数、三四象限为负数】</t>
    <phoneticPr fontId="10" type="noConversion"/>
  </si>
  <si>
    <t>3、检查上位机和HMI上input1~3配置是无法配置Va/Vb/Vc，Vac
3.1 上位机和HMI上Va/Vb/Vc电压为“-”
4、上位机和HMI上input1~2配置电压Vab、Vbc
4.1  上位机和HMI上Vab、Vbc、Vca电压为173.205V
5、上位机和HMI上user1最多添加两路input
6、上位机和HMI上Vab、Vbc、Vca相角为(0°、240°、120°)
7、上位机和HMI上input1和user1对应有功功率正确，
用例修改2025/6/27：
系统：P=-1.299kwh，Q=-0.75kvar，S=1.500kva，PF= -0.866
用户：Puser1=-1.299kwhkwh，Quser1=-0.75kwh，Suser1=1.500kva，PF= -0.866
其他user功率为0，input功率为"-"
备注计算方式：
S = (Uab * Ia + Ubc * Ic) * cos(30)
P = S * cos(压流角)
Q= S^2 - P^2 开根号
压流角： Uab、Ubc、Uca 角度为0°、240°、120°，
Ia、Ic 是120°、240°，换算Iab、Ica是 150°、270°
比较Uab和Iab、Uca和Ica的压流角是210
夹角在第三象限，Q为负数【一二象限为正数、三四象限为负数】</t>
    <phoneticPr fontId="10" type="noConversion"/>
  </si>
  <si>
    <t>Function_AcuRev1320_012_03_case7</t>
    <phoneticPr fontId="10" type="noConversion"/>
  </si>
  <si>
    <t>2e2P3W delta接线配置，上位机与HMI realtime数据中“显示”符合接线方式中的显示规划</t>
    <phoneticPr fontId="10" type="noConversion"/>
  </si>
  <si>
    <t>Function_AcuRev1320_012_03_case9</t>
    <phoneticPr fontId="10" type="noConversion"/>
  </si>
  <si>
    <t>2e2P3W delta接线配置，检查Demand和MaxDemand界面的System的电流显示为-</t>
    <phoneticPr fontId="10" type="noConversion"/>
  </si>
  <si>
    <t>Function_AcuRev1320_012_03_case9_01</t>
    <phoneticPr fontId="10" type="noConversion"/>
  </si>
  <si>
    <t>上位机配2e2P3W delta接线，不同聚合方式下，电表real-time数据显示</t>
  </si>
  <si>
    <t>1、连接AcuRev1320电表到Acuview2上，连接状态为connected
2、源依旧按照Y模式输电（Ua为100V，φua为0°，Ub为100V， 短接连到电表Un，φub为240°，Uc为100V，φuc为120°），上位机配2e2P3W delta接线，（I_in1为4A、0°，I_in2为0A、0°，I_in3为5A、120°），I_in1为4A、0°，I_in2为0A、0°，I_in3为5A、120°同时从源上把电流的input2和input3调换输出位置），上位机测量到的Ia和Ib分别为4A 和5A， 角度φI1~2为330°，90°。【360°，120°】
3、不同聚合方式下（20ms\200ms,3s\10min\2h），查看电表real-time数据显示是否正常，上位机是否按照2e2P3W delta进行显示
备注: 上位机和HMI显示相角均以Vab为参考，计算电能时候，夹角可以使用线电压的与电流角度直接矢量计算。</t>
    <phoneticPr fontId="10" type="noConversion"/>
  </si>
  <si>
    <t>2e2p3w network接线配置，验证Va为0时，Vb、Vc相的角度为0，input的角度为0，电压电流测量正常，功率计算正确</t>
    <phoneticPr fontId="10" type="noConversion"/>
  </si>
  <si>
    <t>1、连接AcuRev1320电表到Acuview2上，连接状态为connected
2、上位机配2e2p3w network接线，Va、Vb、Vc均为120V, I_in1~2为3A， 4A，压流夹角0°，Va、Vb、Vc相角为(0°、240°、120°)。
3、上位机和HMI上input1~2配置电压Van和Vcn
5、检查上位机和HMI上user1添加两路input1-2
6、检查上位机和HMI上input1和user1对应有功功率是否正确，其他user和input功率为0
7、user1的电流是否为3.5A
8、修改Ua 幅值为0，检查Va的角度功率为0、input1电流幅值正常，角度功率均为0，Vb、Vc和Input2的角度为0，电压电流幅值以及功率维持之前的数值不受影响
9、 从源上关闭输入，再按照关闭前的配置直接打开输入
10、 检查Va的角度功率为0、input1电流幅值正常，角度功率均为0，Vb、Vc和Input2的角度为0，电压电流幅值以及功率维持之前的数值不受影响</t>
    <phoneticPr fontId="10" type="noConversion"/>
  </si>
  <si>
    <t>4、上位机和HMI上user1~12无法添加三路input
6、上位机和HMI上input1~2对应有功功率均为
Phase A Active Power	0.36000
Phase A Reactive Power	0.00000
Phase A Apparent Power	0.36000 
Phase A Power Factor	1.00000
Phase B Active Power	0.48000 
Phase B Reactive Power	0.00000
Phase B Apparent Power	0.48000 
Phase B Power Factor	1.00000 
user1的有功功率0.36000+0.48000kwh，其他user和input有功功率为0
7、user1的电流为3.5A
8-10、Va的角度功率为0、input1电流幅值正常，角度功率均为0，Vb、Vc和Input2的角度为0，电压电流幅值以及功率维持之前的数值不受影响</t>
    <phoneticPr fontId="10" type="noConversion"/>
  </si>
  <si>
    <t>2e2p3w network接线验证</t>
    <phoneticPr fontId="10" type="noConversion"/>
  </si>
  <si>
    <t>Function_AcuRev1320_012_04_case5_01</t>
    <phoneticPr fontId="10" type="noConversion"/>
  </si>
  <si>
    <t>上位机配2e2p3w network接线，不同聚合方式下，电表real-time数据显示</t>
  </si>
  <si>
    <t>1、连接AcuRev1320电表到Acuview2上，连接状态为connected
2、上位机配2e2p3w network接线，Va、Vb、Vc均为120V, I_in1~2为3A， 4A，压流夹角30°，Va、Vb、Vc相角为(0°、240°、120°)。
3、不同聚合方式下（20ms\200ms,3s\10min\2h），查看电表real-time数据显示是否正常，上位机是否按照2e2p3w network进行显示</t>
  </si>
  <si>
    <t>3E4w y Y型接线验证</t>
  </si>
  <si>
    <t>3E4w y Y型接线接线测量5分钟， 切换到1e1P2W接线方式，再次切换到3E4w y Y型接线，检查HMI和上位机上能量是否全部被置为0, 电压电流测量正确</t>
  </si>
  <si>
    <t>1、连接AcuRev1320电表到Acuview2上，连接状态为connected
2、3P4W Y输电，上位机配3P4W Y接线，Va、Vb、Vc均为120V, I_in1~3均为4A，压流夹角0°，Va、Vb、Vc相角为(0°、120°、240°)。
3、上位机和HMI上input1~3配置电压Va、Vb、Vc
5、上位机和HMI上user1添加3路input
6、检查上位机和HMI上input1~3和user1对应有功功率是否正确，其他user和input功率为0
7、测量5分钟
8、切换到1e1P2W接线方式
9、立即切换到3E4w y Y接线方式
10、检查上位机和HMI上能量是否测量参数全部置为0, 电压电流测量正确</t>
  </si>
  <si>
    <t>3E4w y Y接线配置，上位机与HMI realtime数据中“显示”符合接线方式中的显示规划</t>
  </si>
  <si>
    <t>1、Acuview2上位机
2、网线/RTU串口线
3、AcuRev1320电表
4、3E4w y Y接线方式</t>
  </si>
  <si>
    <t xml:space="preserve">6、 上位机和HMI上real-time显示与最新的接线方式说明书保持一致
7、 上位机Energy、Demand、MaxDemand、THD显示与最新要求保持一致
</t>
    <phoneticPr fontId="10" type="noConversion"/>
  </si>
  <si>
    <t>1、连接AcuRev1320电表到Acuview2上，连接状态为connected
2、3P4W Y输电，上位机配3P4W Y接线，
3、user1配置三路负载， Va、Vb、Vc均为120V, I_in1~3均为3A 4A 5A，压流角0°
4、检查上位机和HMI上input1~3和user1对应有功功率是否正确，其他user和input功率为0
5、修改Ua 幅值为0，检查Va的角度功率为0、input1电流幅值正常，角度功率均为0，Vb、Vc和Input2的角度为0，电压电流幅值以及功率维持之前的数值不受影响
6、 从源上关闭输入，再按照关闭前的配置直接打开输入
7、 检查Vb的角度功率为0、input1电流幅值正常，角度功率均为0，Vb、Vc和Input2的角度为0，电压电流幅值以及功率维持之前的数值不受影响</t>
    <phoneticPr fontId="10" type="noConversion"/>
  </si>
  <si>
    <t xml:space="preserve">4、上位机和HMI上input1~3、user1功率正确，其他user和input有功功率为0
Phase A Active Power	0.360 
Phase A Reactive Power	0.000 
Phase A Apparent Power	0.360 
Phase A Power Factor	1.000 	
Phase B Active Power	0.480 
Phase B Reactive Power	0.000 
Phase B Apparent Power	0.480 
Phase B Power Factor	1.000 
Phase C Active Power	0.600 
Phase C Reactive Power	0.000 
Phase C Apparent Power	0.600 
Phase C Power Factor	1.000 	
System Active Power	1.440 
System Reactive Power	0.000 
System Apparent Power	1.440 
System Power Factor	1.000 
Input Channel 1 Active Power	0.360 
Input Channel 1 Reactive Power	0.000 
Input Channel 1 Apparent Power	0.360 
Input Channel 1 Power Factor	1.000 
Input Channel 2 Active Power	0.480 
Input Channel 2 Reactive Power	0.000 
Input Channel 2 Apparent Power	0.480 
Input Channel 2 Power Factor	1.000 	
Input Channel 3 Active Power	0.600 
Input Channel 3 Reactive Power	0.000 
Input Channel 3 Apparent Power	0.600 
Input Channel 3 Power Factor	1.000 	
User Channel 1 Active Power	1.440 
User Channel 1 Reactive Power	0.000 
User Channel 1 Apparent Power	1.440 
User Channel 1 Power Factor	1.000 
5-7、Vb的角度功率为0、input1电流幅值正常，角度功率均为0，Vb、Vc和Input2的角度为0，电压电流幅值以及功率维持之前的数值不受影响
</t>
    <phoneticPr fontId="10" type="noConversion"/>
  </si>
  <si>
    <t>Function_AcuRev1320_012_05_case5_01</t>
    <phoneticPr fontId="10" type="noConversion"/>
  </si>
  <si>
    <t>上位机配3P4W Y接线，不同聚合方式下，电表real-time数据显示</t>
  </si>
  <si>
    <t>1、连接AcuRev1320电表到Acuview2上，连接状态为connected
2、3P4W Y输电，上位机配3P4W Y接线，
3、user1配置三路负载， Va、Vb、Vc均为120V, I_in1~3均为3A 4A 5A，压流角0°
4、不同聚合方式下（20ms\200ms,3s\10min\2h），查看电表real-time数据显示是否正常，上位机是否按照3P4W Y进行显示</t>
    <phoneticPr fontId="10" type="noConversion"/>
  </si>
  <si>
    <t>Function_AcuRev1320_012_06_case1</t>
    <phoneticPr fontId="10" type="noConversion"/>
  </si>
  <si>
    <t>上位机配3e4W delta接线，input1、input2、input3分别配置Vab、Vbc，Vca， 模拟φuab，φubc，φuca平衡(0° 240° 120° )，压流夹角为120°sys对应功率正确，</t>
    <phoneticPr fontId="10"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</si>
  <si>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系统：P=-1.0392kw，Q=1.7999kvar，S=2.0784kva，PF=-0.5
备注计算方式：
S = (Uab * Ia + Ubc * Ic) * cos(30)
P = S * cos(压流角)
Q= S^2 - P^2 开根号
Uab、Ubc、Uca 角度为0°、240°、120°
换算：Iab、Ibc、Ica 角度为0°、240°、120°</t>
    <phoneticPr fontId="10" type="noConversion"/>
  </si>
  <si>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系统：P=-2.078kw，Q=0kvar，S=2.0784kva，PF=-1
备注计算方式：
S = (Uab * Ia + Ubc * Ic) * cos(30)
P = S * cos(压流角)
Q= S^2 - P^2 开根号
Uab、Ubc、Uca 角度为0°、240°、120°
换算：Iab、Ibc、Ica 角度为0°、240°、120°</t>
  </si>
  <si>
    <t xml:space="preserve">
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系统：P=1.7999kw，Q=-1.0392kvar，S=2.0784kva，PF=0.866
备注计算方式：
S = (Uab * Ia + Ubc * Ic) * cos(30)
P = S * cos(压流角)
Q= S^2 - P^2 开根号
Uab、Ubc、Uca 角度为0°、240°、120°
换算：Iab、Ibc、Ica 角度为0°、240°、120°</t>
    <phoneticPr fontId="10" type="noConversion"/>
  </si>
  <si>
    <t>Function_AcuRev1320_012_06_case8</t>
    <phoneticPr fontId="10" type="noConversion"/>
  </si>
  <si>
    <t>Function_AcuRev1320_012_06_case9_01</t>
    <phoneticPr fontId="10" type="noConversion"/>
  </si>
  <si>
    <t>上位机配3e4W delta接线，不同聚合方式下，电表real-time数据显示</t>
  </si>
  <si>
    <t>上位机setting的user and CT 界面，配置CT类型，切换333mV和RCT，不需要重启即可生效</t>
    <phoneticPr fontId="10" type="noConversion"/>
  </si>
  <si>
    <t>1、连接AcuRev1320电表到Acuview2上，连接状态为connected
2、上位机setting的user and ct 页面，配置CT类型为333mv
3、 上位机setting的user and ct 页面，配置CT类型为RCT
4、电表接入RCT类型的CT，检查测量值是否正常
5、上位机setting的user and ct 页面，配置CT类型为333mv
6、电表接入333mV类型的CT，检查测量值是否正常</t>
    <phoneticPr fontId="10" type="noConversion"/>
  </si>
  <si>
    <t>时分用电</t>
    <phoneticPr fontId="10" type="noConversion"/>
  </si>
  <si>
    <t xml:space="preserve">1、连接AcuRev1320电表到Acuview2上，连接状态为connected
2、按照格式1（固定日期），设置DTS的时间段,：DTS开始时间 3月3日 03:00, DTS结束时间 10月10 10:00
3、检查设置DST时间段是否成功
4、上位机上配置夏令时夏令时DST设置为enable，
5、检查开启夏令时DST设置为enable是否成功
5.1 设置地当前系统时间为2024 3.3 02：59：00
5.2 掉电等待2分钟
6、上电查看上位机和HMI上检查电表时间是否增加1小时
7.继续掉电后立即上电
8.表计时钟是否会继续增加
</t>
    <phoneticPr fontId="10" type="noConversion"/>
  </si>
  <si>
    <t>1、连接AcuRev1320电表到Acuview2上，连接状态为connected
2、按照格式1（固定日期），设置DTS的时间段,：（1.1 12：59 -2.28 03:59）
3、检查设置DST时间段是否成功
4、上位机上配置夏令时夏令时DST设置为enable，
5、检查开启夏令时DST设置为enable是否成功
5.1 设置地当前系统时间为1.1 12：54
5.2、等待6分钟，
6、上位机和HMI上检查电表时间是否在第6分钟时候，跳变为14：00
7、设置夏令时DST设置为disable
8、检查设置夏令时DST设置为disable是否成功
9、上位机和HMI上检查电表时间是否立即跳变为13:00</t>
  </si>
  <si>
    <t>1、连接AcuRev1320电表到Acuview2上，连接状态为connected
2、上位机上配置14个Schedule Id，每个各配置14个segment ID((覆盖 尖sharp、峰peak、谷valley、平normal))
3、添加12个Season， Season1~12依次按顺序关联步骤二配置Schedule ID1~12.
4、上位机上点击"Update"。
5、检查步骤2-3中的配置是否保存成功。 
6、在步骤3的Season ID基础上，对应配置第13个Season ID
7、检查上位机是否报错， 提示Season ID最大值12.</t>
    <phoneticPr fontId="10" type="noConversion"/>
  </si>
  <si>
    <t xml:space="preserve">1、连接AcuRev1320电表到Acuview2上，连接状态为connected
2、删除2个TOU Season
3、上位机上点击"Update"。
4、检查步骤2-3中的配置是否保存成功。 </t>
    <phoneticPr fontId="10" type="noConversion"/>
  </si>
  <si>
    <t>1、连接AcuRev1320电表到Acuview2上，连接状态为connected。
2、记录上位机上当前月和前一个月的数据TOU电能数据。
3、添加season1(start time: 03-01)，关联Schedule1，Schedule1配置1个segment(07:00 peak)
4、接入电压220V，电流4A，等待5分钟。
5、观察上位机上当月累计peak电能和新增peak电能数据是否增加。</t>
    <phoneticPr fontId="10" type="noConversion"/>
  </si>
  <si>
    <t xml:space="preserve">1、连接AcuRev1320电表到Acuview2上，连接状态为connected。
2、记录上位机上当前月和前一个月的数据TOU电能数据。
3、添加season1(start time: 03-02)，关联Schedule1，Schedule1配置2个segment(16:00 sharp，20:00 Normal)
3.1、添加season2(start time: 04-02)，关联Schedule2，Schedule2配置2个segment(16:00 sharp，20:00 Normal)
3.2、添加season3(start time: 05-02)，关联Schedule2，Schedule2配置2个segment(16:00 sharp，20:00 Normal)
4、修改系统时间03-04 17:00，接入电压220V，电流4A，等待2分钟
4.1、观察上位机上当月累计sharp电能和新增sharp电能数据是否增加。其他费率电能没有变化。
5、修改系统时间03-31 23:59，接入电压220V，电流4A，等待2分钟
5.1、观察上位机上当月累计normal电能和新增normal电能数据是否增加。其他费率电能没有变化，
5.2、观察上位机前一月累计normal电能和新增normal电能数据是否为累加3月份数据之后的电能数据。其他费率电能没有变化
6、修改系统时间04-30 23:59，接入电压220V，电流4A，等待2分钟
6.1、观察上位机上当月累计Normal电能和新增Normal电能数据是否增加。其他费率电能没有变化。
6.2、观察上位机前一月累计Normal电能和新增Normal电能数据是否为累加3月和4月份数据之后的电能数据。其他费率电能没有变化
</t>
  </si>
  <si>
    <t>4.1、上位机上当月累计sharp电能和新增sharp电能数据增加。其他费率电能没有变化。
5.1、上位机上当月累计normal电能和新增normal电能数据增加。其他费率电能没有变化，
5.2、上位机前一月累计normal电能和新增normal电能数据是累加3月份数据之后的电能数据。其他费率电能没有变化
6.1、上位机上当月累计Normal电能和新增Normal电能数据增加。其他费率电能没有变化。
6.2、上位机前一月累计Normal电能和新增Normal电能数据为累加3月和4月份数据之后的电能数据。其他费率电能没有变化</t>
  </si>
  <si>
    <t>Function_AcuRev1320_013_02_case17_01</t>
  </si>
  <si>
    <t>tou有功反向电能量检查</t>
  </si>
  <si>
    <t xml:space="preserve">1、Acuview2上位机
2、网线/RTU串口线
3、AcuRev1320电表
4、Enable TOU打开
</t>
  </si>
  <si>
    <t>1、连接AcuRev1320电表到Acuview2上，连接状态为connected。
2、去掉电流，在current&amp;Wiring中电流方向全部改为反向
3、添加season1(start time: 03-01)，关联Schedule1，
Schedule1配置4个segment分别为：00:00 sharp，00：02 peak，00：04 valley，00：06 normal；
4、修改电表时间2025-09-30 23：59：50 给表施加200V,6A，PF值为1.0，
5、走字8min后，查看当前月所有tou能量值
6、比对走电量前后tou能量值，查看是否只有有功反向及视在电能量有能量累计（在四费率下均有能量累计）</t>
  </si>
  <si>
    <t>6、比对走电量前后tou能量值，只有有功反向及视在电能量有能量累计（在四费率下均有能量累计）</t>
  </si>
  <si>
    <t>Function_AcuRev1320_013_02_case17_02</t>
  </si>
  <si>
    <t>tou无功正向电能量检查、tou视在电能量检查</t>
  </si>
  <si>
    <t>1、连接AcuRev1320电表到Acuview2上，连接状态为connected。
2、去掉电流，在current&amp;Wiring中电流方向全部改为正向，
3、添加season1(start time: 03-01)，关联Schedule1，Schedule1配置4个segment分别为：00:00 sharp，00：02 peak，00：04 valley，00：06 normal；
4、修改电表时间2025-09-30 23：59：50 给表施加200V,6A，PF值为0.5，
5、走字8min后，查看当前月所有tou能量值
6、比对走电量前后tou能量值，查看正向无功是否在四费率下有能量累计
7、比对走电量前后tou能量值，查看视在能量是否在四费率下有能量累计</t>
  </si>
  <si>
    <t>6、比对走电量前后tou能量值，查看正向无功在四费率下有能量累计
7、比对走电量前后tou能量值，视在能量在四费率下有能量累计</t>
  </si>
  <si>
    <t>Function_AcuRev1320_013_02_case17_03</t>
  </si>
  <si>
    <t>tou无功反向电能量检查、tou视在电能量检查</t>
  </si>
  <si>
    <t>1、连接AcuRev1320电表到Acuview2上，连接状态为connected。
2、去掉电流，在current&amp;Wiring中电流方向全部改为反向
3、添加season1(start time: 03-01)，关联Schedule1，Schedule1配置4个segment分别为：00:00 sharp，00：02 peak，00：04 valley，00：06 normal；
4、修改电表时间2025-09-30 23：59：50 给表施加200V,6A，PF值为0.5，
5、走字8min后，查看当前月所有tou能量值
6、比对走电量前后tou能量值，查看反向无功是否在四费率下有能量累计
7、比对走电量前后tou能量值，查看视在能量是否在四费率下有能量累计</t>
  </si>
  <si>
    <t>6、比对走电量前后tou能量值，查看反向无功在四费率下有能量累计
7、比对走电量前后tou能量值，视在能量在四费率下有能量累计</t>
  </si>
  <si>
    <t>Function_AcuRev1320_013_02_case17_04</t>
  </si>
  <si>
    <t>当前月与上一月有功、无功的正反向电能量检查、视在电能量检查</t>
  </si>
  <si>
    <t>1、连接AcuRev1320电表到Acuview2上，连接状态为connected。
2、去掉电流，在current&amp;Wiring中电流方向全部改为反向
3、添加season1(start time: 03-01)，关联Schedule1，Schedule1配置4个segment分别为：00:00 sharp，00：02 peak，00：04 valley，00：06 normal；
4、修改电表时间2025-09-30 23：59：50 给表施加200V,6A，PF值为0.5，走字8min
5、去掉电流，在current&amp;Wiring中电流方向全部改为正向,走字8min后
6、去掉电流，记录此时tou电能量的值
7、修改电表时间到2025-10-31 23：59：50
8、15S后，当前月所有tou电能量是否均被清0，原6中记录的数据是否均被转存到上一月tou电能量中</t>
  </si>
  <si>
    <t>8、15S后，当前月所有tou电能量均被清0，原6中记录的数据均被转存到上一月tou电能量中</t>
  </si>
  <si>
    <t>1、连接AcuRev1320电表到Acuview2上，连接状态为connected。
2、Special Weekday Schedule栏，配置添加1个不存在的season
3、上位机上点击"Update"。
4、检查步骤2-3中的配置是否保存成功。</t>
    <phoneticPr fontId="10" type="noConversion"/>
  </si>
  <si>
    <t>1、连接AcuRev1320电表到Acuview2上，连接状态为connected。
2、配置Season1(startDate：03-02)，关联Schedule1(Segment1    07:00 peak)
3、配置Schedule2(Segment1 10:00 Sharp)
4、使能“Special Weekday Schedule"开关
5、Special Weekday Schedule栏Season1配置Schedule2勾选Sat、Sun、Mon、Tue、Wed、Tue、Thu、Fri)
6、修改系统时间为2024.03-07(Tue) 08:00， 接入接入电压220V，电流4A，等待5分钟
6.1、观察上位机上当月累计Sharp电能和新增Sharp电能数据是否增加。其他费率电能没有变化，
7、修改系统时间为2024.03-09(Sat) 08:00， 接入接入电压220V，电流4A，等待5分钟
7.1、观察上位机上当月累计Sharp电能和新增Sharp电能数据是否增加。其他费率电能没有变化</t>
  </si>
  <si>
    <t>1、连接AcuRev1320电表到Acuview2上，连接状态为connected。
2、Monthly Billing Mode 设置为 "10日 00：00"
3、设置TOU Season1(04-02), 关联Schedule1(Segment 08:00 Valley)
4、清除TOU Weekends 日期配置 和 TOU Holiday 日期配置， 清除系统上电能数据。
5、修改系统时间2024-05-03 00:00，接入接入电压220V，电流4A，等待5分钟， 断开输入源
6、观察上位机上当月累计Valley电能和新增Valley电能数据是否增加。其他费率电能没有变化。
7、修改系统时间2024-06-09 23:55， 等待5分钟
8、观察上位机上当月(6月份）新增Valley电能数全部为0
9、观察上位机上前一个月(5月份)累计Valley电能和新增Valley电能数为5月份新增和累计的电能(P_import 约0.0733KWH)
10、接入接入电压220V，电流4A，等待5分钟，断开输入源
11、观察上位机上当月累计Valley电能和新增Valley电能数据是否增加((P_import 约0.0733KWH)。其他费率电能没有变化。
12、修改系统时间2024-07-09 23:55， 等待5分钟
13、观察上位机上当月(7月份)新增Valley电能数为0
14、观察上位机上前一个月(6月份)累计Valley电能为5月份累计的Valley电能加上6月份累计电能之和(P_import _累计约0.1466KWH)，前一个月(6月份)新增Valley电能没有改变(P_import _累计约0.0733KWH)</t>
    <phoneticPr fontId="10" type="noConversion"/>
  </si>
  <si>
    <t>6、上位机上当月累计Valley电能和新增Valley电能数据增加(P_import _累计 约0.0733KWH)。其他费率电能没有变化。
8、上位机上当月(6月份)新增Valley电能数全部为0
9、上位机上前一个月(5月份)累计Valley电能和新增Valley电能数为5月份新增和累计的电能(P_import 约0.0733KWH)
11、上位机上当月(6月份)累计Valley电能和新增Valley电能数据增加((P_import 约0.0733KWH)。其他费率电能没有变化。
13、上位机上当月(7月份)新增Valley电能数为0
14、观察上位机上前一个月(6月份)累计Valley电能为5月份累计的Valley电能加上6月份累计电能之和(P_import _累计约0.1466KWH)，前一个月(6月份)新增Valley电能没有改变(P_import _累计约0.0733KWH)</t>
    <phoneticPr fontId="10" type="noConversion"/>
  </si>
  <si>
    <t>1、连接AcuRev1320电表到Acuview2上，连接状态为connected。
2、表计上电空载，Monthly Billing Mode 设置为 "End Of Month"
3、设置TOU Season1(01-01), 关联Schedule1如下： 
Segment01  01:00 sharp 
Segment02  01:05 peak
Segment03  01:10 normal
Segment04  01:15 Valley
4、给表接入表计220V、5A，修改表计时钟到2025-01-01 01：00，持续走电量20min
5、去掉电流，读表计各个tou电量寄存器数据
6、修改时钟到2025-01-31 23：58：00后掉电
7、掉电5min后上电，查看表计各个tou电量寄存器数据</t>
    <phoneticPr fontId="10" type="noConversion"/>
  </si>
  <si>
    <t>1、连接AcuRev1320电表到Acuview2上，连接状态为connected。
2、设置tou schedules如下：
schedules id=1 （01：00  sharp）
schedules id=2 （01：00  peak）
schedules id=3（01：00  Normal ）
schedules id=4（01：00  Valley ）
3、设置season如下：
season id=1 （01-01 schedules id=1 sharp）
season id=2  （09-01 schedules id=1 peak）
4、weekday设置如下：
thu  : schedules id=3（01：00  Normal ）
5、special weekday设置如下：
thu ：schedules id=2 （01：00  peak）
6、节假日设置如下：
05-01 schedules id=4（01：00  Valley ）
10-01 schedules id=3（01：00  Normal ）
7、修改时钟到2025-05-01 02：00 加电压电流进行走电流，查看tou电能量在哪个费率下累加
8、继续修改时钟到2025-05-08 02：00加电压电流进行走电流，查看tou电能量在哪个费率下累加
9、判断优先级大小</t>
    <phoneticPr fontId="10" type="noConversion"/>
  </si>
  <si>
    <t>2、设置成功
3、设置成功
4、设置成功
5、设置成功
6、设置成
7、修改时钟成功，tou电能量在valley费率下累加
8、修改时钟成功，tou电能量在peak费率下累加
9、由步骤7可得出优先级最高的为节假日，由步骤8得知优先级最低的的season，且special weekday优先级高于weekday，故整个优先级排序为节假日&gt;special weekday&gt;weekday&gt;season
备注：ten tou holiday目前做法还需确认，优先级待添加</t>
    <phoneticPr fontId="10" type="noConversion"/>
  </si>
  <si>
    <t>5.电量被清掉
6.此时表计在normal下正常累加电量
7.持续走字5min后，表计时钟为2025-04-01 00：00，表计tou电量当前在sharp下走字
8.此时表计在sharp下正常累加电量
9.持续走字5min后，表计时钟2025-09-30 23:00:00，表计tou电量不被清零，当前在sharp下走字，1h后表计tou电量被清零，当前在normal下走字.</t>
    <phoneticPr fontId="10" type="noConversion"/>
  </si>
  <si>
    <t>1、连接AcuRev1320电表到Acuview2上，连接状态为connected。
2、设置电表需量模式为fix,demand interval为5min,demand update为5min
3、表计不输入电压、电流值
4、10min后，查看Demand及tou Max Demand均为0
5、表计施加200V,5A,压流角为0
6、此后再等待10min后，查看Demand及tou Max Demand是否相同，均为1kW</t>
  </si>
  <si>
    <t>4、数据均为0
6、10min后，查看Demand及tou Max Demand相同，均为1kW</t>
  </si>
  <si>
    <t>1、连接AcuRev1320电表到Acuview2上，连接状态为connected。
2、设置电表需量模式为fix,demand interval为5min,demand update为5min，Monthly Billing Mode设置为"End Of Month" 
3、表计施加200V,5A,压流角为0
4、10min后，查看Demand及tou Max Demand是否相同，均为1kW
5、修改时钟到2026.01.31 23：59：55，去掉电表外加的电压及电流，记录此时Max Demand数据
6、查看5min后，当前月tou Max Demand是否变为0
7、查看上一月tou Max Demand是否与5中记录的Max Demand数据一致</t>
  </si>
  <si>
    <t>1、连接AcuRev1320电表到Acuview2上，连接状态为connected。
2、设置电表需量模式为fix,demand interval为5min,demand update为5min，Monthly Billing Mode设置为"End Of Month" 
3、表计施加200V,5A,压流角为0
4、10min后，查看Max Demand及tou Max Demand是否相同，均为1kW
5、修改时钟到2026.01.31 23：59：55，去掉电表外加的电压及电流，记录此时Max Demand数据
6、掉电5min后，上电查看当前月tou Max Demand是否变为0
7、查看上一月tou Max Demand是否与5中记录的Max Demand数据一致</t>
    <phoneticPr fontId="10" type="noConversion"/>
  </si>
  <si>
    <t>电能质量事件</t>
    <phoneticPr fontId="10" type="noConversion"/>
  </si>
  <si>
    <t>3、Event log最大值200，超过200条后，满足先进先出存储规则。
2026/3/6：ID会循环</t>
    <phoneticPr fontId="10" type="noConversion"/>
  </si>
  <si>
    <t>1.设置录波采样类型"Waveform Sampling Type" 设置32 points
2.设置事件前波形个数(Number of recorded waves before the event occurred)为10与事件后的波形个数(Number of recorded waves after the event occurred)为10
3.配置阈值和抖动参数(阈值：50%，抖动：5%), 额定电压设置230V，使用电能质量仪触发电压骤降(Voltage Sag), U小于(10%-10%)*230，
4.打开电压骤降录波功能，多次进行电压骤降及骤降结束，查看event log 与 Waveform log有关电压骤降的事件</t>
    <phoneticPr fontId="10" type="noConversion"/>
  </si>
  <si>
    <t>Function_AcuRev1320_014_01_case7_1</t>
    <phoneticPr fontId="10" type="noConversion"/>
  </si>
  <si>
    <t>PQ Event和Waveform打开关闭的设计逻辑验证</t>
    <phoneticPr fontId="10" type="noConversion"/>
  </si>
  <si>
    <t>1、上位机和WEB打开PQ Event使能开关
2、打开Waveform使能开关
3、同时打开PQ Event使能开关和Waveform使能开关
2、关闭PQ Event使能开关</t>
    <phoneticPr fontId="10" type="noConversion"/>
  </si>
  <si>
    <t>1、打开PQ Event使能开关成功
2、打开Waveform使能开关成功
3、同时打开PQ Event使能开关和Waveform使能开关成功
4、关闭PQ Event使能开关时，Waveform使能开关同时被关掉</t>
    <phoneticPr fontId="10" type="noConversion"/>
  </si>
  <si>
    <t>Function_AcuRev1320_014_01_case8</t>
    <phoneticPr fontId="10" type="noConversion"/>
  </si>
  <si>
    <t>电压骤降(Voltage Sag)，配置阈值和抖动参数(阈值：10%，抖动：1%)，触发&amp;结束事件成功，记录事件成功(时间戳，持续时间，事件类型，用户通道各相的最大值，最小值)。</t>
    <phoneticPr fontId="10" type="noConversion"/>
  </si>
  <si>
    <t>4、上位机上会出现电压骤降(Voltage Sag)的Event log。
6、上位机上会出现电压骤降(Voltage Sag)的结束的Event log。
2026/3/24：产品经理回复：骤降的阈值 &gt; 中断阈值 + 10%，防止骤降和中断事件混淆。中断阈值最小5%，因此Voltage Sag无法设置10% 。</t>
  </si>
  <si>
    <t>电压骤降(Voltage Sag)，配置阈值和抖动参数(阈值：90%，抖动：10%)，触发&amp;结束事件成功，记录事件成功(时间戳，持续时间，事件类型，用户通道各相的最大值，最小值)。</t>
    <phoneticPr fontId="10" type="noConversion"/>
  </si>
  <si>
    <t>1、连接AcuRev1320电表到Acuview2上，连接状态为connected。
2、配置阈值和抖动参数(阈值：50%，抖动：10%), 额定电压设置230V
3、使用电能质量仪触发A相电压骤降(Voltage Sag), Ua小于(50%-10%)*230V
4、检查上位机上是否会出现电压骤降(Voltage Sag)的Event log。
5、使用电能质量仪触发电压骤降(Voltage Sag), U大于(50%+10%)*230V
6、检查上位机上是否会出现电压骤降(Voltage Sag)的结束的Event log。</t>
  </si>
  <si>
    <t>1、连接AcuRev1320电表到Acuview2上，连接状态为connected。
2、配置阈值和抖动参数(阈值：50%，抖动：10%), 额定电压设置230V
3、使用电能质量仪触发B相电压骤降(Voltage Sag), Ub小于(50%-10%)*230V
4、检查上位机上是否会出现电压骤降(Voltage Sag)的Event log。
5、使用电能质量仪触发电压骤降(Voltage Sag), U大于(50%+10%)*230V
6、检查上位机上是否会出现电压骤降(Voltage Sag)的结束的Event log。</t>
    <phoneticPr fontId="10" type="noConversion"/>
  </si>
  <si>
    <t>1、连接AcuRev1320电表到Acuview2上，连接状态为connected。
2、配置阈值和抖动参数(阈值：50%，抖动：10%), 额定电压设置230V
3、使用电能质量仪触发C相电压骤降(Voltage Sag), Uc小于(50%-10%)*230V
4、检查上位机上是否会出现电压骤降(Voltage Sag)的Event log。
5、使用电能质量仪触发电压骤降(Voltage Sag), U大于(50%+10%)*230V
6、检查上位机上是否会出现电压骤降(Voltage Sag)的结束的Event log。</t>
    <phoneticPr fontId="10" type="noConversion"/>
  </si>
  <si>
    <t>1、连接AcuRev1320电表到Acuview2上，连接状态为connected。
2、配置阈值和抖动参数(阈值：50%，抖动：10%), 额定电压设置230V
3、使用电能质量仪触发ACB相电压骤降(Voltage Sag), U小于(50%-10%)*230V
4、检查上位机上是否会出现电压骤降(Voltage Sag)的Event log。
5、使用电能质量仪触发B相电压骤降(Voltage Sag), U大于(50%+10%)*230V
6、检查上位机上是否会出现电压骤降(Voltage Sag)的结束的Event log。
7、使用电能质量仪触发ABC相电压骤降(Voltage Sag), U小于(50%-10%)*230V
8、检查上位机上是否会出现电压骤降(Voltage Sag)的Event log。
9、使用电能质量仪触发B、C相电压骤降(Voltage Sag), U大于(50%+10%)*230V
10、检查上位机上是否会出现电压骤降(Voltage Sag)的结束的Event log。</t>
    <phoneticPr fontId="10" type="noConversion"/>
  </si>
  <si>
    <t>4、上位机上会出现电压骤降(Voltage Sag)的Event log。
6、上位机上不会出现电压骤降(Voltage Sag)的结束的Event log。
7.上位机上会出现电压骤降(Voltage Sag)的Event log。
10、上位机上不会出现电压骤降(Voltage Sag)的结束的Event log。</t>
    <phoneticPr fontId="10" type="noConversion"/>
  </si>
  <si>
    <t>电压骤升(Voltage Swell)，配置阈值和抖动参数(阈值：150%，抖动：10%)，触发&amp;结束事件成功，记录事件成功(时间戳，持续时间，事件类型，用户通道各相的最大值，最小值)。</t>
    <phoneticPr fontId="10" type="noConversion"/>
  </si>
  <si>
    <t>1、连接AcuRev1320电表到Acuview2上，连接状态为connected。
2、配置阈值和抖动参数(阈值：110%，抖动：10%), 额定电压设置69V
3、使用电能质量仪触发A相电压骤升(Voltage Swell), Ua大于(110%+10%)*69
4、检查上位机上是否会出现电压骤升(Voltage Swell)的Event log。
5、使用电能质量仪触发三相电压骤升(Voltage Swell)结束, U小于(110%-10%)*69
6、检查上位机上是否会出现电压骤升(Voltage Swell)的结束的Event log。</t>
    <phoneticPr fontId="10" type="noConversion"/>
  </si>
  <si>
    <t>4、上位机上会出现电压骤升(Voltage Swell)的Event log。
6、上位机上会出现电压骤升(Voltage Swell)的结束的Event log。</t>
    <phoneticPr fontId="10" type="noConversion"/>
  </si>
  <si>
    <t>1、连接AcuRev1320电表到Acuview2上，连接状态为connected。
2、配置阈值和抖动参数(阈值：110%，抖动：10%), 额定电压设置69V
3、使用电能质量仪触发B相电压骤升(Voltage Swell), Ub大于(110%+10%)*69
4、检查上位机上是否会出现电压骤升(Voltage Swell)的Event log。
5、使用电能质量仪触发三相电压骤升(Voltage Swell)结束, U小于(110%-10%)*69
6、检查上位机上是否会出现电压骤升(Voltage Swell)的结束的Event log。</t>
  </si>
  <si>
    <t>1、连接AcuRev1320电表到Acuview2上，连接状态为connected。
2、配置阈值和抖动参数(阈值：110%，抖动：10%), 额定电压设置69
3、使用电能质量仪触发C相电压骤升(Voltage Swell), Uc大于(110%+10%)*69
4、检查上位机上是否会出现电压骤升(Voltage Swell)的Event log。
5、使用电能质量仪触发三相电压骤升(Voltage Swell)结束, U小于(110%-10%)*69
6、检查上位机上是否会出现电压骤升(Voltage Swell)的结束的Event log。</t>
    <phoneticPr fontId="10" type="noConversion"/>
  </si>
  <si>
    <t>4、上位机上会出现B相电压骤升(Voltage Swell)的Event log。
6、上位机上不会出现电压骤升(Voltage Swell)的结束的Event log。
7.上位机上会出现C相电压骤升(Voltage Swell)的Event log。
10、上位机上不会出现电压骤升(Voltage Swell)的结束的Event log。</t>
    <phoneticPr fontId="10" type="noConversion"/>
  </si>
  <si>
    <t>1、连接AcuRev1320电表到Acuview2上，连接状态为connected。
2、配置阈值和抖动参数(阈值：120%，抖动：5%), 额定电压设置69
3、使用电能质量仪触发电压骤升(Voltage Swell), U大于(120%+5%)*69
4、检查上位机上是否会出现电压骤升(Voltage Swell)的Event log。
5、使用电能质量仪触发电压骤升(Voltage Swell), U小于(120%-5%)*69
6、检查上位机上是否会出现电压骤升(Voltage Swell)的结束的Event log。</t>
  </si>
  <si>
    <t>1、连接AcuRev1320电表到Acuview2上，连接状态为connected。
2、配置阈值和抖动参数(阈值：5%，抖动：1%), 额定电压设置220V
3、使用电能质量仪触发电压中断(Voltage Interruption),  三相电压均小于(5%-1%)*220
4、检查上位机上是否会出现电压骤升(Voltage Interruption)的Event log。
5、使用电能质量仪触发电压中断(Voltage Interruption), 三相电压有一个等于于(5%+1%)*220
6、检查上位机上是否会出现电压骤升(Voltage Interruption)的结束的Event log。</t>
    <phoneticPr fontId="10" type="noConversion"/>
  </si>
  <si>
    <t>1、连接AcuRev1320电表到Acuview2上，连接状态为connected。
2、配置阈值和抖动参数(阈值：20%，抖动：1%), 额定电压设置220V
3、使用电能质量仪触发电压中断(Voltage Interruption), ABC相电压小于(20%-1%)*220
4、检查上位机上是否会出现电压骤升(Voltage Interruption)的Event log。
5、使用电能质量仪触发电压中断(Voltage Interruption), A相电压大于(20%+1%)*220
6、检查上位机上是否会出现电压骤升(Voltage Interruption)的结束的Event log。</t>
    <phoneticPr fontId="10" type="noConversion"/>
  </si>
  <si>
    <t>Function_AcuRev1320_014_01_case37</t>
    <phoneticPr fontId="10" type="noConversion"/>
  </si>
  <si>
    <t>1、连接AcuRev1320电表到Acuview2上，连接状态为connected。
2、配置阈值和抖动参数(阈值：110%，抖动：10%), 额定电压设置3A，
2.1、设置录波采样类型"Waveform Sampling Type" 设置16 points
2.2、设置事件前波形个数(Number of recorded waves before the event occurred)为10与事件后的波形个数(Number of recorded waves after the event occurred)为10
3、使用电能质量仪触发电流骤升(Current Swell), 任意一路电流I大于(110%+10%)*3A
4、检查上位机上是否会出现电流骤升(Current Swell)的Event log。
5、使用电能质量仪触发电流骤升(Current Swell), 三路I均小于(110%-10%)*3A
6、检查上位机上是否会出现电流骤升(Current Swell)的结束的Event log。
7、查看录波是否正常</t>
    <phoneticPr fontId="10" type="noConversion"/>
  </si>
  <si>
    <t>4、上位机上会出现电流骤升(Current Swell)的Event log。
6、上位机上会出现电流骤升(Current Swell)的结束的Event log。
7、查看录波正常</t>
    <phoneticPr fontId="10" type="noConversion"/>
  </si>
  <si>
    <t>Function_AcuRev1320_014_01_case45</t>
    <phoneticPr fontId="10" type="noConversion"/>
  </si>
  <si>
    <t>Function_AcuRev1320_014_01_case47</t>
    <phoneticPr fontId="10" type="noConversion"/>
  </si>
  <si>
    <t>接线方式选为2e3w 1phase
电流骤升(Current Swell), 配置阈值和抖动参数(阈值：110%，抖动：10%)，触发&amp;结束事件成功，记录事件成功(时间戳，持续时间，事件类型，用户通道各相的最大值，最小值)。</t>
    <phoneticPr fontId="10" type="noConversion"/>
  </si>
  <si>
    <t>Function_AcuRev1320_014_01_case48</t>
    <phoneticPr fontId="10" type="noConversion"/>
  </si>
  <si>
    <t>4、上位机上会出现电流骤升(Current Swell)的Event log。
6、上位机上会出现电流骤升(Current Swell)的结束的Event log。
7、查看录波正常 
2026/3/6：用例问题，修改配置前5后5</t>
    <phoneticPr fontId="10" type="noConversion"/>
  </si>
  <si>
    <t>电流骤升(Current Swell)，配置范围外阈值和抖动参数失败。范围外阈值：0%、100%、109%、151%、160%，范围外抖动值：0%、0.5%、11%、100%</t>
    <phoneticPr fontId="10" type="noConversion"/>
  </si>
  <si>
    <t>1、连接AcuRev1320电表到Acuview2上，连接状态为connected。
2、配置电流骤升(Current Swell)阈值参数分别为0%、100%、109%、151%、160% 额定电压设置220V
3、检查上位机是否可以配置并保存成功
5、配置电压骤升(Current Swell)抖动参数分别为0%、0.5%、11%、100%
6、检查上位机是否可以配置并保存成功</t>
    <phoneticPr fontId="10" type="noConversion"/>
  </si>
  <si>
    <t>1、连接AcuRev1320电表到Acuview2上，连接状态为connected。
2、配置阈值和抖动参数(阈值：30%，抖动：5%)
3、使用电能质量仪模拟电压不平衡，且满足不平衡电压大于35%
4、检查上位机上是否会出现电压不平衡发生的Event log。
5、使用电能质量仪模拟电压不平衡，且满足不平衡电压小于25%
6、检查上位机上是否会出现电压不平衡结束的Event log。
备注：不平衡电压如何计算？</t>
    <phoneticPr fontId="10" type="noConversion"/>
  </si>
  <si>
    <t>Function_AcuRev1320_014_01_case53</t>
    <phoneticPr fontId="10" type="noConversion"/>
  </si>
  <si>
    <t>2.上位机提示写入失败</t>
    <phoneticPr fontId="10" type="noConversion"/>
  </si>
  <si>
    <t>4.电压不平衡触发，事件记录发生；
6.电压不平衡消失，事件记录结束；
7、录波正常
2026/3/6：前2后3</t>
    <phoneticPr fontId="10" type="noConversion"/>
  </si>
  <si>
    <t>1、连接AcuRev1320电表到Acuview2上，连接状态为connected。
2、配置阈值和抖动参数(阈值：50%，抖动：10%)
2.1、设置录波采样类型"Waveform Sampling Type" 设置16points
2.2、设置事件前波形个数(Number of recorded waves before the event occurred)为10与事件后的波形个数(Number of recorded waves after the event occurred)为10
3、使用电能质量仪模拟电压不平衡，且满足不平衡电压大于60%
4、检查上位机上是否会出现电压不平衡发生的Event log。
5、使用电能质量仪模拟电压不平衡，且满足不平衡电压小于40%
6、检查上位机上是否会出现电压不平衡结束的Event log。
7、查看录波是否正常</t>
    <phoneticPr fontId="10" type="noConversion"/>
  </si>
  <si>
    <t>电压不平衡
接线方式选为2e3w delta
配置阈值和抖动参数(阈值：40%，抖动：10%)，当不平衡电压大于（阈值+抖动）时，事件触发 ；当不平衡电压小于（阈值-抖动）时，事件结束</t>
    <phoneticPr fontId="10" type="noConversion"/>
  </si>
  <si>
    <t>1、连接AcuRev1320电表到Acuview2上，连接状态为connected。
2、配置阈值和抖动参数(阈值：40%，抖动：10%)
3、使用电能质量仪模拟电压不平衡，且满足不平衡电压大于50%
4、检查上位机上是否会出现电压不平衡发生的Event log。
5、使用电能质量仪模拟电压不平衡，且满足不平衡电压小于30%
6、检查上位机上是否会出现电压不平衡结束的Event log。</t>
    <phoneticPr fontId="10" type="noConversion"/>
  </si>
  <si>
    <t>4.电压不平衡触发，事件记录发生；
6.电压不平衡消失，事件记录结束；</t>
    <phoneticPr fontId="10" type="noConversion"/>
  </si>
  <si>
    <t>电压不平衡
接线方式选为2e3w network
配置阈值和抖动参数(阈值：20%，抖动：10%)，当不平衡电压大于（阈值+抖动）时，事件触发 ；当不平衡电压小于（阈值-抖动）时，事件结束</t>
    <phoneticPr fontId="10" type="noConversion"/>
  </si>
  <si>
    <t>1、连接AcuRev1320电表到Acuview2上，连接状态为connected。
2、配置阈值和抖动参数(阈值：20%，抖动：10%)
2.1、设置录波采样类型"Waveform Sampling Type" 设置64points
2.2、设置事件前波形个数(Number of recorded waves before the event occurred)为10与事件后的波形个数(Number of recorded waves after the event occurred)为10
3、使用电能质量仪模拟电压不平衡，且满足不平衡电压大于30%
4、检查上位机上是否会出现电压不平衡发生的Event log。
5、使用电能质量仪模拟电压不平衡，且满足不平衡电压小于10%
6、检查上位机上是否会出现电压不平衡结束的Event log。
7、查看录波是否正常</t>
    <phoneticPr fontId="10" type="noConversion"/>
  </si>
  <si>
    <t>电能质量事件记录验证</t>
    <phoneticPr fontId="10" type="noConversion"/>
  </si>
  <si>
    <t xml:space="preserve">1、连接AcuRev1320电表到Acuview2上，连接状态为connected。
2、配置阈值和抖动参数(阈值：5%，抖动：5%)
3、使用电能质量仪模拟电流不平衡，且满足不平衡电流大于0%
4、检查上位机上是否会出现电流不平衡发生的Event log。
</t>
    <phoneticPr fontId="10" type="noConversion"/>
  </si>
  <si>
    <t>1、连接AcuRev1320电表到Acuview2上，连接状态为connected。
2、配置阈值和抖动参数(阈值：10%，抖动：5%)
2.1、设置录波采样类型"Waveform Sampling Type" 设置32points
2.2、设置事件前波形个数(Number of recorded waves before the event occurred)为10与事件后的波形个数(Number of recorded waves after the event occurred)为10
3、使用电能质量仪模拟电流不平衡，且满足不平衡电流大于15%
4、检查上位机上是否会出现电流不平衡发生的Event log。
5、使用电能质量仪模拟电流不平衡，且满足不平衡电流小于5%
6、检查上位机上是否会出现电流不平衡结束的Event log。
7、查看录波数据是否正常</t>
    <phoneticPr fontId="10" type="noConversion"/>
  </si>
  <si>
    <t>Function_AcuRev1320_014_01_case66</t>
    <phoneticPr fontId="10" type="noConversion"/>
  </si>
  <si>
    <t>电能质量曲线报告</t>
    <phoneticPr fontId="10" type="noConversion"/>
  </si>
  <si>
    <t>Function_AcuRev1320_014_02_case01</t>
    <phoneticPr fontId="10" type="noConversion"/>
  </si>
  <si>
    <t>电压骤升
电压骤升(Voltage Swell)，配置阈值和抖动参数(阈值：150%，抖动：10%)</t>
    <phoneticPr fontId="10" type="noConversion"/>
  </si>
  <si>
    <t>1、连接AcuRev1320电表到Acuview2上，连接状态为connected。
2、模拟电表多条电压骤降、骤升共计200条
3、分别查看电能质量事件中电压骤降与电压骤升的事件条数与内容
4、分别查看电能质量曲线报告中记录的电压骤降及电压骤升数据
5、比对两组数据的数据条数及内容是否一致
6、继续模拟任意5条电能质量事件
7、重复3~5的操作</t>
  </si>
  <si>
    <t>接线方式选择1e2w,分别模拟电压骤降，中断，骤升事件，电流骤升，查看记录是否正常</t>
    <phoneticPr fontId="10" type="noConversion"/>
  </si>
  <si>
    <t>Function_AcuRev1320_014_03_case02</t>
    <phoneticPr fontId="10" type="noConversion"/>
  </si>
  <si>
    <t>接线方式选择2e3w1phase，分别模拟电压骤降，中断，骤升事件，电流骤升，查看记录是否正常</t>
    <phoneticPr fontId="10" type="noConversion"/>
  </si>
  <si>
    <t>Function_AcuRev1320_014_03_case03</t>
    <phoneticPr fontId="10" type="noConversion"/>
  </si>
  <si>
    <t>接线方式选择2e3w delta，分别模拟电压骤降，中断，骤升事件，电流骤升，查看记录是否正常</t>
    <phoneticPr fontId="10" type="noConversion"/>
  </si>
  <si>
    <t>Function_AcuRev1320_014_03_case04</t>
    <phoneticPr fontId="10" type="noConversion"/>
  </si>
  <si>
    <r>
      <t>1.接线方式选择2e3w1 network，给表接入A、B、C三相电压
2.打开表计电流骤升PQ EVENT使能
3.模拟表计电压UA、</t>
    </r>
    <r>
      <rPr>
        <strike/>
        <sz val="8"/>
        <color theme="1"/>
        <rFont val="微软雅黑"/>
        <family val="2"/>
        <charset val="134"/>
      </rPr>
      <t>UB、</t>
    </r>
    <r>
      <rPr>
        <sz val="8"/>
        <color theme="1"/>
        <rFont val="微软雅黑"/>
        <family val="2"/>
        <charset val="134"/>
      </rPr>
      <t>UC骤降、中断、骤升事件，查看pq event记录及waveform波形图
用例需更新，1320 电表的Network接线方式只有A相和C相</t>
    </r>
    <phoneticPr fontId="10" type="noConversion"/>
  </si>
  <si>
    <t>Function_AcuRev1320_014_03_case05</t>
    <phoneticPr fontId="10" type="noConversion"/>
  </si>
  <si>
    <t>1.接线方式选择3e4w delta，给表接入A、B、C三相电压
2.打开表计电流骤升PQ EVENT使能
3.模拟表计电压UA、UB、UC骤降、中断、骤升事件，查看pq event记录及waveform波形图
用例需更新，1320 电表的Network接线方式只有A相和C相</t>
  </si>
  <si>
    <t>Function_AcuRev1320_014_03_case06</t>
    <phoneticPr fontId="10" type="noConversion"/>
  </si>
  <si>
    <t>Function_AcuRev1320_014_03_case08</t>
    <phoneticPr fontId="10" type="noConversion"/>
  </si>
  <si>
    <t xml:space="preserve">1.电表接4负载,3e4w Y，表计上电；
2.打开表计电流骤升PQ EVENT使能开关及录波功能
3.模拟表计多次发生、结束电流骤升事件
4.观察表计液晶显示
</t>
  </si>
  <si>
    <t>1e2w 接线方式，Independent input channel 使能，验证电压骤升、骤降、中断事件</t>
  </si>
  <si>
    <t>1.接线方式选择1e2w，给表接入A、B、C三相电压
2.打开表计PQ EVENT使能,waveform 使能
3.模拟表计电压UA 骤降、中断、骤升事件，查看pq event记录
4.模拟表计电压UB和UC 骤降、中断、骤升事件，查看pq event记录</t>
  </si>
  <si>
    <t>3、查看pq event 记录中存在对应的电压骤降、中断、骤升事件，日志中包含独立模式enable 标识；
读取对应的waveform log，绘制A相电压的波形图
4、 不触发电压骤降、中断、骤升事件</t>
  </si>
  <si>
    <t>2e3w network接线方式，Independent input channel 使能，验证电压骤升、骤降、中断、电压不平衡事件</t>
  </si>
  <si>
    <t>1.接线方式选择2e3w network，给表接入A、B、C三相电压
2.打开表计PQ EVENT使能,waveform 使能
3.模拟表计电压UA、UC 骤降、中断、骤升事件以及电压不平衡事件，查看pq event记录
4.模拟表计电压UB 骤降、中断、骤升事件，查看pq event记录</t>
  </si>
  <si>
    <t>3、查看pq event 记录中存在对应的电压骤降、中断、骤升、不平衡事件，日志中包含独立模式enable 标识；
读取对应的waveform log，绘制A相和C相电压的波形图
4、 不触发电压骤降、中断、骤升事件</t>
  </si>
  <si>
    <t>2e3w delta接线方式，Independent input channel 使能，验证电压骤升、骤降、中断、电压不平衡事件</t>
  </si>
  <si>
    <t>1.接线方式选择2e3w delta，给表接入A、B、C三相电压，其中B相电压接入电表的N相
2.打开表计PQ EVENT使能,waveform 使能
3.模拟表计电压UAB、UBC、UCA骤降、中断、骤升事以及电压不平衡事件，查看pq event记录</t>
  </si>
  <si>
    <t>3e4w delta接线方式，Independent input channel 使能，验证电压骤升、骤降、中断、电压不平衡事件</t>
  </si>
  <si>
    <t>Function_AcuRev1320_014_03_case15</t>
    <phoneticPr fontId="10" type="noConversion"/>
  </si>
  <si>
    <t>3e4w y接线方式，Independent input channel 使能，验证电压骤升、骤降、中断、电压不平衡事件</t>
  </si>
  <si>
    <t>遍历6种接线方式，Independent input channel 使能，验证电流骤升事件</t>
  </si>
  <si>
    <t xml:space="preserve">1. 打开表计PQ EVENT使能,waveform 使能
2.  遍历配置6种接线方式，分别利用Ia、Ib、Ic、In 触发电流骤升事件
</t>
  </si>
  <si>
    <t>2. 模拟电流骤升事件，查看pq event记录内容与实际一致，包含独立模式enable标识；包含summation配置，例如：summation1、sumation2 、 both</t>
  </si>
  <si>
    <t>1、连接AcuRev1320电表到Acuview2上，连接状态为connected。
2、设置录波采样类型"Waveform Sampling Type" 是否最大设置128 points
2.1 检查事件前波形个数(Number of recorded waves before the event occurred)与事件后的波形个数(Number of recorded waves after the event occurred)之和是否小于等于20.
3、配置阈值和抖动参数(阈值：120%，抖动：5%), 额定电压设置220V
4、使用电能质量仪触发电压骤升, U大于(120%+5%)*220
5、检查上位机上是否会出现电压骤升的Event log。
6、上位机上检查录波采样点数是否最多为2560个
用例待更新： Sample Rate 最大可以配置512</t>
  </si>
  <si>
    <t>Function_AcuRev1320_014_04_case02</t>
    <phoneticPr fontId="10" type="noConversion"/>
  </si>
  <si>
    <t>电压骤降事件(Voltage Sag)，采样评率设置为16 sample/cycle，触发录波(Ua,Ub,Uc)正常</t>
    <phoneticPr fontId="10" type="noConversion"/>
  </si>
  <si>
    <t>电压骤降事件(Voltage Sag)，采样评率设置为32 sample/cycle，触发录波(Ua,Ub,Uc)正常</t>
    <phoneticPr fontId="10" type="noConversion"/>
  </si>
  <si>
    <t>4、上位机上会出现电压骤降(Voltage Sag)的Event log。
5、点击Voltage Sag生成的Event log生成对应录波
6、上位机上录波采样点数为640个(excel导出采样点，记录统计采样个数)</t>
    <phoneticPr fontId="10" type="noConversion"/>
  </si>
  <si>
    <t>1、连接AcuRev1320电表到Acuview2上，连接状态为connected。
1.1、设置录波采样类型"Waveform Sampling Type" 设置256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
2026/3/9：设置事件前波形个数(Number of recorded waves before the event occurred)为5与事件后的波形个数(Number of recorded waves after the event occurred)为5</t>
  </si>
  <si>
    <t xml:space="preserve">4、上位机上会出现电压骤降(Voltage Swell)的Event log。
5、点击Voltage Swell生成的Event log生成对应录波
6、上位机上录波采样点数为2560个(excel导出采样点，记录统计采样个数)
2026/3/9：设置事件前波形个数(Number of recorded waves before the event occurred)为5与事件后的波形个数(Number of recorded waves after the event occurred)为5
</t>
    <phoneticPr fontId="10" type="noConversion"/>
  </si>
  <si>
    <t>1、连接AcuRev1320电表到Acuview2上，连接状态为connected。
1.1、设置录波采样类型"Waveform Sampling Type" 设置512 points
1.2、设置事件前波形个数(Number of recorded waves before the event occurred)为10与事件后的波形个数(Number of recorded waves after the event occurred)为10
2、配置阈值和抖动参数(阈值：120%，抖动：10%), 额定电压设置220V
3、使用电能质量仪触发电压骤升(Voltage Swell), U大于(120%+10%)*230
4、检查上位机上是否会出现电压骤升(Voltage Swell)的Event log。
5、点击Voltage Swell生成的Event log是否生成对应录波
6、上位机上检查录波采样点数是否为2560个(excel导出采样点，记录统计采样个数)
2026/3/9：设置事件前波形个数(Number of recorded waves before the event occurred)为2与事件后的波形个数(Number of recorded waves after the event occurred)为3</t>
    <phoneticPr fontId="10" type="noConversion"/>
  </si>
  <si>
    <t>电压中断(Voltage Interruption)，采样评率设置为16 sample/cycle，触发录波(Ua,Ub,Uc)正常</t>
    <phoneticPr fontId="10" type="noConversion"/>
  </si>
  <si>
    <t>1、连接AcuRev1320电表到Acuview2上，连接状态为connected。
1.1、设置录波采样类型"Waveform Sampling Type" 设置32 points
1.2、设置事件前波形个数(Number of recorded waves before the event occurred)为60与事件后的波形个数(Number of recorded waves after the event occurred)为20
2、配置阈值和抖动参数(阈值：20%，抖动：10%), 额定电压设置220V
3、使用电能质量仪触发电压中断(Voltage Interruption), U大于(20%-10%)*230
4、检查上位机上是否会出现电压骤升(Voltage Interruption)的Event log。
5、点击Voltage Interruption生成的Event log是否生成对应录波
6、上位机上检查录波采样点数是否为640个(excel导出采样点，记录统计采样个数)
2026/3/9：采样点2560个</t>
  </si>
  <si>
    <t>电流骤升(Current Swell)，采样评率设置为128 sample/cycle，触发录波(Ia,Ib,Ic)正常</t>
    <phoneticPr fontId="10" type="noConversion"/>
  </si>
  <si>
    <t>电压不平衡，采样评率设置为16 sample/cycle，触发录波(Ua、Ub、Uc)正常</t>
    <phoneticPr fontId="10" type="noConversion"/>
  </si>
  <si>
    <t>waveform log数据读取范围</t>
    <phoneticPr fontId="10" type="noConversion"/>
  </si>
  <si>
    <t>1、连接AcuRev1320电表到Acuview2上，连接状态为connected。
2、打开录波，使用电能质量测试仪构造条件触发waveform log多条
3.上位机选择读最近20条数据
4.查看数据是否准确
5.上位机选择读最近60条数据
6.查看数据是否准确
7上位机选择读200条数据
8.查看数据是否准确</t>
    <phoneticPr fontId="10" type="noConversion"/>
  </si>
  <si>
    <t>HMI上读waveform log数据</t>
    <phoneticPr fontId="10" type="noConversion"/>
  </si>
  <si>
    <t>Function_AcuRev1320_014_04_case38</t>
    <phoneticPr fontId="10" type="noConversion"/>
  </si>
  <si>
    <t>构造超过200个waveform log，并随机读取其中几个waveform log 的波形，均可以读取成功</t>
    <phoneticPr fontId="10" type="noConversion"/>
  </si>
  <si>
    <t>1、连接AcuRev1320电表到Acuview2上，连接状态为connected。
2、生成waveform log 超过200个
3、 随机选取任意waveform log读取录波，平均每100条覆盖读取3个waveform log</t>
    <phoneticPr fontId="10" type="noConversion"/>
  </si>
  <si>
    <t>Function_AcuRev1320_014_04_case40</t>
    <phoneticPr fontId="10" type="noConversion"/>
  </si>
  <si>
    <t>Function_AcuRev1320_014_04_case46</t>
    <phoneticPr fontId="10" type="noConversion"/>
  </si>
  <si>
    <t>告警功能</t>
    <phoneticPr fontId="10" type="noConversion"/>
  </si>
  <si>
    <t>Function_AcuRev1320_015_01_case5</t>
    <phoneticPr fontId="10" type="noConversion"/>
  </si>
  <si>
    <t>3.告警发生
4.修改参数要将当前通道修改前的告警结束掉，要记录结束log,但是结束log不是记录end,而是最好能结束，记录log,但状态不是off，而是配置变化 (Configuration change)</t>
    <phoneticPr fontId="10" type="noConversion"/>
  </si>
  <si>
    <t>1、连接AcuRev1320电表到Acuview2上，连接状态为connected。
2、配置Alarm使能，参数选Ia、Ib，逻辑：“小于、“or”，配置启动值3A，启动延迟30000ms，释放值3.5A，释放延迟0ms，检查配置是否成功。
3、电源输入Ia、Ib电压4A
4、检查上位机告警界面和HMI告警界面，触发的告警是否被正确记录(状态:“end”)
5、电源输入Ia电压2.5A，Ib电压4A
6、检查上位机告警界面和HMI告警界面，是否新增一条触发的告警(状态:“start”)
7、电源输入Ia电压4A，Ib电压4A
8、检查上位机告警界面和HMI告警界面，是否新增一条触发的告警(状态:“end”)
9、电源输入Ia电压2.5A，Ib电压2.5A
10、检查上位机告警界面和HMI告警界面，是否新增一条触发的告警(状态:“start”)
11、电源输入Ia电压4A，Ib电压4A
12、检查上位机告警界面和HMI告警界面，是否新增一条触发的告警(状态:“end”)</t>
    <phoneticPr fontId="10" type="noConversion"/>
  </si>
  <si>
    <t>Function_AcuRev1320_015_01_case14</t>
    <phoneticPr fontId="10" type="noConversion"/>
  </si>
  <si>
    <t>告警公共功能验证</t>
    <phoneticPr fontId="10" type="noConversion"/>
  </si>
  <si>
    <t>1、连接AcuRev1320电表到Acuview2上，连接状态为connected。
2、构造告警产生条件，触发第201条告警
3、上位机告警界面和HMI高级界面，第201条告警是否被正确记录
4、上位机告警界面和HMI高级界面第一条告警是否被删除， 满足告警先进先出记录原则</t>
    <phoneticPr fontId="10" type="noConversion"/>
  </si>
  <si>
    <t>1、连接AcuRev1320电表到Acuview2上，连接状态为connected。
2、配置Alarm使能，参数选Van、Vbn，逻辑“大于、“AND”，启动值120V，启动延迟0ms，释放值115V，检查配置是否成功。
3、电源输入Van、Vbn电压121V
4、检查上位机告警界面和HMI告警界面，触发的告警是否被正确记录(状态:“start”)
5、检查时间戳格式为年-月-日 时:分:秒.毫秒
6、检查告警持续时间是否为告警启动和释放之间的时间（ms）</t>
  </si>
  <si>
    <t>Function_AcuRev1320_015_02_case4</t>
    <phoneticPr fontId="10" type="noConversion"/>
  </si>
  <si>
    <t>上位机Alarm Log显示验证</t>
    <phoneticPr fontId="10" type="noConversion"/>
  </si>
  <si>
    <t>1、Alarm Monitor 1配置：逻辑“AND”参数1，Va，逻辑 “&gt;”启动值 150V，启动延时 500ms，释放值120V，释放延时200ms，参数2，Ia，逻辑 “&lt;”，启动值 5A，启动延时 400ms，释放值20A，释放延时300ms
2、当 Va &gt;= 150V，持续500ms；”AND” Ia &lt;= 5A，持续400ms时，Alarm Monitor 1状态启动(ON)。
•	当Va &lt;= 120V, 持续200ms; “OR“ Ia &gt;= 20A,持续300ms时，Alarm Monitor 1状态释放(OFF)。</t>
    <phoneticPr fontId="10" type="noConversion"/>
  </si>
  <si>
    <t>2、Alarm Monitor 1状态启动(ON)。
3、Alarm Monitor 1状态释放(OFF)。
4、log格式符合《AcuRev-1320 产品需求规格说明书 v1.02 20251112》3.7.1节</t>
    <phoneticPr fontId="10" type="noConversion"/>
  </si>
  <si>
    <t>Function_AcuRev1320_015_03_case2</t>
    <phoneticPr fontId="10" type="noConversion"/>
  </si>
  <si>
    <t>打开Alarm使能，参数选Frequency，验证逻辑不能选择"="</t>
    <phoneticPr fontId="10" type="noConversion"/>
  </si>
  <si>
    <t>1、连接AcuRev1320电表到Acuview2上，连接状态为connected。
2、配置Alarm使能，参数选Vbc&amp;Vbn，逻辑“&lt;”、“or”，配置启动207.84V，启动延迟0ms，释放值259.8V，释放延迟0ms
3、电源输入Vbn为220V
4、检查上位机告警界面和HMI告警界面，触发的告警是否被正确记录(状态:“end”)
5、电源输入Vbn为122V，Vbc为211.304V
6、检查上位机告警界面和HMI告警界面，触发的告警是否被正确记录(状态:“start”)
7、电源输入Vbn为220V，Vbc为220V
8、检查上位机告警界面和HMI告警界面，触发的告警是否被正确记录</t>
    <phoneticPr fontId="10" type="noConversion"/>
  </si>
  <si>
    <t>1、连接AcuRev1320电表到Acuview2上，连接状态为connected。
2、配置Alarm使能，参数选I_sysavag，逻辑“&gt;”、“none”，配置启动值3A，启动延迟10000ms，释放值2A，释放延迟10000ms
3、电源输入I_sysavag为3A
4、检查上位机告警界面和HMI告警界面，触发的告警是否被正确记录(状态:“start”)
5、电源输入I_sysavag为2A
6、检查上位机告警界面和HMI告警界面，触发的告警是否被正确记录(状态:“end”)
7、电源输入I_sysavag为3A
8、检查上位机告警界面和HMI告警界面，触发的告警是否被正确记录(状态:“start”)</t>
    <phoneticPr fontId="10" type="noConversion"/>
  </si>
  <si>
    <t>1、连接AcuRev1320电表到Acuview2上，连接状态为connected。
2、配置Alarm使能，参数选Pb&amp;Pc，逻辑“&lt;”、“or”，配置启动1kw，启动延迟0ms，释放值1.5kw，释放延迟0ms
3、电源输入Pb&amp;Pc为1.5kw
4、检查上位机告警界面和HMI告警界面，触发的告警是否被正确记录(状态:“end”)
5、电源输入Pb&amp;Pc为0.5kw
6、检查上位机告警界面和HMI告警界面，触发的告警是否被正确记录(状态:“start”)
7、电源输入Pb&amp;Pc为2kw
8、检查上位机告警界面和HMI告警界面，触发的告警是否被正确记录(状态:“end”)</t>
    <phoneticPr fontId="10" type="noConversion"/>
  </si>
  <si>
    <t>1、连接AcuRev1320电表到Acuview2上，连接状态为connected。
2、配置Alarm使能，参数选Qa，逻辑“&gt;”&amp;“none”，配置启动值1kvar，启动延迟10000ms，释放值0.5kvar，释放延迟10000ms
3、电源输入Qa为0.4kvar
4、检查上位机告警界面和HMI告警界面，触发的告警是否被正确记录(状态:"end")
5、电源输入Qa为1.2kvar
6、检查上位机告警界面和HMI告警界面，触发的告警是否被正确记录(状态:"end")
7、电源输入Qa为0.3kvar
8、检查上位机告警界面和HMI告警界面，触发的告警是否被正确记录(状态:"start")</t>
    <phoneticPr fontId="10" type="noConversion"/>
  </si>
  <si>
    <t>1、连接AcuRev1320电表到Acuview2上，连接状态为connected。
2、配置Alarm使能，参数选P_input1，逻辑“&gt;”&amp;“none”，配置启动值2kw，启动延迟0ms，释放值1kw，释放延迟0ms
3、电源输入P_input1为1KW
4、检查上位机告警界面和HMI告警界面，触发的告警是否被正确记录(状态:"end")
5、电源输入P_input1为3KW
6、检查上位机告警界面和HMI告警界面，触发的告警是否被正确记录(状态:"start")
7、电源输入P_input1为0.5KW
8、检查上位机告警界面和HMI告警界面，触发的告警是否被正确记录(状态:"end")</t>
    <phoneticPr fontId="10" type="noConversion"/>
  </si>
  <si>
    <t>1、连接AcuRev1320电表到Acuview2上，连接状态为connected。
2、配置Alarm使能，参数选Q_input1，逻辑“&gt;”&amp;“none”，配置启动值2kvar，启动延迟0ms，释放值1kvar，释放延迟0ms，
3、电源输入Q_input1为1kvar
4、检查上位机告警界面和HMI告警界面，触发的告警是否被正确记录(状态:"end"
5、电源输入Q_input1为3kvar
6、检查上位机告警界面和HMI告警界面，触发的告警是否被正确记录(状态:"start")
7、电源输入Q_input1为0.5kvar
8、检查上位机告警界面和HMI告警界面，触发的告警是否被正确记录(状态:"end")</t>
    <phoneticPr fontId="10" type="noConversion"/>
  </si>
  <si>
    <t>Basic Parameters告警</t>
    <phoneticPr fontId="10" type="noConversion"/>
  </si>
  <si>
    <t>1、连接AcuRev1320电表到Acuview2上，连接状态为connected。
2、配置Alarm使能，参数选S_input1，逻辑“&lt;”&amp;“none”，配置启动1kVA，启动延迟0ms，释放值2kVA，释放延迟0ms
3、电源输入S_input1为2kVA
4、检查上位机告警界面和HMI告警界面，触发的告警是否被正确记录(状态:"end")
5、电源输入S_input1为0.5kVA
6、检查上位机告警界面和HMI告警界面，触发的告警是否被正确记录(状态:"start")
7、电源输入S_input1为3kVA
8、检查上位机告警界面和HMI告警界面，触发的告警是否被正确记录(状态:"end")</t>
    <phoneticPr fontId="10" type="noConversion"/>
  </si>
  <si>
    <t>Function_AcuRev1320_015_03_case35-2</t>
    <phoneticPr fontId="10" type="noConversion"/>
  </si>
  <si>
    <t>上位机读取告警log过程中，HMI同一时间读取告警log</t>
    <phoneticPr fontId="10" type="noConversion"/>
  </si>
  <si>
    <t>1、上位机读取告警log
2、HMI同一时间读取告警log</t>
  </si>
  <si>
    <t>2、表不会重启</t>
  </si>
  <si>
    <t>1、连接AcuRev1320电表到Acuview2上，连接状态为connected。
2、配置Alarm使能，参数选Demand_Sa&amp;Demand_Sc，逻辑“&gt;”&amp;“and”，配置启动值2kVA，启动延迟0ms，释放值1kVA，释放延迟0ms
3、电源输入Demand_Sa&amp;Demand_Sc为1kVA
4、检查上位机告警界面和HMI告警界面，触发的告警是否被正确记录(状态:"end")
5、电源输入Demand_Sa&amp;Demand_Sc为3kVA
6、检查上位机告警界面和HMI告警界面，触发的告警是否被正确记录(状态:"end")
7、电源输入Demand_Sa&amp;Demand_Sc为0.5kVA
8、检查上位机告警界面和HMI告警界面，触发的告警是否被正确记录(状态:"start")</t>
    <phoneticPr fontId="10" type="noConversion"/>
  </si>
  <si>
    <t>1、连接AcuRev1320电表到Acuview2上，连接状态为connected。
2、配置Alarm使能，参数选Demand_imp_Psys，逻辑“&gt;”&amp;“none”，配置启动值2kw，启动延迟0ms，释放值1kw，释放延迟0ms
3、电源输入Demand_imp_Psys为1kw
4、检查上位机告警界面和HMI告警界面，触发的告警是否被正确记录(状态:"end")
5、电源输入Demand_imp_Psys为3kw
6、检查上位机告警界面和HMI告警界面，触发的告警是否被正确记录(状态:"end")
7、电源输入Demand_imp_Psys为0.5kw
8、检查上位机告警界面和HMI告警界面，触发的告警是否被正确记录(状态:"start")</t>
    <phoneticPr fontId="10" type="noConversion"/>
  </si>
  <si>
    <t>打开Alarm使能，参数选THD_Va，逻辑“&gt;”&amp;“none”，配置启动值20%，启动延迟10000ms，释放值10%，释放延迟10000ms，满足告警阈值，触发和消除告警正常</t>
    <phoneticPr fontId="10" type="noConversion"/>
  </si>
  <si>
    <t>1、连接AcuRev1320电表到Acuview2上，连接状态为connected。
2、配置Alarm使能，参数选THD_Va，逻辑“&gt;”&amp;“none”，配置启动值20%，启动延迟10000ms，释放值10%，释放延迟10000ms
3、电源输入THD_Va为10%
4、检查上位机告警界面和HMI告警界面，触发的告警是否被正确记录(状态:"end")
5、电源输入THD_Va为20%
6、检查上位机告警界面和HMI告警界面，触发的告警是否被正确记录(状态:"end")
7、电源输入THD_Va为10%
8、检查上位机告警界面和HMI告警界面，触发的告警是否被正确记录(状态:"start")
备注:告警逻辑关系为NULL时，只执行第一条告警</t>
    <phoneticPr fontId="10" type="noConversion"/>
  </si>
  <si>
    <t>4、检查上位机告警界面和HMI告警界面，沒有立即新增一条对应的告警记录(状态:“start”)
6、检查上位机告警界面和HMI告警界面，10s后立即新增一条对应的告警记录(状态:“start”)
8、检查上位机告警界面和HMI告警界面，10s后立即新增一条对应的告警记录(状态:“end”)</t>
    <phoneticPr fontId="10" type="noConversion"/>
  </si>
  <si>
    <t>Function_AcuRev1320_015_05_case2</t>
    <phoneticPr fontId="10" type="noConversion"/>
  </si>
  <si>
    <t>打开Alarm使能，参数选THD_Vavg，逻辑“&gt;”&amp;“none”，配置启动值20%，启动延迟0ms，释放值15%，释放延迟0ms，满足告警阈值，触发和消除告警正常</t>
    <phoneticPr fontId="10" type="noConversion"/>
  </si>
  <si>
    <t>1、连接AcuRev1320电表到Acuview2上，连接状态为connected。
2、配置Alarm使能，参数选THD_Vb&amp;THD_Vc，逻辑“&gt;”&amp;“and”，配置启动值15%，启动延迟0ms，释放值10%，释放延迟0ms
3、电源输入THD_Vb&amp;THD_Vc为10%
4、检查上位机告警界面和HMI告警界面，触发的告警是否被正确记录(状态:"end")
5、电源输入THD_Vb&amp;THD_Vc为25%
6、检查上位机告警界面和HMI告警界面，触发的告警是否被正确记录(状态:"start")
7、电源输入THD_Vb&amp;THD_Vc为10%
8、检查上位机告警界面和HMI告警界面，触发的告警是否被正确记录(状态:"end")</t>
    <phoneticPr fontId="10" type="noConversion"/>
  </si>
  <si>
    <t>1、连接AcuRev1320电表到Acuview2上，连接状态为connected。
2、配置Alarm使能，参数选THD_input1_I，逻辑“&gt;”&amp;“none”，配置启动值20%，启动延迟0ms，释放值15%，释放延迟0ms
3、电源输入THD_input1_I为10%
4、检查上位机告警界面和HMI告警界面，触发的告警是否被正确记录(状态:"end")
5、电源输入THD_input1_I为25%
6、检查上位机告警界面和HMI告警界面，触发的告警是否被正确记录(状态:"start")
7、电源输入THD_input1_I为10%
8、检查上位机告警界面和HMI告警界面，触发的告警是否被正确记录(状态:"end")</t>
    <phoneticPr fontId="10" type="noConversion"/>
  </si>
  <si>
    <t>Function_AcuRev1320_015_05_case7</t>
    <phoneticPr fontId="10" type="noConversion"/>
  </si>
  <si>
    <t>1、连接AcuRev1320电表到Acuview2上，连接状态为connected。
2、配置Alarm使能，参数选THD_input3_I，逻辑“&lt;”&amp;“none”，配置启动值15%，启动延迟0ms，释放值20%，释放延迟0ms
3、电源输入THD_input3_I为20%
4、检查上位机告警界面和HMI告警界面，触发的告警是否被正确记录(状态:"end")
5、电源输入THD_input3_I为10%
6、检查上位机告警界面和HMI告警界面，触发的告警是否被正确记录(状态:"start")
7、电源输入THD_input3_I为25%
8、检查上位机告警界面和HMI告警界面，触发的告警是否被正确记录(状态:"end")</t>
    <phoneticPr fontId="10" type="noConversion"/>
  </si>
  <si>
    <t>Function_AcuRev1320_015_05_case9</t>
    <phoneticPr fontId="10" type="noConversion"/>
  </si>
  <si>
    <t>打开Alarm使能，参数选Unbalance_I(%)，逻辑“&gt;”&amp;“none”，配置启动值0.7，启动延迟0ms，释放值0.5，释放延迟0ms，满足告警阈值，触发和消除告警正常</t>
    <phoneticPr fontId="10" type="noConversion"/>
  </si>
  <si>
    <t>1、连接AcuRev1320电表到Acuview2上，连接状态为connected。
2、配置Alarm使能，参数选Unbalance_ch1_I(%)，逻辑“&gt;”&amp;“none”，配置启动值70(%)，启动延迟0ms，释放值50(%)，释放延迟0ms
3、电源输入Unbalance_I(%)为50%
4、检查上位机告警界面和HMI告警界面，触发的告警是否被正确记录(状态:"end")
5、电源输入Unbalance_I(%)为80%
6、检查上位机告警界面和HMI告警界面，触发的告警是否被正确记录(状态:"end")
7、电源输入Unbalance_I(%)为30%
8、检查上位机告警界面和HMI告警界面，触发的告警是否被正确记录(状态:"start")</t>
    <phoneticPr fontId="10" type="noConversion"/>
  </si>
  <si>
    <t>1、连接AcuRev1320电表到Acuview2上，连接状态为connected。
2、配置Alarm使能，参数选DI3&amp;DI4，逻辑“=”，配置启动值01，启动延迟10000ms，释放值0，释放延迟10000ms
3、输入DI3为1
4、检查上位机告警界面和HMI告警界面，触发的告警是否被正确记录(状态:"start")
7、输入DI3为0
8、检查上位机告警界面和HMI告警界面，触发的告警是否被正确记录(状态:"end")</t>
    <phoneticPr fontId="10" type="noConversion"/>
  </si>
  <si>
    <t>1、连接AcuRev1320电表到Acuview2上，连接状态为connected。
2、配置Alarm使能，参数选DI3&amp;Ua，逻辑“=”“&gt;”&amp;“and”，配置DI启动值1，配置Ua启动值130V，启动延迟10000ms，DI3释放值0，Ua释放值110V，释放延迟10000ms，
3、输入DI3为0, Ua为120
4、检查上位机告警界面和HMI告警界面，触发的告警是否被正确记录(状态:"end")
5、输入DI3为1，Ua为135V
6、检查上位机告警界面和HMI告警界面，触发的告警是否被正确记录(状态:"start")
7、输入DI3为0，
8、检查上位机告警界面和HMI告警界面，触发的告警是否被正确记录(状态:"end")</t>
    <phoneticPr fontId="10" type="noConversion"/>
  </si>
  <si>
    <t>Phase A\B\C Current Max Demand测量准确，参数值和时间戳显示正常</t>
    <phoneticPr fontId="10" type="noConversion"/>
  </si>
  <si>
    <t>1、Acuview2上位机
2、网线/RTU串口线
3、AcuRev1320电表
4、电表接交流源
5、接线方式3E4w y</t>
  </si>
  <si>
    <t>1、连接AcuRev1320电表到Acuview2上，连接状态为connected
2、已重置最大需量 (clear max Demand)
3、上位机配置需量：Demand method：1(sliding Block)；Demand update rate：2mins；Demand Interval：2mins
4、源输入ABC三相电压全部为120V，电流为10A，电压电流相角差0°，等待4mins
5、源输入ABC三相电压全部为240V，电流为20A，电压电流相角差0°，等待4mins
6、上位机上和HMI上检查系统PhaseA\B\C Current Max Demand测量是否准确，参数值和时间戳显示是否正常
7、检查web页面上max demand界面中max demand相关数据测量是否准确，参数值和时间戳显示是否正常</t>
    <phoneticPr fontId="10" type="noConversion"/>
  </si>
  <si>
    <t>Phase A\B\C Import Active Power Max Demand测量准确，参数值和时间戳显示正常</t>
    <phoneticPr fontId="10" type="noConversion"/>
  </si>
  <si>
    <t>Phase A\B\C Export Active Power Max Demand测量准确，参数值和时间戳显示正常</t>
    <phoneticPr fontId="10" type="noConversion"/>
  </si>
  <si>
    <t>Phase A\B\C Import Reactive Power Max Demand测量准确，参数值和时间戳显示正常</t>
    <phoneticPr fontId="10" type="noConversion"/>
  </si>
  <si>
    <t>Phase A\B\C Export Reactive Power Max Demand测量准确，参数值和时间戳显示正常</t>
    <phoneticPr fontId="10" type="noConversion"/>
  </si>
  <si>
    <t>Phase  A\B\C Apparent Power Max Demand测量准确，参数值和时间戳显示正常</t>
    <phoneticPr fontId="10" type="noConversion"/>
  </si>
  <si>
    <t>Sys Export Active Power Max Demand测量准确，参数值和时间戳显示正常</t>
    <phoneticPr fontId="10" type="noConversion"/>
  </si>
  <si>
    <t>Sys Export Reactive Power Max Demand测量准确，参数值和时间戳显示正常</t>
    <phoneticPr fontId="10" type="noConversion"/>
  </si>
  <si>
    <t>Function_AcuRev1320_016_01_case21</t>
    <phoneticPr fontId="10" type="noConversion"/>
  </si>
  <si>
    <t>设置Van、Vbn、Vcn分别为(69V,120V,230V) ,测量三相电压不平衡因Unbalance factor最大值最小值正确，参数值和时间戳显示正常</t>
    <phoneticPr fontId="10" type="noConversion"/>
  </si>
  <si>
    <t>1、Acuview2上位机
2、网线/RTU串口线
3、AcuRev1320电表
4、电表接交流源
5、接线方式3E4w y</t>
    <phoneticPr fontId="10" type="noConversion"/>
  </si>
  <si>
    <t>1、连接AcuRev1320电表到Acuview2上，连接状态为connected
2、源输入相电压Va,Vb,Vc分别为(347V,347V,347V)，谐波含量百分比2%，谐波次数2，谐波相位60°
3、重置系统最大、最小值 (clear max/min)
4、等待5mins。
5、上位机和HMI上检查电表谐波参数Va_THD,Vb_THD，Vc_THD最大值最小值测量是否准确，参数值和时间戳显示是否正常</t>
    <phoneticPr fontId="10" type="noConversion"/>
  </si>
  <si>
    <t>Function_AcuRev1320_016_01_case31</t>
    <phoneticPr fontId="10" type="noConversion"/>
  </si>
  <si>
    <t>上位机和WEB页面Max/Min非独立模式接线方式显示验证</t>
    <phoneticPr fontId="10" type="noConversion"/>
  </si>
  <si>
    <t xml:space="preserve">1、切换各接线方式，根据&lt;1320非独立模式不同接线方式参数显示 v1.00 20260410&gt;, 逐个比对上位机和WEB页面显示
</t>
    <phoneticPr fontId="10" type="noConversion"/>
  </si>
  <si>
    <t>1、根据接线方式，上位机和Web不显示“-”的信息。</t>
    <phoneticPr fontId="10" type="noConversion"/>
  </si>
  <si>
    <t>Lv4</t>
    <phoneticPr fontId="10" type="noConversion"/>
  </si>
  <si>
    <t>Function_AcuRev1320_016_02_case2</t>
    <phoneticPr fontId="10" type="noConversion"/>
  </si>
  <si>
    <t>1、连接AcuRev1320电表到Acuview2上，连接状态为connected
2、重置通道最大、最小值 (clear max/min)，Ch1、Ch2、Ch3
4、源电流输入Ch1、Ch2、Ch3，分别为(3A,5A,10A)，谐波含量百分比0.5%，谐波次数5，谐波相位60°
5、等待10mins
6、上位机上检查电表谐波参数inupt1_THD,inupt2_THD,inupt3_THD测量是否准确，参数值和时间戳显示是否正常</t>
    <phoneticPr fontId="10" type="noConversion"/>
  </si>
  <si>
    <t>2、系统和通道的最大、最小值重置成功，值清0，恢复后时间会立即刷新成当前电表时间
注：时间戳默认值地址表未给出，后续更新
2025/3/18：恢复后时间会立即刷新成当前电表时间</t>
    <phoneticPr fontId="10" type="noConversion"/>
  </si>
  <si>
    <t>1、连接AcuRev1320电表到Acuview2上，连接状态为connected
2、电表上下电
3、上位机和HMI上查看电表最大值，最小值是否丢失</t>
    <phoneticPr fontId="10" type="noConversion"/>
  </si>
  <si>
    <t>7、检查参数项目完整，数据内容与接源一致，时间戳刷新为实际值</t>
  </si>
  <si>
    <t>1、连接AcuRev1320电表到Acuview2上，链接状态为connected
2、上位机可配置datalog1（Setting — Data Log — Data Log 1）
Data Log Parameter Selection：配置System Basic Parameters的全部参数，
Logging Interval：1 min
Logging Mode：1（Start Logging Immediately）
3、查看Log 1日志记录</t>
    <phoneticPr fontId="10" type="noConversion"/>
  </si>
  <si>
    <t>1、连接AcuRev1320电表到Acuview2上，链接状态为connected
2、 上位机配置当前时间为 2024/11/15 14:55:00
3、上位机可配置datalog1（Setting — Data Log — Data Log 1）
Data Log Parameter Selection：配置System Demand的全部参数
Logging Interval：1 min
Logging Mode：2（Logging Scheduler）
Start:：2024/11/15 15:00:00  ——参考值
End：2024/11/15 15:20:00  ——参考值
4、查看Log 1日志记录</t>
    <phoneticPr fontId="10" type="noConversion"/>
  </si>
  <si>
    <t>2、Data Log 1配置成功。上位机提示配置成功，页面无报错。
3、上位机Log1日志1min更新一条
记录内容：包含System Demand的全部参数，数据符合精度要求</t>
    <phoneticPr fontId="10" type="noConversion"/>
  </si>
  <si>
    <t>Function_AcuRev1320_017_01_case3</t>
    <phoneticPr fontId="10" type="noConversion"/>
  </si>
  <si>
    <t>1、连接AcuRev1320电表到Acuview2上，链接状态为connected
2、上位机可配置datalog3（Setting — Data Log — Data Log 2）
Data Log Parameter Selection：配置Ic谐波的全部参数
Logging Interval：1 min
Logging Mode：2（Logging Scheduler）
Start:：2024/11/15 15:00:00  ——参考值
End：2024/11/15 15:20:00  ——参考值
3、查看Log3日志记录
4、 重复2-3步骤，但是选择In 谐波的参数</t>
  </si>
  <si>
    <t>2、Data Log 3配置成功。上位机提示配置成功，页面无报错。
3、上位机Log3日志从2024/11/15 15:01:00开始记录，1min更新一条，2024/11/15 15:19:00结束记录，之后不再产生日志记录；
记录内容：包含Ic谐波的全部参数，数据符合精度要求
4、上位机Log3日志从2024/11/15 15:01:00开始记录，1min更新一条，2024/11/15 15:19:00结束记录，之后不再产生日志记录；
记录内容：包含In谐波的全部参数，数据符合精度要求</t>
  </si>
  <si>
    <t>1、连接AcuRev1320电表到Acuview2上，链接状态为connected
2、上位机可配置datalog3（Setting — Data Log — Data Log 2）
Data Log Parameter Selection：配置Dual Source Energy  的全部参数
Logging Interval：1 min
Logging Mode：3（Start Logging Time）
开始记录时间在当日过去时间点：
Start: From：15:00  ——参考值
3、查看Log 3日志记录</t>
    <phoneticPr fontId="10" type="noConversion"/>
  </si>
  <si>
    <t>Function_AcuRev1320_017_01_case17</t>
    <phoneticPr fontId="10" type="noConversion"/>
  </si>
  <si>
    <t>1、连接AcuRev1320电表到Acuview2上，链接状态为connected
2、上位机可配置datalog2，datalog3（Setting — Data Log — Data Log 2/ Data Log3）
Data Log Parameter Selection：Datalog2配置System Basic Parameters的全部参数、Datalog3配置Independent Input Channel 的全部参数
Logging Interval：1 min
Logging Mode：2（Logging Scheduler）
Start:：2024/11/15 15:00:00  ——参考值
End：2024/11/15 15:20:00  ——参考值
3、查看datalog2，datalog3日志记录</t>
    <phoneticPr fontId="10" type="noConversion"/>
  </si>
  <si>
    <t>1、连接AcuRev1320电表到Acuview2上，链接状态为connected
2、上位机可配置datalog2，datalog3（Setting — Data Log — Data Log 2/ Data Log 3）
Data Log Parameter Selection：Datalog2配置System Demand的全部参数、Datalog3配置Energy的全部参数
Logging Interval：1 min
Logging Mode：3（Start Logging Time）
开始记录时间在当日未来时间点：
Start: From：15:00  ——参考值
3、查看datalog2，datalog3日志记录</t>
    <phoneticPr fontId="10" type="noConversion"/>
  </si>
  <si>
    <t>1、连接AcuRev1320电表到Acuview2上，链接状态为connected
2、上位机可配置datalog1,datalog2,datalog3（Setting — Data Log — Data Log 1/ Data Log 2/ Data Log 3）
Data Log Parameter Selection：Datalog1配置System Demand的全部参数、Datalog2配置System Energy的全部参数，Datalog3配置Ua、Ub、Uc谐波的全部参数
Logging Interval：1 min
Logging Mode：1（Start Logging Immediately）
3、查看datalog1,datalog2,datalog3日志记录</t>
    <phoneticPr fontId="10" type="noConversion"/>
  </si>
  <si>
    <t>1、电表恢复出厂操作
2、连接AcuRev1320电表到Acuview2上，链接状态为connected
3、上位机可配置datalog1,datalog2,datalog3,datalog4（Setting — Data Log — Data Log 1/ Data Log 2/ Data Log 3/ Data Log 4）
Data Log Parameter Selection：参数选择任意部分
Logging Interval：默认配置
4、上位机点击update</t>
    <phoneticPr fontId="10" type="noConversion"/>
  </si>
  <si>
    <t>2、上位机Setting的Datalog1-3和TrendLog页面，分配扇区的输入框提示的数字正确
 备注：Datalog1~3共用585个扇区，TrendLog 独自使用195个扇区</t>
  </si>
  <si>
    <t>Function_AcuRev1320_017_01_case30</t>
  </si>
  <si>
    <r>
      <rPr>
        <sz val="8"/>
        <color theme="1"/>
        <rFont val="微软雅黑"/>
        <family val="2"/>
        <charset val="134"/>
      </rPr>
      <t>3、 上位机检查Setting的Datalog1-3和TrendLog页面，参数中不显示Dual Source Energy 的参数，无法选择
更新用例，Dual Source Energy 未使能时，也可以选中对应参数，并生成日志，日志内容与实际一致即可</t>
    </r>
  </si>
  <si>
    <t>Function_AcuRev1320_017_02_case4</t>
    <phoneticPr fontId="10" type="noConversion"/>
  </si>
  <si>
    <t>读取Datalog1，选择Read latest 1000 Records(from selected Time)读取正常</t>
    <phoneticPr fontId="10" type="noConversion"/>
  </si>
  <si>
    <t>1、连接AcuRev1320电表到Acuview2上，链接状态为connected，已配置Datalog1日志，参数只选择三个
2、读取Log1最近1000条日志（Reading—Data Log—Data Log1 Reading—Read 1000 Records(from selected Time)）
3、selected Time为默认选择时间
4、selected Time为日志开始记录时间晚5min，并保存至文件
5、selected Time为日志开始记录时间早5min</t>
    <phoneticPr fontId="10" type="noConversion"/>
  </si>
  <si>
    <t>读取Datalog1，选择Read latest 6400 Records(from selected Time)读取正常</t>
    <phoneticPr fontId="10" type="noConversion"/>
  </si>
  <si>
    <t>Function_AcuRev1320_017_02_case18</t>
    <phoneticPr fontId="10" type="noConversion"/>
  </si>
  <si>
    <t>上位机日志选定时间(from selected Time)开始读取时，选定开始时间为电表关机时间段，点击读取日志可正常读取开机后日志（继承于DC300问题单）</t>
    <phoneticPr fontId="10" type="noConversion"/>
  </si>
  <si>
    <t>1、连接AcuRev1320电表到Acuview2上，链接状态为connected，已配置Datalog日志
2、电表关机一段时间
3、电表开机后，上位机日志选定时间(from selected Time)开始读取时，选定开始时间为电表关机时间段</t>
    <phoneticPr fontId="10" type="noConversion"/>
  </si>
  <si>
    <t>Function_AcuRev1320_017_04_case2</t>
    <phoneticPr fontId="10" type="noConversion"/>
  </si>
  <si>
    <t>趋势记录器 单独使用195个 block</t>
  </si>
  <si>
    <t>2、趋势记录器 单独使用  195个 block
3、当日志存满，自动删除最早存储扇区</t>
  </si>
  <si>
    <t>2、datalog4配置成功。上位机提示配置成功，页面无报错。
3、上位机datalog4日志1min更新一条
记录内容：包含电表所选全部参数，记录参数的max/min/average</t>
  </si>
  <si>
    <t>1、连接AcuRev1320电表到Acuview2上，链接状态为connected
2、AcuRev1320电表DI1输入20V（dc），模拟DI状态为ON
3、上位机和HMI设置DI1的“DI type”为status Monitor（Setting—IO Module页面）
4、DI1输入0V（dc），模拟改变DI1的状态ON-&gt;OFF 
5、上位机和HMI查看SOE记录（Reading—SOE Log 页面）</t>
    <phoneticPr fontId="10" type="noConversion"/>
  </si>
  <si>
    <t>3、上位机和HMI设置DI1成功，上位机和HMI工具界面无报错
5、DI 状态变化，上位机和HMI会新增记录一条SOE log，DI1 status 为：OFF (low)
SOE log包括：时间戳(year, month, day, hour, minute, second, millisecond)、所有DI status正确
备注:
ON 为15V-60V
不用处理5.1V-14.9V
OFF 为0V-5V</t>
    <phoneticPr fontId="10" type="noConversion"/>
  </si>
  <si>
    <t>3、上位机和HMI设置DI2成功，上位机和HMI工具界面无报错
5、DI 状态变化，上位机和HMI会新增记录一条SOE log，DI2 status 为：OFF(low)
SOE log包括：时间戳(year, month, day, hour, minute, second, millisecond)、所有DI status正确</t>
  </si>
  <si>
    <t>3、上位机和HMI设置DI2成功，上位机和HMI工具界面无报错
5、DI 状态变化，上位机和HMI会新增记录一条SOE log，DI2 status 为：ON （high）
SOE log包括：时间戳(year, month, day, hour, minute, second, millisecond)、所有DI status正确</t>
  </si>
  <si>
    <t>1、连接AcuRev1320电表到Acuview2上，链接状态为connected
2、AcuRev1320电表DI1、DI2、DI3输入0V（dc），模拟DI状态为OFF
3、上位机和HMI设置DI1、DI2、DI3的“DI type”都为status Monitor
4、改变DI1、DI2、DI3的输入状态OFF-&gt;ON （DI1、DI2、DI3输入20V）
5、上位机和HMI查看SOE记录</t>
    <phoneticPr fontId="10" type="noConversion"/>
  </si>
  <si>
    <t>1、连接AcuRev1320电表到Acuview2上，链接状态为connected
2、AcuRev1320电表DI1输入20V（dc），模拟DI状态为ON
3、上位机和HMI设置“Alarm”告警：DI1=“0”（Setting—Alarm 页面）（Pickup Value=0，Dropout Value=1）
4、AcuRev1320电表DI1输入0V（dc）
5、上位机和HMI查看Alarm Log记录告警触发的记录（Reading—Alarm Log 页面）
6、AcuRev1320电表DI1输入20V（dc）
7、上位机和HMI查看Alarm Log记录告警消除的记录（Reading—Alarm Log 页面）</t>
    <phoneticPr fontId="10" type="noConversion"/>
  </si>
  <si>
    <t>3、上位机和HMI设置Alarm成功，上位机和HMI工具界面无报错
5、上位机和HMI新增1条Alarm Log记录：
DI1 Value：0
DI1 status 为：OFF
status: start, Ex Value1：0.000
时间戳(year, month, day, hour, minute, second, millisecond)
7、上位机和HMI新增1条Alarm Log记录：
status: end,  Ex Value1：0.000
时间戳(year, month, day, hour, minute, second, millisecond)</t>
    <phoneticPr fontId="10" type="noConversion"/>
  </si>
  <si>
    <t>1、连接AcuRev1320电表到Acuview2上，链接状态为connected
2、AcuRev1320电表DI1输入0V（dc）
3、设置“Alarm”告警：DI1=“1”（Setting—Alarm 页面）（Pickup Value=1，Dropout Value=0）
4、AcuRev1320电表DI1输入20V（dc）
5、上位机和HMI查看Alarm Log记录（Reading—Alarm Log 页面）
6、AcuRev1320电表DI1输入0V（dc）
7、上位机和HMI查看Alarm Log记录告警消除的记录（Reading—Alarm Log 页面）</t>
    <phoneticPr fontId="10" type="noConversion"/>
  </si>
  <si>
    <t>3、设置Alarm成功，上位机和HMI工具界面无报错
5、上位机和HMI新增1条Alarm Log记录：
DI1 Value：1
DI1 status 为：ON
status: start, Ex Value1：1.000
时间戳(year, month, day, hour, minute, second, millisecond)
7、上位机和HMI新增1条Alarm Log记录：
status: end,  Ex Value1：1.000
时间戳(year, month, day, hour, minute, second, millisecond)</t>
    <phoneticPr fontId="10" type="noConversion"/>
  </si>
  <si>
    <t>3、上位机和HMI设置Alarm成功，上位机和HMI工具界面无报错
5、上位机和HMI新增1条Alarm Log记录：
DI3  Value：0
DI3 status 为：OFF
status: start, Ex Value1：0.000
时间戳(year, month, day, hour, minute, second, millisecond)
7、上位机和HMI新增1条Alarm Log记录：
status: end,  Ex Value1：0.000
时间戳(year, month, day, hour, minute, second, millisecond)</t>
  </si>
  <si>
    <t>上位机和HMI设置DI1、DI2、DI3的“DI type”为state，输入改变DI1、DI2、DI3的状态ON-&gt;OFF，上位机和HMI有对应的3条Alarm log记录，且DI的值、状态和时间戳正确</t>
    <phoneticPr fontId="10" type="noConversion"/>
  </si>
  <si>
    <t>1、连接AcuRev1320电表到Acuview2上，链接状态为connected
2、AcuRev1320电表DI1、DI2、DI3输入20V（dc）
3、上位机和HMI设置“Alarm”告警：DI1、DI2、DI3=“0”
（Setting—Alarm 页面）（Pickup Value=0，Dropout Value=1）
4、AcuRev1320电表DI1、DI2、DI3输入0V（dc）
5、上位机和HMI查看Alarm Log记录触发告警
6、AcuRev1320电表DI1、DI2、DI3输入20V（dc）
7、上位机和HMI查看Alarm Log记录消除告警</t>
    <phoneticPr fontId="10" type="noConversion"/>
  </si>
  <si>
    <t>3、上位机和HMI设置Alarm成功，上位机和HMI工具界面无报错
5、上位机和HMI新增3条Alarm Log记录：
DI1、DI2、DI3Value：0
DI1、DI2、DI3status 为：OFF
status: start, Ex Value1：0.000
时间戳(year, month, day, hour, minute, second, millisecond)
7、上位机和HMI新增3条Alarm Log记录：
status: end,  Ex Value1：0.000
时间戳(year, month, day, hour, minute, second, millisecond)</t>
    <phoneticPr fontId="10" type="noConversion"/>
  </si>
  <si>
    <t>1、连接AcuRev1320电表到Acuview2上，链接状态为connected
2、AcuRev1320电表DI1、DI2、DI3输入0V（dc）
3、上位机和HMI设置“Alarm”告警：DI1、DI2、DI3=“1”
（Setting—Alarm 页面）（Pickup Value=1，Dropout Value=0）
4、AcuRev1320电表DI1、DI2、DI3输入20V（dc）
5、上位机和HMI查看Alarm Log记录
6、AcuRev1320电表DI1、DI2、DI3输入0V（dc）
7、上位机和HMI查看Alarm Log记录消除告警</t>
    <phoneticPr fontId="10" type="noConversion"/>
  </si>
  <si>
    <t>3、上位机和HMI设置Alarm成功，上位机和HMI工具界面无报错
5、上位机和HMI新增3条Alarm Log记录：
DI1、DI2、DI3  Value：1
DI1、DI2、DI3 status 为：ON
status: start, Ex Value1：1.000
时间戳(year, month, day, hour, minute, second, millisecond)
7、上位机和HMI新增3条Alarm Log记录：
status: end,  Ex Value1：1.000
时间戳(year, month, day, hour, minute, second, millisecond)</t>
    <phoneticPr fontId="10" type="noConversion"/>
  </si>
  <si>
    <t>Function_AcuRev1320_018_01_case17</t>
    <phoneticPr fontId="10" type="noConversion"/>
  </si>
  <si>
    <t>上位机和HMI设置DI1的“DI type”为Counter，“DI Pluse Const”为1，DI1输入1个脉冲信号，上位机和HMI上DI的DIcounter为1</t>
  </si>
  <si>
    <t>2、上位机和HMI设置DI1成功，显示“DI type”为Counter，“DI Pluse Const”为2，上位机和HMI工具界面无报错
4、上位机和HMI DI1 counter计数加4</t>
  </si>
  <si>
    <t>上位机和HMI设置DI3的“DI type”为Counter，“DI Pluse Const”为1，DI3输入1个脉冲信号，上位机和HMI上DI的DIcounter为1</t>
  </si>
  <si>
    <t>上位机和HMI设置DI的“DI type”为Counter，“DI Pluse Const”保留三位小数</t>
  </si>
  <si>
    <t>1、连接AcuRev1320电表到Acuview2上，链接状态为connected
2、检查上位机DI的脉冲常数是否精确到3位小数。
3、查看web端应该和上位机保持一致</t>
    <phoneticPr fontId="10" type="noConversion"/>
  </si>
  <si>
    <t>2、检查上位机DI的脉冲常数是否精确到3位小数。
3、查看web端和上位机保持一致</t>
  </si>
  <si>
    <t>1、连接AcuRev1320电表到Acuview2上，链接状态为connected
2、上位机和HMI设置DI1、DI2、DI3的“DI type”为Counter，“DI Pluse Const”为2
3、DI1、DI2、DI3同时输入2个脉冲信号（20V（dc），大于5ms开和大于5ms关）
4、上位机和HMI查看的DI1、DI2、DI3 counter计数（Reading—IO Module Reading页面）
注：这里的脉冲开关时间（周期）待定，按功能要求大于5ms即可</t>
    <phoneticPr fontId="10" type="noConversion"/>
  </si>
  <si>
    <t>“DI Pluse Const”设置范围为0.1-100000</t>
  </si>
  <si>
    <t>1、连接AcuRev1320电表到Acuview2上，链接状态为connected
2、上位机和HMI设置DI1、DI2、DI3的“DI Pluse Const”为0.1
3、上位机和HMI设置DI1、DI2、DI3的“DI Pluse Const”为10
4、上位机和HMI设置DI1、DI2、DI3的“DI Pluse Const”为100000
5、上位机和HMI设置DI1、DI2、DI3的“DI Pluse Const”为0.01
6、上位机和HMI设置DI1、DI2、DI3的“DI Pluse Const”为100000.1</t>
    <phoneticPr fontId="10" type="noConversion"/>
  </si>
  <si>
    <t>非铅封状态，上位机和HMI上重置DI counter数据, 数据清除成功</t>
  </si>
  <si>
    <t>3、DI counter数据清除成功，DI counter：0，上位机和HMI工具界面无报错</t>
  </si>
  <si>
    <t>上下电，电表的DI counter数据不会丢失</t>
  </si>
  <si>
    <t>1、上位机和HMI设置任选DI的“DI type”为Counter，“DI Pluse Const”为1
2、所选DI输入1个脉冲信号（20V（dc），5ms开和5ms关），上位机和HMI查看的DI counter计数
3、所选DI输入1个脉冲信号（20V（dc），50ms开和50ms关），上位机和HMI查看的DI counter计数
4、查看web端和上位机是否保持一致</t>
  </si>
  <si>
    <t>2、所选DI 上位机和HMI DI counter计数加1
3、所选DI 上位机和HMI DI counter计数再加1
4、查看web端和上位机保持一致</t>
  </si>
  <si>
    <t>1、观测电表外观，是否只存在3个DI硬件接口
2、使用串口工具（Sscom），是否能正常读取3个DI pulse count或Status寄存器。（3个DI可正常使用）
读DI1 pulse count：01 03 76 00 00 02
读DI2 pulse count：01 03 76 02 00 02
读DI3 pulse count：01 03 76 04 00 02
读出的值需要乘以pulseconstant的值</t>
    <phoneticPr fontId="10" type="noConversion"/>
  </si>
  <si>
    <t>DI 导通状态电压验证，输入电压&gt;=15V DC电压，DI的状态OFF-&gt;ON</t>
  </si>
  <si>
    <t>Function_AcuRev1320_018_01_case38</t>
    <phoneticPr fontId="10" type="noConversion"/>
  </si>
  <si>
    <t>DI 外部电源电压范围验证，20~33 Vac / 20~60 Vdc</t>
    <phoneticPr fontId="10" type="noConversion"/>
  </si>
  <si>
    <t>1、Acuview2上位机
2、网线/RTU串口线
3、AcuRev1320电表
4、“DI type”为state</t>
    <phoneticPr fontId="10" type="noConversion"/>
  </si>
  <si>
    <t>1、连接AcuRev4100电表到Acuview2上，链接状态为connected
2、电表DI1、DI2、DI3输入电压改变：0V-&gt;20V（DC）
3、电表DI1、DI2、DI3 输入电压改变：0V-&gt;60V（DC）
4、电表DI1、DI2、DI3 输入电压改变：0V-&gt;72V（DC）
5、电表DI1、DI2、DI3 输入电压改变：0V-&gt;20V（AC）
6、电表DI1、DI2、DI3 输入电压改变：0V-&gt;33V（AC）</t>
    <phoneticPr fontId="10" type="noConversion"/>
  </si>
  <si>
    <t>数字输入(DI)验证</t>
    <phoneticPr fontId="10" type="noConversion"/>
  </si>
  <si>
    <t>Function_AcuRev1320_018_01_case39</t>
  </si>
  <si>
    <t xml:space="preserve">1、连接AcuRev1320电表到Acuview2上，链接状态为connected
2、上位机和HMI设置DI1、DI2、DI3的“DI type”为Counter，“DI Pluse Const”为1
3、 接入20V直流源将环境搭建好后，给IOM单板上电
4、 等待6s左右后，绿色灯开始闪烁
5、4100单板连接上位机，等绿色灯常亮后，观察DI 1-3计数是否为700次
6、 接入60V直流源将环境搭建好后，给IOM单板上电
7、 等待6s左右后，绿色灯开始闪烁
8、4100单板连接上位机，等绿色灯常亮后，观察DI 1-3计数是否为700次
</t>
    <phoneticPr fontId="10" type="noConversion"/>
  </si>
  <si>
    <t>5、8、DI 1-3计数为700次</t>
  </si>
  <si>
    <t>Function_AcuRev1320_018_01_case41</t>
    <phoneticPr fontId="10" type="noConversion"/>
  </si>
  <si>
    <t>DI Count范围验证</t>
    <phoneticPr fontId="10" type="noConversion"/>
  </si>
  <si>
    <t>1、通过串口工具（Sscom）设置DI Count 最大值
如DI 1 Count ：01 10 76 00 00 02 04 FF FF FF FF
3、查看上位机、WEB DI 1-3计数</t>
    <phoneticPr fontId="10" type="noConversion"/>
  </si>
  <si>
    <t>3、上位机、WEB DI 1-3正常计数4,294,967,295</t>
    <phoneticPr fontId="10" type="noConversion"/>
  </si>
  <si>
    <t>1、连接AcuRev1320电表到Acuview2上，链接状态为connected
2、上位机和HMI设置DO的“DO type”为Alarm（Setting—IO Module页面）
3、alarm栏配置告警门限值并勾选"To DO1"
4、当告警触发时，观测对应DO值是否高电平(逻辑1)
5、当告警消除时，观测对应DO值是否低电平(逻辑0)
注：alarm在告警模块覆盖，此处只考虑告警后触发DO状态</t>
    <phoneticPr fontId="10" type="noConversion"/>
  </si>
  <si>
    <t>2、上位机和HMI设置“DO type”为Alarm成功，界面无报错
4、当告警触发时，观测对应DO值是高电平(逻辑1)
      DO 外界信号可以测试到，电压24V(外接源为24V)
5、当告警消除时，观测对应DO值是低电平(逻辑0)
    DO 外界信号可以测试到，电压24V(外接源为0V)</t>
    <phoneticPr fontId="10" type="noConversion"/>
  </si>
  <si>
    <t>上位机和HMI设置DO的“DO type”为Energy Pluse，“DO1  parameter：1（A项有功输入），,Pluse Width选择20ms，观察是否有20ms脉冲。</t>
    <phoneticPr fontId="10" type="noConversion"/>
  </si>
  <si>
    <t>1、连接AcuRev1320电表到Acuview2上，链接状态为connected
2、上位机和HMI设置DO的“DO type”为Energy Pluse（Setting—IO Module页面）
3、上位机和HMI中设置DO1  parameter： A项有功输入，Pluse Width选择20ms
4、使用校表台测出脉冲常数精度，输入：200V，5A，夹角0°，脉冲常数配置3600，示波器抓取波形
注：这里能量脉冲常数精度测量参考脉冲常数章节，后续更新具体方法
paramter 1 表示有功电能
3600s 对应一度电， 闪灯3600个， 即为1s闪一次</t>
    <phoneticPr fontId="10" type="noConversion"/>
  </si>
  <si>
    <t>1、连接AcuRev1320电表到Acuview2上，链接状态为connected
2、上位机和HMI设置DO的“DO type”为Energy Pluse（Setting—IO Module页面）
3、上位机和HMI 设置DO1  parameter：A项有功输入,Pluse Width选择2000ms
4、使用校表台测出脉冲常数精度，输入：200V，5A，夹角0°，脉冲常数配置1200，示波器抓取波形
注：这里能量脉冲常数精度测量参考脉冲常数章节，后续更新具体方法</t>
    <phoneticPr fontId="10" type="noConversion"/>
  </si>
  <si>
    <t>1、连接AcuRev1320电表到Acuview2上，连接状态为connected，上位机和HMI设置DO的“DO type”为Energy Pluse
2、三相电压200V，电流5A,电压电流相角差30°，Energy pulse constant设置为100000，DO  parameter：为A相有功电能（Import、Export、Net、Total）。
3、检查能量脉冲精度是否满足0.3%
注：parameter selection:1(为A相有功电能Import)，周期(S)：0.041569
parameter selection:2(为A相有功电能Export)，周期(S)：0
parameter selection:3(为A相有功电能Net)，周期(S)：0.041569
parameter selection:4(为A相有功电能Total)，周期(S)：0.04156941.6</t>
    <phoneticPr fontId="10" type="noConversion"/>
  </si>
  <si>
    <t>3、A相有功电能（Import、Export、Net、Total）DO电能量脉冲精度均满足0.2%
备注:脉冲测试方法待和硬件开发讨论
注：parameter selection:1(为A相有功电能Import)，周期(S)：0.041569
parameter selection:2(为A相有功电能Export)，周期(S)：0
parameter selection:3(为A相有功电能Net)，周期(S)：0.041569
parameter selection:4(为A相有功电能Total)，周期(S)：0.041569</t>
    <phoneticPr fontId="10" type="noConversion"/>
  </si>
  <si>
    <t>1、连接AcuRev1320电表到Acuview2上，连接状态为connected，上位机和HMI设置DO的“DO type”为Energy Pluse
2、三相电压200V，电流5A,电压电流相角差30°，Energy pulse constant设置为100000，DO  parameter：为A相无功电能（Import、Export、Net、Total）
3、检查能量脉冲精度是否满足0.2%
注：parameter selection:5(为A相无功电能Import)，周期(S)：0.072
parameter selection:6(为A相无功电能Export)，周期(S)：0
parameter selection:7(为A相无功电能Net)，周期(S)：0.072
parameter selection:8(为A相无功电能Total)，周期(S)：0.072</t>
  </si>
  <si>
    <t>1、连接AcuRev1320电表到Acuview2上，连接状态为connected，上位机和HMI设置DO的“DO type”为Energy Pluse
2、,三相电压200V，电流5A,电压电流相角差30°，Energy pulse constant设置为100000，DO  parameter：为A相视在电能
3、检查能量脉冲精度是否满足0.3%
注：parameter selection:9(为A相视在电能)，周期(S)：0.036</t>
    <phoneticPr fontId="10" type="noConversion"/>
  </si>
  <si>
    <t>3、A相视在DO电能电能量脉冲精度均满足0.2%
备注:脉冲测试方法待和硬件开发讨论
注：parameter selection:9(为A相视在电能)，周期(S)：0.036</t>
  </si>
  <si>
    <t>上位机和HMI设置DO的“DO type”为Energy Pluse，“DO1  parameter：系统有功电能,Pluse Width选择20ms，观察是否有20ms脉冲。</t>
    <phoneticPr fontId="10" type="noConversion"/>
  </si>
  <si>
    <t>1、Acuview2上位机
2、网线/RTU串口线
3、AcuRev1320电表
4、接线方式3E4w y
5、Pluse Width选择20ms，
6、Energy pulse constant设置为10000</t>
  </si>
  <si>
    <t>1、连接AcuRev1320电表到Acuview2上，连接状态为connected
2、三相电压200V，电流5A,电压电流相角差30°，Energy pulse constant设置为10000，DO  parameter:为系统有功电能（Import、Export、Net、Total）
3、检查能量脉冲精度是否满足0.3%
注：parameter selection:28(为系统有功电能Import)，周期(S)：0.138564
parameter selection:29(为系统有功电能Export)，周期(S)：0
parameter selection:30(为系统有功电能Net)，周期(S)：0.138564
parameter selection:31(为系统有功电能Total)，周期(S)：0.138564</t>
    <phoneticPr fontId="10" type="noConversion"/>
  </si>
  <si>
    <t>Function_AcuRev1320_018_02_case10</t>
    <phoneticPr fontId="10" type="noConversion"/>
  </si>
  <si>
    <t>1、Acuview2上位机
2、网线/RTU串口线
3、AcuRev1320电表
4、接线方式3E4w y
5、Pluse Width选择20ms，
6、Energy pulse constant设置为10000</t>
    <phoneticPr fontId="10" type="noConversion"/>
  </si>
  <si>
    <t>1、连接AcuRev1320电表到Acuview2上，连接状态为connected
2、三相电压200V，电流5A,电压电流相角差30°，Energy pulse constant设置为1000，DO  parameter:为系统视在电能（Import、Export、Net、Total）
3、检查能量脉冲精度是否满足0.3%
注：parameter selection:261(为user1视在电能)，周期(S)：1.2</t>
    <phoneticPr fontId="10" type="noConversion"/>
  </si>
  <si>
    <t>Function_AcuRev1320_018_02_case11</t>
    <phoneticPr fontId="10" type="noConversion"/>
  </si>
  <si>
    <t>1、Acuview2上位机
2、网线/RTU串口线
3、AcuRev1320电表
4、电压电流相角差240°</t>
    <phoneticPr fontId="10" type="noConversion"/>
  </si>
  <si>
    <t xml:space="preserve">1、连接AcuRev1320电表到Acuview2上，连接状态为connected
2、三相电压200V，电流5A, 电压电流相角差240°，Energy pulse constant设置为100000，
DO  parameter:3(A相有功电能net)， 周期s: 0
3、检查能量脉冲精度是否满足0.2%,  </t>
    <phoneticPr fontId="10" type="noConversion"/>
  </si>
  <si>
    <t>Function_AcuRev1320_018_02_case12</t>
    <phoneticPr fontId="10" type="noConversion"/>
  </si>
  <si>
    <t>2.DO有电能量脉冲 ，电能量脉冲精度均满足0.2%
3.DO无电能量脉冲</t>
  </si>
  <si>
    <t>2、上位机和HMI设置“DO type”为Energy Pluse成功，界面无报错
4、DO输出关闭，脉冲常数精度满足0.2%， 周期s:0</t>
    <phoneticPr fontId="10" type="noConversion"/>
  </si>
  <si>
    <t>上位机和HMI上Pluse Width 最大设置范围为20ms-3000ms</t>
  </si>
  <si>
    <t>2、设置Pluse Width 为20ms，设置成功
3、设置Pluse Width 为200ms，设置成功
5、设置Pluse Width 为3000ms，设置成功
6、设置Pluse Width 为19ms，设置失败
7、设置Pluse Width 为3001ms，设置失败
备注:实际测试会出现0.3-0.5ms的误差， 开发和崔总对齐，有与光耦延迟导致。</t>
    <phoneticPr fontId="10" type="noConversion"/>
  </si>
  <si>
    <t>1、通过串口工具（Sscom）设置
2、Pluse Width 为20ms，发送报文：01 10 11 01 00 01 02 00 14
3、Pluse Width 为200ms，发送报文：01 10 11 01 00 01 02 00 C8
4、Pluse Width 为3000ms，发送报文：01 10 11 01 00 01 02 0B B8
5、Pluse Width 为19ms，发送报文：01 10 11 01 00 01 02 00 13
6、Pluse Width 为3001ms，发送报文：01 10 11 01 00 01 02 0B B9
注：待更新后补充报文</t>
    <phoneticPr fontId="10" type="noConversion"/>
  </si>
  <si>
    <t>1、观测电表外观，是否只存在1个DO硬件接口
2、使用串口工具（Sscom），是否能正常读取1个DO Status寄存器。（1个DO可正常使用）
读DO1 Status：01 01 00 00 00 01</t>
    <phoneticPr fontId="10" type="noConversion"/>
  </si>
  <si>
    <t>Function_AcuRev1320_018_02_case18</t>
  </si>
  <si>
    <t>DO 手动控制开关成功</t>
  </si>
  <si>
    <t xml:space="preserve">1. 在上位机、HMI上将DO配置为手动控制模式
2. 通过串口工具下发打开、关闭DO的指令
打开： 01 05 00 00 FF 00 8C 3A
关闭： 01 05 00 00 00 00 CD CA </t>
    <phoneticPr fontId="10" type="noConversion"/>
  </si>
  <si>
    <t>2、 打开DO，关闭DO均成功</t>
    <phoneticPr fontId="10" type="noConversion"/>
  </si>
  <si>
    <t>配备实时时钟（RTC）正常</t>
  </si>
  <si>
    <t>Function_AcuRev1320_019_01_case01_01</t>
  </si>
  <si>
    <t>配备实时时钟（RTC）正常-带有时区</t>
    <phoneticPr fontId="10" type="noConversion"/>
  </si>
  <si>
    <t>1、连接AcuRev1320电表到Acuview2上，链接状态为connected
2、设置电表上“Use Customer Time ”时间， 
    2024-11-04 00:00:00      ---周1  Time Zone 8h
    2024-11-15 23:00:00      ---周5  Time Zone 0h
    2024-11-16 23:59:00      ---周6  Time Zone -12h
    2024-11-24 23:58:59      ---周日  Time Zone 14h
    2024-02-29 23:58:00      ---闰年日期  Time Zone 10.5h   备注： 时区只能配置整数，此处用例待修改为10h
3、检查设置是否成功
4、掉电重启电表
5、检查电表时间是否未丢失
6、设置电表上“Use Customer Time ”时间， 2026-07-09  Time Zone 14.5h，Time Zone -12.5h
7、检查设置是否成功</t>
    <phoneticPr fontId="10" type="noConversion"/>
  </si>
  <si>
    <t>3、设置成功
5、数据不会丢失
7、设置失败</t>
  </si>
  <si>
    <t>未断电情况下跟踪当前时间，漂移优于±0.5秒/天  ---每天观测，持续4天，防止正负漂移</t>
  </si>
  <si>
    <t>1、MHI上设置电表时间， 
    2000-01-01 00:00:00      ---周6
    2099-12-31 23:59:00      ---周4
    2024-11-04 00:00:00      ---周1
    2024-11-05 00:00:00      ---周2
    2024-11-13 00:00:00      ---周3
    2024-11-15 23:00:00      ---周5
    2024-11-30 23:59:00      ---周6
    2024-11-24 23:58:59      ---周日
    2024-02-29 23:58:00      ---闰年日期
    2024-02-01 01:01:00      ---闰年日期
2、检查设置是否成功
3、掉电重启电表
4、检查电表的set目录电表时间是否未丢失，且电表计时功能正常</t>
    <phoneticPr fontId="10" type="noConversion"/>
  </si>
  <si>
    <t>3、电表时间设置成功，HMI界面无报错，电表显示时间为设置时间加上查看延迟的时间
4、电表时间未丢失，且电表计时功能正常</t>
    <phoneticPr fontId="10" type="noConversion"/>
  </si>
  <si>
    <t>1、HMI上设置电表时间， 
    2000-01-01 00:00:00      ---周6
    2099-12-31 23:59:00      ---周4
    2024-11-04 00:00:00      ---周1
    2024-11-05 00:00:00      ---周2
    2024-11-13 00:00:00      ---周3
    2024-11-15 23:00:00      ---周5
    2024-11-30 23:59:00      ---周6
    2024-11-24 23:58:59      ---周日
    2024-02-29 23:58:00      ---闰年日期
2、检查设置是否成功
3、掉电重启电表
4、检查电表的set目录电表时间是否未丢失，且电表计时功能正常</t>
  </si>
  <si>
    <t>1、电表上电，连接正常
2、设置电表时间同步周期为1h
3、利用sscom或者上位机给表从开始设置同步周期后，每一小时同步一次时间，时间能正常同步
4、查看HMI页面是否无时间未同步标志
5、长时间不同步时间（超过1h），查看HMI页面是否有时间未同步标志</t>
    <phoneticPr fontId="10" type="noConversion"/>
  </si>
  <si>
    <t>Function_AcuRev1320_019_01_case15</t>
    <phoneticPr fontId="10" type="noConversion"/>
  </si>
  <si>
    <t>1、在上位机和HMI上是否可查询电表的负载时间T1
2、电表接源，有负载时(电流=Ist (0.005A) 且电压 = 10V)，等待5mins，负载时间是否为：T2=T1+5min
2、电表接源，有负载时(电流=1A 且电压= 20V)，等待5mins，负载时间是否为：T3=T2+5min
4、电表接源，无负载时(电流=0.004A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phoneticPr fontId="10" type="noConversion"/>
  </si>
  <si>
    <t>Function_AcuRev1320_019_01_case16</t>
    <phoneticPr fontId="10" type="noConversion"/>
  </si>
  <si>
    <t>1、在上位机和HMI上是否可查询电表的负载时间T1
2、电表接源，有负载时(电流=Ist (0.02A) 且电压 = 10V)，等待5mins，负载时间是否为：T2=T1+5min
2、电表接源，有负载时(电流=1A 且电压= 20V)，等待5mins，负载时间是否为：T3=T2+5min
3、电表接源，无负载时(电流=0.01A 且电压=9 V)，等待5mins，负载时间是否为：T3
4、电表未接源，无负载时，等待5mins，负载时间是否为：T3
注：不同的CT启动电流不一样，电表上有电阻就使用100mA的CT测试，目前我们使用的是100mA的CT测试。若使用333mV的CT，启动电压为10V，电流为0.005A,如果选用100mA,20A的CT,启动电压为10V，电流为0.02A</t>
    <phoneticPr fontId="10" type="noConversion"/>
  </si>
  <si>
    <t>。</t>
    <phoneticPr fontId="10" type="noConversion"/>
  </si>
  <si>
    <t>上位机上通过TCP/RTU,清除告警日志(clear alarm log),重置成功</t>
    <phoneticPr fontId="10" type="noConversion"/>
  </si>
  <si>
    <t>上位机上通过TCP/RTU,清除电能质量事件日志 (clear PQ eventlog),重置成功</t>
    <phoneticPr fontId="10" type="noConversion"/>
  </si>
  <si>
    <t>上位机上通过TCP/RTU,清除SOE日志 (clear SOE log),重置成功    -----需要澄清在哪里清除，其他交流表上位机上没有看到对应清除按钮</t>
    <phoneticPr fontId="10" type="noConversion"/>
  </si>
  <si>
    <t>1、上位机设置成功，无报错、闪退
3、上位机上查看最大需量数据全为0，时间戳恢复默认值00-00-00 00:00:00
注：时间戳恢复默认值地址表中暂未确定，后续更新
备注： 默认时间戳为2024-01-01 00:00</t>
  </si>
  <si>
    <t>2、上位机上清除最大需量复位历史记录成功，记录数：0；时间戳：00-00-00 00:00:00
注：时间戳恢复默认值地址表中暂未确定，后续更新
备注： 时间显示为NA</t>
  </si>
  <si>
    <t>1、封印状态，上位机上清除最大需量复位历史记录（Clear MaxDemand ClearCount and Timestamp）
2、上位机上查看最大需量复位元数据记录</t>
    <phoneticPr fontId="10" type="noConversion"/>
  </si>
  <si>
    <t>非封印状态，HMI上清除最大需量复位历史记录（Clear MaxDemand ClearCount and Timestamp）正常。</t>
    <phoneticPr fontId="10" type="noConversion"/>
  </si>
  <si>
    <t>上位机Timestamp of the most recent MaxDemand Clear不可配置</t>
    <phoneticPr fontId="10" type="noConversion"/>
  </si>
  <si>
    <t>Function_AcuRev1320_020_01_case29</t>
    <phoneticPr fontId="10" type="noConversion"/>
  </si>
  <si>
    <t>1、分别通过Tcp/Rtu连接AcuRev1320电表到Acuview2上，链接状态为connected
2、Acuview2上进行恢复出厂设置并重启 (factory reset and reboot)操作
3、检查电表是否恢复出厂设置并重启 (factory reset and reboot)，重启后电表功能是否正常
【出厂设置】基本配置信息
Password:0000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1
LCD Backlight Time： 1
Device run time ： 0
Device load time ： 0
默认时间:2024.1.1 00:00:00 week:1
Frequency selection 1（60）
Service Configuration 4
PT1(High 16 bit) 0
PT1(Low 16 bit)  480
PT2 480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phoneticPr fontId="10" type="noConversion"/>
  </si>
  <si>
    <t>3、电表恢复出厂成功，参数恢复为默认值。重连上位机观测到电表功能正常，电气参数测量正常（满足精度要求）</t>
    <phoneticPr fontId="10" type="noConversion"/>
  </si>
  <si>
    <t>Function_AcuRev1320_020_01_case30</t>
    <phoneticPr fontId="10" type="noConversion"/>
  </si>
  <si>
    <t>3、电表恢复TOU的设置为默认值
注：具体参数待更新</t>
    <phoneticPr fontId="10" type="noConversion"/>
  </si>
  <si>
    <t>Function_AcuRev1320_020_01_case31</t>
    <phoneticPr fontId="10" type="noConversion"/>
  </si>
  <si>
    <t>Function_AcuRev1320_020_01_case32</t>
    <phoneticPr fontId="10" type="noConversion"/>
  </si>
  <si>
    <t>空载CT值切换时，real time各个值均为0</t>
    <phoneticPr fontId="10" type="noConversion"/>
  </si>
  <si>
    <t>1、Acuview2上位机
2、网线/RTU串口线
3、AcuRev1320电表
4、铅封未封闭</t>
    <phoneticPr fontId="10" type="noConversion"/>
  </si>
  <si>
    <t>Function_AcuRev1320_021_01_case1</t>
    <phoneticPr fontId="10" type="noConversion"/>
  </si>
  <si>
    <t>1、参数配置成功，上位机和HMI上页面更新显示：
DHCP enable:0 （0: manual1: DHCP）
IP address:192.168.1.161
2、Tcp连接时，参数设置成功。上位机提示用户需要重连，选择重连后上位机更新连接参数自动重连
3、Tcp重连后，上位机右下角显示的IP地址会自动更新（192.168.1.161）</t>
    <phoneticPr fontId="10" type="noConversion"/>
  </si>
  <si>
    <t>1、分别通过Tcp/Rtu/USB连接AcuRev1320电表到Acuview2上，链接状态为connected
设置网络参数：
DHCP enable:1 （0: manual1: DHCP）
01 6A F0 56 00 06 0C 33 30 37 41 35 36 31 30 30 30 30 46</t>
    <phoneticPr fontId="10" type="noConversion"/>
  </si>
  <si>
    <t>Function_AcuRev1320_021_01_case7</t>
    <phoneticPr fontId="10" type="noConversion"/>
  </si>
  <si>
    <t>上位机上通过Tcp/Rtu/USB，配置slaveID为0、255失败</t>
    <phoneticPr fontId="10" type="noConversion"/>
  </si>
  <si>
    <t>1、Acuview2上位机
2、网线/RTU串口线
3、AcuRev1320电表
4、modbus RTU ON
5、modbus TCP ON</t>
    <phoneticPr fontId="10" type="noConversion"/>
  </si>
  <si>
    <t>1、分别通过Tcp/Rtu/USB连接AcuRev1320电表到Acuview2上，链接状态为connected
2、设置参数：slaveID:0
3、设置参数：slaveID:255</t>
    <phoneticPr fontId="10" type="noConversion"/>
  </si>
  <si>
    <t>1、参数设置成功。上位机和HMI上页面更新显示：modbus RTU ：OFF/Disable
2、RTU连接通信断开，无法再次通过Rtu连接电表
3.usb连接正常，usb无使能开关</t>
    <phoneticPr fontId="10" type="noConversion"/>
  </si>
  <si>
    <t>Function_AcuRev1320_021_01_case11</t>
    <phoneticPr fontId="10" type="noConversion"/>
  </si>
  <si>
    <t>1、通过Tcp/USB连接AcuRev1320电表到Acuview2上，链接状态为connected
2、设置波特率设置为2400、奇校验(ODD)
3、通过RTU连接AcuRev1320电表到Acuview2上，设置连接参数：波特率设置为2400、奇校验(ODD)，是否连接成功。
4、通过Tcp连接AcuRev1320电表到Acuview2上，链接状态为connected
5、设置波特率设置为4800、奇校验(ODD)
6、通过RTU连接AcuRev1320电表到Acuview2上，设置连接参数：波特率设置为4800、奇校验(ODD)，是否连接成功。</t>
    <phoneticPr fontId="10" type="noConversion"/>
  </si>
  <si>
    <t>1、通过Tcp连/USB接AcuRev1320电表到Acuview2上，链接状态为connected
2、设置波特率设置为9600、奇校验(ODD)
3、通过RTU连接AcuRev1320电表到Acuview2上，设置连接参数：波特率设置为9600、奇校验(ODD)，是否连接成功。
4、通过Tcp连接AcuRev1320电表到Acuview2上，链接状态为connected
5、设置波特率设置为19200、奇校验(ODD)
6、通过RTU连接AcuRev1320电表到Acuview2上，设置连接参数：波特率设置为19200、奇校验(ODD)，是否连接成功。</t>
    <phoneticPr fontId="10" type="noConversion"/>
  </si>
  <si>
    <t>1、通过Tcp/USB连接AcuRev1320电表到Acuview2上，链接状态为connected
2、设置波特率设置为38400、奇校验(EVEN)
3、通过RTU连接AcuRev1320电表到Acuview2上，设置连接参数：波特率设置为38400、奇校验(EVEN)，是否连接成功。
4、通过Tcp连接AcuRev1320电表到Acuview2上，链接状态为connected
5、设置波特率设置为57600、奇校验(EVEN)
6、通过RTU连接AcuRev1320电表到Acuview2上，设置连接参数：波特率设置为57600、奇校验(EVEN)，是否连接成功。</t>
    <phoneticPr fontId="10" type="noConversion"/>
  </si>
  <si>
    <t>1、通过Tcp/USB连接AcuRev1320电表到Acuview2上，链接状态为connected
2、设置波特率设置为76800、奇校验(EVEN)
3、通过RTU连接AcuRev1320电表到Acuview2上，设置连接参数：波特率设置为76800、奇校验(EVEN)，是否连接成功。
4、通过Tcp连接AcuRev1320电表到Acuview2上，链接状态为connected
5、设置波特率设置为115200、奇校验(EVEN)
6、通过RTU连接AcuRev1320电表到Acuview2上，设置连接参数：波特率设置为115200、奇校验(EVEN)，是否连接成功。</t>
    <phoneticPr fontId="10" type="noConversion"/>
  </si>
  <si>
    <t>1、通过Tcp/USB连接AcuRev1320电表到Acuview2上，链接状态为connected
2、设置波特率设置为76800、无校验(None1)
3、通过RTU连接AcuRev1320电表到Acuview2上，设置连接参数：波特率设置为76800、无校验(None1)，是否连接成功。
4、通过Tcp连接AcuRev1320电表到Acuview2上，链接状态为connected
5、设置波特率设置为115200、无校验(None2)
6、通过RTU连接AcuRev1320电表到Acuview2上，设置连接参数：波特率设置为115200、无校验(None2)，是否连接成功。</t>
    <phoneticPr fontId="10" type="noConversion"/>
  </si>
  <si>
    <t>1、通过Tcp连接AcuRev1320电表到Acuview2上，链接状态为connected
2、设置波特率设置为76800、奇校验(ODD)
3、通过RTU连接AcuRev1320电表到Acuview2上，设置连接参数：波特率设置为76800、偶校验(EVEN)，是否连接成功。
4.通过USB连接AcuRev1320电表到Acuview2上，设置连接参数：波特率设置为76800、偶校验(EVEN)，是否连接成功。</t>
    <phoneticPr fontId="10" type="noConversion"/>
  </si>
  <si>
    <t>Function_AcuRev1320_021_01_case19</t>
    <phoneticPr fontId="10" type="noConversion"/>
  </si>
  <si>
    <t>1、通过Tcp连接AcuRev1320电表到Acuview2上，链接状态为connected
2、设置波特率设置为76800、偶校验(EVEN)
3、通过RTU连接AcuRev1320电表到Acuview2上，设置连接参数：波特率设置为76800、无校验(None2)，是否连接成功。
4.通过USB连接AcuRev1320电表到Acuview2上，设置连接参数：波特率设置为76800、无校验(None2)，是否连接成功。</t>
    <phoneticPr fontId="10" type="noConversion"/>
  </si>
  <si>
    <t>2、参数设置成功。上位机和HMI上页面更新显示：特率设置为76800、偶校验(EVEN)
3、RTU连接成功
4.USB连接成功</t>
  </si>
  <si>
    <t>1、通过RTU连接AcuRev1320电表到Acuview2上，链接状态为connected
2、设置Port为1
3、通过TCP连接AcuRev1320电表到Acuview2上，设置连接参数：Port为1，是否连接成功
4、通过RTU连接AcuRev1320电表到Acuview2上，链接状态为connected
5、设置Port为502
6、通过TCP连接AcuRev1320电表到Acuview2上，设置连接参数：Port为502，是否连接成功</t>
    <phoneticPr fontId="10" type="noConversion"/>
  </si>
  <si>
    <t>1、通过RTU连接AcuRev1320电表到Acuview2上，链接状态为connected
2、设置Port为503
3、通过TCP连接AcuRev1320电表到Acuview2上，设置连接参数：Port为503，是否连接成功
4、通过RTU连接AcuRev1320电表到Acuview2上，链接状态为connected
5、设置Port为65534
6、通过TCP连接AcuRev1320电表到Acuview2上，设置连接参数：Port为65534，是否连接成功</t>
    <phoneticPr fontId="10" type="noConversion"/>
  </si>
  <si>
    <t>Function_AcuRev1320_021_01_case27</t>
    <phoneticPr fontId="10" type="noConversion"/>
  </si>
  <si>
    <t>1、分别通过Tcp/Rtu/USB连接AcuRev1320电表到Acuview2上，链接状态为connected
2、上位机上恢复网络默认配置（network reset）
DHCP enable:0  （0: manual1: DHCP）
IP address:192.168.1.254
Subnet mask:255.255.255.0
Gateway:192.168.1.1
DNS primary server:8.8.8.8
DNS secondary server: 8.8.4.4
port：无需恢复
3.重启电表，通过上位机查看表计general中数据是否正常</t>
    <phoneticPr fontId="10" type="noConversion"/>
  </si>
  <si>
    <t>1、HMI上关闭DHCP（manual），并配置网络参数
HMI上设置网络参数：
DHCP enable:0 （0: manual1: DHCP）
IP address:192.168.1.160
Subnet mask:255.255.255.0
Gateway:192.168.1.1
DNS primary server:8.8.8.8
DNS secondary server: 8.8.4.4
port：503
2、使用新配置网络参数，通过TCP方式连接上位机</t>
    <phoneticPr fontId="10" type="noConversion"/>
  </si>
  <si>
    <t>1、参数配置成功，HMI上页面更新显示：
DHCP enable:0 （0: manual1: DHCP）
IP address:192.168.1.160
Subnet mask:255.255.255.0
Gateway:192.168.1.1
DNS primary server:8.8.8.8
DNS secondary server: 8.8.4.4
port：503
2、TCP连接成功，通信正常</t>
    <phoneticPr fontId="10" type="noConversion"/>
  </si>
  <si>
    <t>1、HMI上设置网络通信参数：Port为1
2、通过TCP连接AcuRev1320电表到Acuview2上，设置连接参数：Port为1，是否连接成功
3、HMI上设置网络通信参数：Port为502
4、通过TCP连接AcuRev1320电表到Acuview2上，设置连接参数：Port为502，是否连接成功</t>
    <phoneticPr fontId="10" type="noConversion"/>
  </si>
  <si>
    <t>Function_AcuRev1320_021_01_case34</t>
    <phoneticPr fontId="10" type="noConversion"/>
  </si>
  <si>
    <t>HMI上配置slaveID为5、247，上位机和HMI上显示正常</t>
    <phoneticPr fontId="10" type="noConversion"/>
  </si>
  <si>
    <t>Function_AcuRev1320_021_01_case36</t>
    <phoneticPr fontId="10" type="noConversion"/>
  </si>
  <si>
    <t>HMI上配置modbus RTU OFF 成功,  参数设置成功</t>
    <phoneticPr fontId="10" type="noConversion"/>
  </si>
  <si>
    <t>1、HMI上设置网络通信参数：modbus RTU ：Disable
2、查看能否通过RTU/USB连接AcuRev1320电表到Acuview2上
3、HMI上设置网络通信参数：modbus RTU： Enable
4、上位机上点击重新连接图标，查看是否能连接成功
备注：测试中发现执行步骤3、4后，上位机会出现闪退</t>
    <phoneticPr fontId="10" type="noConversion"/>
  </si>
  <si>
    <t>1、参数配置成功，HMI上页面更新显示：modbus RTU ：Disable
2、RTU连接失败/USB连接成功
4、上位机连接成功（RTU/USB均能连接成功）</t>
    <phoneticPr fontId="10" type="noConversion"/>
  </si>
  <si>
    <t>1、AcuRev1320电表通过网线连接路由器
2、HMI上设置网络通信参数：DHCP enable:1（0: manual1: DHCP）
3、次时在HMI的IP页面，手动更改IP地址</t>
    <phoneticPr fontId="10" type="noConversion"/>
  </si>
  <si>
    <t>2、HMI上设置恢复网络默认配置（network reset）
DHCP enable:0
IP address:192.168.1.254
Subnet mask:255.255.255.0
Gateway:192.168.1.1
DNS primary server:8.8.8.8
DNS secondary server: 8.8.4.4
port：502
备注：port不会被重置</t>
    <phoneticPr fontId="10" type="noConversion"/>
  </si>
  <si>
    <t>2、电表恢复网络默认配置成功
DHCP enable:0
IP address:192.168.1.254
Subnet mask:255.255.255.0
Gateway:192.168.1.1
DNS primary server:8.8.8.8
DNS secondary server: 8.8.4.4
port：502</t>
    <phoneticPr fontId="10" type="noConversion"/>
  </si>
  <si>
    <t xml:space="preserve">
表计在进行设置恢复网络默认配置（network reset）后，只能利用ip为192.168.001.254连接</t>
    <phoneticPr fontId="10" type="noConversion"/>
  </si>
  <si>
    <t>Function_AcuRev1320_021_01_case49</t>
    <phoneticPr fontId="10" type="noConversion"/>
  </si>
  <si>
    <t>两个AcuRev1320通过Daisy Chain接线方式，两个表通信正常。</t>
    <phoneticPr fontId="10" type="noConversion"/>
  </si>
  <si>
    <t>两个AcuRev1320通过Daisy Chain接线方式，通过DHCP获取IP地址正常，通信正常</t>
    <phoneticPr fontId="10" type="noConversion"/>
  </si>
  <si>
    <t>Function_AcuRev1320_021_01_case51</t>
    <phoneticPr fontId="10" type="noConversion"/>
  </si>
  <si>
    <t>1、两个AcuRev1320通过Daisy Chain接线方式连接在一起，其中一个电表连接路由器或直连电脑
2、打开两个Acuview2上位机客户端，分别通过TCP方式连接AcuRev1320电表
3、分别通过上位机配置静态IP地址（新配置IP相互不冲突），查看能否配置成功</t>
    <phoneticPr fontId="10" type="noConversion"/>
  </si>
  <si>
    <t>2、两个Acuview2上位机都能连接AcuRev1320成功，通信正常
3、配置静态IP地址成功。上位机（重连）与HMI页面更新显示新配置IP</t>
    <phoneticPr fontId="10" type="noConversion"/>
  </si>
  <si>
    <t>1、连接AcuRev1320电表到Acuview2上，链接状态为connected
2、上位机上关闭DHCP（manual），并同时配置网络参数
DHCP enable:0 （0: manual1: DHCP）
IP address:192.168.1.252
Gateway:192.168.1.2
DNS primary server:9.9.9.9
DNS secondary server: 8.8.9.9
port：503
3、检查电表的网络配置是否为：IP2地址，Gateway2，DNS 3，DNS 4 ,port2</t>
    <phoneticPr fontId="10" type="noConversion"/>
  </si>
  <si>
    <t>Function_AcuRev1320_021_01_case53</t>
    <phoneticPr fontId="10" type="noConversion"/>
  </si>
  <si>
    <t>DHCP在auto模式下,连续快速插拔网线20次（断开/连接电表和路由器），电表功能正常</t>
    <phoneticPr fontId="10" type="noConversion"/>
  </si>
  <si>
    <t>1、连接AcuRev1320电表到Acuview2上，链接状态为connected
2、DHCP在auto模式下,连续快速插拔网线20次（断开/连接电表和路由器）</t>
    <phoneticPr fontId="10" type="noConversion"/>
  </si>
  <si>
    <t>2、电表功能正常，无死机。</t>
    <phoneticPr fontId="10" type="noConversion"/>
  </si>
  <si>
    <t>1、HMI上反复将DHCP从manual切换至auto,auto切换至manual（切manual时，手动更改IP：192.168.1.252），循环20次
2、观测电表是否运行正常</t>
    <phoneticPr fontId="10" type="noConversion"/>
  </si>
  <si>
    <t>上位机上DHCP从manual切换至auto,auto切换至manual，循环20次，电表与上位机运行正常</t>
    <phoneticPr fontId="10" type="noConversion"/>
  </si>
  <si>
    <t>1、Acuview2上建立4个TCP客户端
2、查看电压，并观察客户端链接状态是否稳定
3、Acuview2上建立1个RTU客户端
4、Acuview2上建立1个USB
5、查看电压，并观察4个TCP客户端、1个RTU、1个usb客户端链接状态是否稳定
6、观察客户端链接状态5分钟，4个TCP客户端、1个RTU、1个usb客户端链接状态是否稳定
7、观察客户端链接状态30分钟，4个TCP客户端、1个RTU、1个usb客户端链接状态是否稳定</t>
    <phoneticPr fontId="10" type="noConversion"/>
  </si>
  <si>
    <t>2、查看电压，并观察客户端链接状态稳定
4、查看电压，并观察4个TCP客户端、1个RTU、1个usb客户端链接状态稳定
5、观察客户端链接状态5分钟，4个TCP客户端、1个RTU、1个usb客户端链接状态稳定
6、观察客户端链接状态30分钟，4个TCP客户端、1个RTU、1个usb客户端链接状态稳定</t>
    <phoneticPr fontId="10" type="noConversion"/>
  </si>
  <si>
    <t>1、Acuview2上建立1个TCP客户端连接电表
2、查看5mins超时范围内，TCP连接是否稳定</t>
    <phoneticPr fontId="10" type="noConversion"/>
  </si>
  <si>
    <t>1、Acuview2上建立4个TCP客户端连接电表
2、断开任意一个客户端
3、建立第5个TCP客户端连接电表是否成功</t>
    <phoneticPr fontId="10" type="noConversion"/>
  </si>
  <si>
    <t>Function_AcuRev1320_021_02_case7</t>
    <phoneticPr fontId="10" type="noConversion"/>
  </si>
  <si>
    <t>同时连接4个TCP客户，同时多次读取日志，读取日志正常， 上位机和电表均为出现闪退或死机现象。</t>
    <phoneticPr fontId="10" type="noConversion"/>
  </si>
  <si>
    <t>Function_AcuRev1320_021_02_case8</t>
    <phoneticPr fontId="10" type="noConversion"/>
  </si>
  <si>
    <t>同时连接4个TCP客户，同时多次设置不同电表参数，设置正常， 上位机和电表均为出现闪退或死机现象。</t>
    <phoneticPr fontId="10" type="noConversion"/>
  </si>
  <si>
    <t>网络模块</t>
    <phoneticPr fontId="10" type="noConversion"/>
  </si>
  <si>
    <t>Function_AcuRev1320_021_03_case6</t>
    <phoneticPr fontId="10" type="noConversion"/>
  </si>
  <si>
    <t>连接1个USB客户端，同时多次读取日志，读取日志正常， 上位机和电表均为出现闪退或死机现象</t>
    <phoneticPr fontId="10" type="noConversion"/>
  </si>
  <si>
    <t>1、Acuview2上建立1个USB客户端连接电表
2、上位机循环读取最近50条、100条日志是否成功（循环读取15次）</t>
    <phoneticPr fontId="10" type="noConversion"/>
  </si>
  <si>
    <t>Function_AcuRev1320_021_04_case1</t>
    <phoneticPr fontId="10" type="noConversion"/>
  </si>
  <si>
    <t>1、HMI端打开dhcp开关，网线连接路由器，电表作为路由器的下行
2、查看电表是否被分配到ip地址
3、拔掉网线，在HMI端修改ip地址、子网掩码、网关地址、dns1、dns2
4、在上位机上修改IP地址、子网掩码、网关地址、dns1、dns2</t>
    <phoneticPr fontId="10" type="noConversion"/>
  </si>
  <si>
    <t>Function_AcuRev1320_021_04_case2</t>
    <phoneticPr fontId="10" type="noConversion"/>
  </si>
  <si>
    <t>接上行，dhcp打开，连续插拔电表网线20次，HMI端修改tcp port为505，tcp连接上位机成功</t>
    <phoneticPr fontId="10" type="noConversion"/>
  </si>
  <si>
    <t>两台电表级联，同时打开dhcp且接入上行，使用获取的IP进行TCP连接正常，此时上位机上关闭dhcp开关同时修改ip地址，修改成功且TCP连接上位机成功</t>
    <phoneticPr fontId="10" type="noConversion"/>
  </si>
  <si>
    <t>Function_AcuRev1320_021_04_case8</t>
    <phoneticPr fontId="10" type="noConversion"/>
  </si>
  <si>
    <t>Function_AcuRev1320_021_04_case10</t>
    <phoneticPr fontId="10" type="noConversion"/>
  </si>
  <si>
    <t>电表和电脑都接入路由器，TCP连接四个客户端，重新插拔电脑侧网线后，TCP连接依然成功</t>
    <phoneticPr fontId="10" type="noConversion"/>
  </si>
  <si>
    <t>1、电表打开DHCP接入路由器，查看路由器给电表分配IP是否成功
2、电脑通过网线接入路由器
3、使用电脑通过TCP连接到上位机，连接四个客户端
4、拔掉电脑侧的网线，等待10s
5、插入电脑侧的网线，继续使用TCP连接上位机</t>
    <phoneticPr fontId="10" type="noConversion"/>
  </si>
  <si>
    <t>1、分配IP成功
3、连接上位机成功
4、四个客户端均断开连接
5、四个客户端均能正常连接</t>
    <phoneticPr fontId="10" type="noConversion"/>
  </si>
  <si>
    <t>Function_AcuRev1320_021_04_case11</t>
    <phoneticPr fontId="10" type="noConversion"/>
  </si>
  <si>
    <t>电表设置静态IP，电脑连接到电表，TCP连接四个客户端，重新插拔电脑侧网线后，TCP连接依然成功</t>
    <phoneticPr fontId="10" type="noConversion"/>
  </si>
  <si>
    <t>1、电表关闭dhcp设置静态IP
2、电脑设置同网段的IP
3、使用电脑通过TCP连接到上位机，连接四个客户端
4、拔掉电脑侧的网线，等待10s
5、插入电脑侧的网线，继续使用TCP连接上位机</t>
    <phoneticPr fontId="10" type="noConversion"/>
  </si>
  <si>
    <t>Function_AcuRev1320_021_04_case12</t>
    <phoneticPr fontId="10" type="noConversion"/>
  </si>
  <si>
    <t>1、 给电表1分配IP 192.168.1.200
2、 给电表2分配IP 192.168.1.207
3、 给电脑分配IP 192.168.1.224
4、 电表1通过网线连接到交换机
5、 电表2通过网线连接到交换机
6、 电脑通过网线连接到交换机
7、 电表1和电表2通过网线互相连接
8、 通过电脑访问两个电表，ping IP 和通过上位机连接</t>
    <phoneticPr fontId="10" type="noConversion"/>
  </si>
  <si>
    <t>8、可以ping通，通过上位机分别连接成功，两个电表可以传递各自的数据，不会传乱</t>
    <phoneticPr fontId="10" type="noConversion"/>
  </si>
  <si>
    <t>1、 两个AcuRev1320电表</t>
    <phoneticPr fontId="10" type="noConversion"/>
  </si>
  <si>
    <t>1、 电表1修改为DHCP模式，连接到交换机，再连接到路由器，自动分配IP 192.168.1.208
2、 电表1修改为DHCP模式，连接到交换机，再连接到路由器，自动分配IP 192.168.1.209
3、 电脑修改为DHCP模式，连接到交换机，再连接到路由器，自动分配IP
4、 电表1和电表2通过网线互相连接
5、 通过电脑访问两个电表，ping IP 和通过上位机连接</t>
    <phoneticPr fontId="10" type="noConversion"/>
  </si>
  <si>
    <t>Function_AcuRev1320_021_04_case15</t>
    <phoneticPr fontId="10" type="noConversion"/>
  </si>
  <si>
    <t>部分参数范围和Modbus表默认值验证</t>
    <phoneticPr fontId="10" type="noConversion"/>
  </si>
  <si>
    <t>1、Acuview2上位机
2、网线连接路由器/RTU串口线
3、AcuRev1320电表</t>
    <phoneticPr fontId="10" type="noConversion"/>
  </si>
  <si>
    <t xml:space="preserve">1、恢复出厂设置
2、上位机上修改设置：Nominal Current
3、上位机上修改设置：Nominal Voltage
4、通过上位机工具读取Voltage Sag Hysteresis默认值
5、通过上位机工具读取Voltage Swell Hysteresis默认值
6、通过上位机工具读取Voltage Interruption Hysteresis默认值
7、上位机查看PT1、PT2
8、上位机上修改设置：Network Synchronization Interval
9、上位机上修改设置：PT2
</t>
    <phoneticPr fontId="10" type="noConversion"/>
  </si>
  <si>
    <t>2、Nominal Current参数范围1~50000
3、Nominal Voltage参数范围50~1000000
4、Voltage Sag Hysteresis默认值2
5、Voltage Swell Hysteresis默认值2
6、Voltage Interruption Hysteresis默认值2
7、PT1、PT2默认值480
8、Network Synchronization Interval参数范围：60-4294967
9、PT2参数范围：50~830</t>
    <phoneticPr fontId="10" type="noConversion"/>
  </si>
  <si>
    <t>Yabe工具读取实时量寄存器成功</t>
  </si>
  <si>
    <t>1、使用Yabe软件通过BACNet的方式连接AcuRev1320
2、Yabe软件Address Space中遍历选择OBJECT_ANALOG_INPUT:1~26参数（Real time）
3、检查Yabe上所有参数的ID、Name、Description、Object Type、Data Type、RW、Unit 、返回的实时参数值为vlaue
注：BACNet测试工具和报文待更新</t>
  </si>
  <si>
    <t>1、使用Yabe软件通过BACNet的方式连接AcuRev1320
2、Yabe软件Address Space中遍历选择OBJECT_ANALOG_INPUT:27~39参数（Power Quality）
3、检查Yabe上所有参数的ID、Name、Description、Object Type、Data Type、RW、Unit 、返回的实时参数值为vlaue</t>
    <phoneticPr fontId="10" type="noConversion"/>
  </si>
  <si>
    <t>Function_AcuRev1320_022_01_case3</t>
    <phoneticPr fontId="10" type="noConversion"/>
  </si>
  <si>
    <t>1、Acuview2上位机
2、网线/RTU串口线
3、AcuRev1320电表
4、BACNet 使能</t>
    <phoneticPr fontId="10" type="noConversion"/>
  </si>
  <si>
    <t>1、使用Yabe软件通过BACNet的方式连接AcuRev1320
2、Yabe软件Address Space中遍历选择OBJECT_ANALOG_INPUT:40~45参数（Demand）
3、检查Yabe上所有参数的ID、Name、Description、Object Type、Data Type、RW、Unit 、返回的实时参数值为vlaue</t>
  </si>
  <si>
    <t>1、使用Yabe软件通过BACNet的方式连接AcuRev1320
2、Yabe软件Address Space中遍历选择OBJECT_Pulse_Converter:1~3参数（Demand）
3、检查Yabe上所有参数的ID、Name、Description、Object Type、Data Type、RW、Unit 、返回的实时参数值为vlaue</t>
    <phoneticPr fontId="10" type="noConversion"/>
  </si>
  <si>
    <t>Yabe工具读取DI Status寄存器成功</t>
  </si>
  <si>
    <t>Function_AcuRev1320_022_01_case10</t>
    <phoneticPr fontId="10" type="noConversion"/>
  </si>
  <si>
    <t>1、上位机上设置BACNet开关 ON，波特率设置为9600，无校验(None1)
2、使用串口工具（Sscom）通过BACNet的方式连接AcuRev1320，参数波特率设置为9600，无校验(None1)
发送读取数据报文:
3、上位机上设置BACNet开关 ON，波特率设置为19200，无校验(None1)
4、使用串口工具（Sscom）通过BACNet的方式连接AcuRev1320，参数波特率设置为19200，无校验(None1)
发送读取数据报文:
注：BACNet测试工具和报文待更新</t>
    <phoneticPr fontId="10" type="noConversion"/>
  </si>
  <si>
    <t>1、配置第一个电表的BacNet MS/TP ID和BacNet MS/TP Meter Address 为1
2、配置第二个电表的BacNet MS/TP ID和BacNet MS/TP Meter Address 为2
3、第一个电表不加源
4、第二个电表加源，电压全部为120V、电流全部为4A、压流角为0
5、niagara工具先后连接两个电表，检查real-time数值</t>
    <phoneticPr fontId="10" type="noConversion"/>
  </si>
  <si>
    <t>5、 连接成功，第1个电表的测量值全部为0，第二个电表的测量值为实际值，精度符合预期</t>
    <phoneticPr fontId="10" type="noConversion"/>
  </si>
  <si>
    <t>wq</t>
  </si>
  <si>
    <t>Function_AcuRev1320_022_01_case20</t>
  </si>
  <si>
    <t>在上位机和HMI修改BACnet 的MS/TP Meter Address 参数为1、60、127，参数修改成功</t>
  </si>
  <si>
    <t>1、上位机上设置BACNet开关 ON，上位机通过TCP连接电表
2、在上位机和HMI界面上，修改MS/TP Meter Address 为1、60、127</t>
  </si>
  <si>
    <t>2、修改成功</t>
  </si>
  <si>
    <t>Function_AcuRev1320_022_01_case21</t>
  </si>
  <si>
    <t>在上位机和HMI修改BACnet 的MS/TP Meter ID 参数为1、5000、4194303，参数修改成功</t>
  </si>
  <si>
    <t>1、上位机上设置BACNet开关 ON，上位机通过TCP连接电表
2、在上位机和HMI界面上，修改MS/TP Meter ID参数为1、5000、4194303</t>
  </si>
  <si>
    <t>Function_AcuRev1320_022_01_case22</t>
  </si>
  <si>
    <t>在上位机和HMI修改BACnet 的MS/TP Max Msg Frames参数为1、150、255，参数修改成功</t>
  </si>
  <si>
    <t>1、上位机上设置BACNet开关 ON，上位机通过TCP连接电表
2、在上位机和HMI界面上，修改MS/TP Max Msg Frames参数为1、150、255</t>
  </si>
  <si>
    <t>Function_AcuRev1320_022_01_case23</t>
    <phoneticPr fontId="10" type="noConversion"/>
  </si>
  <si>
    <t>检查BACnet MS/TP Database Revision 参数的逻辑是否正确</t>
    <phoneticPr fontId="10" type="noConversion"/>
  </si>
  <si>
    <t>3、 每修改一次第2步的任意参数，MS/TP Database Revision 的值加1
4、 电表上下电，参数的值不丢失</t>
    <phoneticPr fontId="10" type="noConversion"/>
  </si>
  <si>
    <t>Function_AcuRev1320_022_01_case24</t>
    <phoneticPr fontId="10" type="noConversion"/>
  </si>
  <si>
    <t>1、使用Yabe软件通过BACNet的方式连接AcuRev1320
2、Yabe软件查看设备信息：
Vendor Hame：Accuenergy (CANADA) Inc.
APP Version：V1.01p0X
Firmware Version：V1.01p0X
description：AcuRev-1320 Revenue-Grade Energy and Power Quality Analyzer</t>
    <phoneticPr fontId="10" type="noConversion"/>
  </si>
  <si>
    <t>2、Yabe软件查看设备信息：
Vendor Hame：Accuenergy (CANADA) Inc.
APP Version：V1.01p0X
Firmware Version：V1.01p0X
description：AcuRev-1320 Revenue-Grade Energy and Power Quality Analyzer</t>
    <phoneticPr fontId="10" type="noConversion"/>
  </si>
  <si>
    <t>Firmware升级</t>
    <phoneticPr fontId="10" type="noConversion"/>
  </si>
  <si>
    <t>Function_AcuRev1320_023_01_case1</t>
    <phoneticPr fontId="10" type="noConversion"/>
  </si>
  <si>
    <t>1、通过RTU方式连接AcuRev-1320电表到Acuview2上，链接状态为connected
2、检查电表的FW版本为Rev1
3、记录电表的日志；记录电表的测量数据值为value1(电压,电流,功率)
4、上传电表FW版本(版本号Rev2),升级波特率选择9600，开始升级，并等待升级完成。
5、观测升级过程是否有错误出现
6、升级完成后，检查电表的FW版本是否为Rev2
7、升级完成后，检查电表的日志是否丢失或改变；检查电表的测量数据是否仍然为value1(电压,电流,功率)</t>
    <phoneticPr fontId="10" type="noConversion"/>
  </si>
  <si>
    <t>1、通过RTU方式连接AcuRev-1320电表到Acuview2上，链接状态为connected
2、检查电表的FW版本为Rev1
3、记录电表的日志；记录电表的测量数据值为value1(电压,电流,功率)
4、上传电表FW版本(版本号Rev2),升级波特率选择57600，开始升级，并等待升级完成。
5、观测升级过程是否有错误出现
6、升级完成后，检查电表的FW版本是否为Rev2
7、升级完成后，检查电表的日志是否丢失或改变；检查电表的测量数据是否仍然为value1(电压,电流,功率)</t>
    <phoneticPr fontId="10" type="noConversion"/>
  </si>
  <si>
    <t>5、升级过程无错误出现
6、电表的FW版本为Rev2
7、电表的日志未丢失，配置未改变；电表的测量数据未改变，仍然为value6(电压,电流,功率)</t>
    <phoneticPr fontId="10" type="noConversion"/>
  </si>
  <si>
    <t>1、电表通过网线直接连接电脑，配置电脑与电表同一网段
2、上位机通过TCP方式进行升级</t>
    <phoneticPr fontId="10" type="noConversion"/>
  </si>
  <si>
    <t>Function_AcuRev1320_023_01_case8</t>
    <phoneticPr fontId="10" type="noConversion"/>
  </si>
  <si>
    <t>1、电表通过网线连接路由器，电脑也通过网线连接路由器
2、上位机通过TCP方式进行升级</t>
    <phoneticPr fontId="10" type="noConversion"/>
  </si>
  <si>
    <t>1、电表通过网线连接公网，电脑通过网线连接公网
2、上位机通过TCP方式进行升级</t>
    <phoneticPr fontId="10" type="noConversion"/>
  </si>
  <si>
    <t>Function_AcuRev1320_023_01_case11</t>
    <phoneticPr fontId="10" type="noConversion"/>
  </si>
  <si>
    <t>铅封未封闭,上位机通过RTU方式按键升级（强制升级9600）</t>
  </si>
  <si>
    <t>3、电表进入boot模式
5、升级成功，升级过程无错误出现</t>
    <phoneticPr fontId="10" type="noConversion"/>
  </si>
  <si>
    <t>Function_AcuRev1320_023_01_case11_1</t>
    <phoneticPr fontId="10" type="noConversion"/>
  </si>
  <si>
    <t>铅封未封闭,上位机通过RTU方式按键升级（强制升级19200）</t>
  </si>
  <si>
    <t>1、通过RTU方式连接AcuRev-1320电表
2、AcuRev1320电表上电后立即按OK键
2.1 波特率选择19200
3、检查电表是否进入boot模式
4、上位机升级界面, 选择 "Is the device running?" ："NO”, “Button pressed in boot?" ： "YES"，开始升级，并等待升级完成。
5、观测升级过程是否有错误出现</t>
  </si>
  <si>
    <t>v1.01p01</t>
  </si>
  <si>
    <t>Function_AcuRev1320_023_01_case11_2</t>
    <phoneticPr fontId="10" type="noConversion"/>
  </si>
  <si>
    <t>铅封未封闭,上位机通过RTU方式按键升级（强制升级38400）</t>
  </si>
  <si>
    <t>1、通过RTU方式连接AcuRev-1320电表
2、AcuRev1320电表上电后立即按OK键
2.1 波特率选择38400
3、检查电表是否进入boot模式
4、上位机升级界面, 选择 "Is the device running?" ："NO”, “Button pressed in boot?" ： "YES"，开始升级，并等待升级完成。
5、观测升级过程是否有错误出现</t>
  </si>
  <si>
    <t>Function_AcuRev1320_023_01_case11_3</t>
    <phoneticPr fontId="10" type="noConversion"/>
  </si>
  <si>
    <t>铅封未封闭,上位机通过RTU方式按键升级（强制升级57600）</t>
  </si>
  <si>
    <t>1、通过RTU方式连接AcuRev-1320电表
2、AcuRev1320电表上电后立即按OK键
2.1 波特率选择57600
3、检查电表是否进入boot模式
4、上位机升级界面, 选择 "Is the device running?" ："NO”, “Button pressed in boot?" ： "YES"，开始升级，并等待升级完成。
5、观测升级过程是否有错误出现</t>
  </si>
  <si>
    <t>v1.01p01</t>
    <phoneticPr fontId="10" type="noConversion"/>
  </si>
  <si>
    <t>Function_AcuRev1320_023_01_case11_4</t>
    <phoneticPr fontId="10" type="noConversion"/>
  </si>
  <si>
    <t>铅封未封闭,上位机通过RTU方式按键升级（强制升级115200）</t>
  </si>
  <si>
    <t>1、通过RTU方式连接AcuRev-1320电表
2、AcuRev1320电表上电后立即按OK键
2.1 波特率选择115200
3、检查电表是否进入boot模式
4、上位机升级界面, 选择 "Is the device running?" ："NO”, “Button pressed in boot?" ： "YES"，开始升级，并等待升级完成。
5、观测升级过程是否有错误出现</t>
  </si>
  <si>
    <t>Function_AcuRev1320_023_01_case11_5</t>
    <phoneticPr fontId="10" type="noConversion"/>
  </si>
  <si>
    <t>全新电表，烧写boot，升级完APP后，电表中basic setting数据无非法值。</t>
  </si>
  <si>
    <t>1、Acuview2上位机
2、网线/RTU串口线
3、全新AcuRev1320电表(从未烧写过boot， 未升级过APP程序)
4、铅封未封闭</t>
    <phoneticPr fontId="10" type="noConversion"/>
  </si>
  <si>
    <t>1、烧写boot 程序
2、升级APP应用程序
3、检查basic setting的配置是否存在非法值。
备注:  basicsetting 配置参考modbus地址表。</t>
  </si>
  <si>
    <t>3、basic setting的配置不存在非法值。</t>
  </si>
  <si>
    <t>1、通过TCP方式连接AcuRev-1320电表到Acuview2上，链接状态为connected
2、上位机Firmeare Update界面选择升级文件，进行升级
3、升级期间，Windows上cmd窗口持续ping电表IP地址</t>
    <phoneticPr fontId="10" type="noConversion"/>
  </si>
  <si>
    <t>Function_AcuRev1320_023_01_case15</t>
    <phoneticPr fontId="10" type="noConversion"/>
  </si>
  <si>
    <t>Function_AcuRev1320_023_02_case3</t>
    <phoneticPr fontId="10" type="noConversion"/>
  </si>
  <si>
    <t>2、连接成功，电表不会重启
4、 断连均成功，电表重启</t>
    <phoneticPr fontId="10" type="noConversion"/>
  </si>
  <si>
    <t>2、连接成功
3-4、 烧写成功
5、 boot Version 版本为烧写的最新版本</t>
  </si>
  <si>
    <t>TCP进行通信时，进行RTU升级</t>
    <phoneticPr fontId="10" type="noConversion"/>
  </si>
  <si>
    <t>1、TCP连接到上位机
2、使用sscon工具连接RTU端口，扩展中编辑命令01 01 00 20 00 01，延时发送时间设置为10ms，勾选循环发送
3、此时进行TCP升级，点击connect后，立马修改延时发送时间为1ms，查看升级是否成功</t>
    <phoneticPr fontId="10" type="noConversion"/>
  </si>
  <si>
    <t>Function_AcuRev1320_023_02_case7</t>
    <phoneticPr fontId="10" type="noConversion"/>
  </si>
  <si>
    <t>3、连接失败，升级过程不受影响可以成功</t>
    <phoneticPr fontId="10" type="noConversion"/>
  </si>
  <si>
    <t>3、升级不会该表各个寄存器中数据，升级前后数据一致
备注：（需量、datalog数据在配置间隔较小时，可能存在数据上有偏差，注意识别）</t>
    <phoneticPr fontId="10" type="noConversion"/>
  </si>
  <si>
    <t>铅封功能</t>
    <phoneticPr fontId="10" type="noConversion"/>
  </si>
  <si>
    <t>Function_AcuRev1320_024_01_case1</t>
    <phoneticPr fontId="10" type="noConversion"/>
  </si>
  <si>
    <t>铅封状态，上位机界面无法修改接线配置。</t>
    <phoneticPr fontId="10" type="noConversion"/>
  </si>
  <si>
    <t>1、连接AcuRev1320电表到Acuview2上，链接状态为connected
2、Acuview2上进行修改接线配置操作（Setting页面）
3、上位机和HMI界面上检查电表的修改接线配置是否配置成功</t>
    <phoneticPr fontId="10" type="noConversion"/>
  </si>
  <si>
    <t>3、上位机和HMI界面上观测到电表的接线未改变
配置失败    ——上位机置灰，无法配置</t>
    <phoneticPr fontId="10" type="noConversion"/>
  </si>
  <si>
    <t>3、上位机和HMI界面上观测到电表的能量脉冲未改变
配置失败    ——上位机置灰，无法配置</t>
    <phoneticPr fontId="10" type="noConversion"/>
  </si>
  <si>
    <t>3、上位机和HMI界面上观测到电表的需量未改变
配置失败    ——上位机置灰，无法配置</t>
    <phoneticPr fontId="10" type="noConversion"/>
  </si>
  <si>
    <t xml:space="preserve">1、铅封封闭
2、通过校准流程写入校准参数
注：待AcuRev1320校准流程和校准参数更新后补充
</t>
    <phoneticPr fontId="10" type="noConversion"/>
  </si>
  <si>
    <t xml:space="preserve">2、无法进入校准模式，校准参数写入
2026/3/5：[10:10:31.734]发→◇01 6A F2 04 00 02 04 00 0C 00 07 4C F2 □
[10:10:31.753]收←◆01 EA 04 6E A3 </t>
    <phoneticPr fontId="10" type="noConversion"/>
  </si>
  <si>
    <t>1、连接AcuRev1320电表到Acuview2上，链接状态为connected
2、Acuview2上进行恢复网络默认配置操作
DHCP enable:0 （0: manual1: DHCP）
IP address:192.168.1.254
Subnet mask:255.255.255.0
Gateway:192.168.1.1
DNS primary server:8.8.8.8
DNS secondary server: 8.8.4.4
port：502</t>
    <phoneticPr fontId="10" type="noConversion"/>
  </si>
  <si>
    <t>2、电表恢复网络默认配置成功，上位机和HMI界面上观测到
DHCP enable:0
IP address:192.168.1.254
Subnet mask:255.255.255.0
Gateway:192.168.1.1
DNS primary server:8.8.8.8
DNS secondary server: 8.8.4.4
port：502（port值不会被重置掉）</t>
    <phoneticPr fontId="10" type="noConversion"/>
  </si>
  <si>
    <t>Function_AcuRev1320_024_01_case14</t>
    <phoneticPr fontId="10" type="noConversion"/>
  </si>
  <si>
    <t>1、Acuview2上位机
2、网线/RTU串口线
3、AcuRev1320电表
4、标准铅封
5、铅封封闭</t>
    <phoneticPr fontId="10" type="noConversion"/>
  </si>
  <si>
    <t>1、连接AcuRev1320电表到Acuview2上，链接状态为connected
2、Acuview2上修改Independent Input Channel 相关参数</t>
    <phoneticPr fontId="10" type="noConversion"/>
  </si>
  <si>
    <t>Function_AcuRev1320_024_01_case15</t>
    <phoneticPr fontId="10" type="noConversion"/>
  </si>
  <si>
    <t>铅封状态，上位机界面无法修改Dual Source Energy相关配置</t>
    <phoneticPr fontId="10" type="noConversion"/>
  </si>
  <si>
    <t>1、连接AcuRev1320电表到Acuview2上，链接状态为connected
2、Acuview2上修改Dual Source Energy相关参数</t>
    <phoneticPr fontId="10" type="noConversion"/>
  </si>
  <si>
    <t>2、 置灰无法修改</t>
    <phoneticPr fontId="10" type="noConversion"/>
  </si>
  <si>
    <t>铅封状态，上位机可以修改Daylight Saving Time 配置</t>
    <phoneticPr fontId="10" type="noConversion"/>
  </si>
  <si>
    <t>1、连接AcuRev1320电表到Acuview2上，链接状态为connected
2、Acuview2上修改Daylight Saving Time 配置</t>
    <phoneticPr fontId="10" type="noConversion"/>
  </si>
  <si>
    <t>Function_AcuRev1320_024_01_case19</t>
    <phoneticPr fontId="10" type="noConversion"/>
  </si>
  <si>
    <t>铅封状态，上位机可以Clear Syslog</t>
    <phoneticPr fontId="10" type="noConversion"/>
  </si>
  <si>
    <t>1、连接AcuRev1320电表到Acuview2上，链接状态为connected
2、Acuview2上Clear Sys Log</t>
    <phoneticPr fontId="10" type="noConversion"/>
  </si>
  <si>
    <t>2、 Clear 成功</t>
    <phoneticPr fontId="10" type="noConversion"/>
  </si>
  <si>
    <t>Function_AcuRev1320_024_01_case27</t>
    <phoneticPr fontId="10" type="noConversion"/>
  </si>
  <si>
    <t>1、铅封封闭
2、HMI上进行修改需量配置（setting—basic setting页面Demand Method/Demand Interval/Demand update rate）</t>
    <phoneticPr fontId="10" type="noConversion"/>
  </si>
  <si>
    <t>Function_AcuRev1320_024_01_case30</t>
    <phoneticPr fontId="10" type="noConversion"/>
  </si>
  <si>
    <t>1、铅封封闭
2、 HMI上修改Independent Input Channel 相关参数</t>
    <phoneticPr fontId="10" type="noConversion"/>
  </si>
  <si>
    <t>Function_AcuRev1320_024_01_case31</t>
    <phoneticPr fontId="10" type="noConversion"/>
  </si>
  <si>
    <t>1、铅封封闭
2、 HMI上修改Dual Source Energy相关参数</t>
    <phoneticPr fontId="10" type="noConversion"/>
  </si>
  <si>
    <t>2、 无法修改</t>
    <phoneticPr fontId="10" type="noConversion"/>
  </si>
  <si>
    <t>1、铅封封闭
2、 HMI上Clear Audit Log</t>
    <phoneticPr fontId="10" type="noConversion"/>
  </si>
  <si>
    <t>1、铅封封闭，上位机界面对RS485配置进行修改
Protocol：Modbus、
Modbus Slave ID:2
Baud Rate：9600
Parity：ODD</t>
    <phoneticPr fontId="10" type="noConversion"/>
  </si>
  <si>
    <t>1、铅封封闭，上位机RTU方式连接，对网络配置进行修改
DHCP enable:0  （0: manual1: DHCP）
IP address:192.168.1.160
Subnet mask:255.255.255.1
Gateway:192.168.2.1
DNS primary server:7.7.8.8
DNS secondary server: 7.7.4.4
port：503</t>
    <phoneticPr fontId="10" type="noConversion"/>
  </si>
  <si>
    <t>1、上位机界面对RS485配置修改成功，上位机与HMI页面更新显示
DHCP enable:0  （0: manual1: DHCP）
IP address:192.168.1.160
Subnet mask:255.255.255.1
Gateway:192.168.2.1
DNS primary server:7.7.8.8
DNS secondary server: 7.7.4.4
port：503</t>
    <phoneticPr fontId="10" type="noConversion"/>
  </si>
  <si>
    <t>非铅封状态, 设置RS485配置为非标铅封， 上位机界面RS485配置可正常修改。 RS485配置:  协议开关、波特率、奇偶校验</t>
    <phoneticPr fontId="10" type="noConversion"/>
  </si>
  <si>
    <t>1、RS485配置为非标准铅封
2、铅封未封闭，上位机界面对RS485配置进行修改
Baud Rate：9600
Parity：ODD</t>
    <phoneticPr fontId="10" type="noConversion"/>
  </si>
  <si>
    <t>Function_AcuRev1320_024_02_case2</t>
    <phoneticPr fontId="10" type="noConversion"/>
  </si>
  <si>
    <t>铅封状态,   设置RS485配置为非标铅封，上位机界面 RS485配置不可修改</t>
    <phoneticPr fontId="10" type="noConversion"/>
  </si>
  <si>
    <t>1、RS485配置为非标准铅封
2、铅封封闭，上位机界面对RS485配置进行修改</t>
    <phoneticPr fontId="10" type="noConversion"/>
  </si>
  <si>
    <t>2、RS485配置修改失败；上位机RS485配置不可修改（置灰）或提示用户铅封</t>
    <phoneticPr fontId="10" type="noConversion"/>
  </si>
  <si>
    <t>1、网络配置为非标准铅封
2、铅封未封闭，上位机RTU方式连接，界面对网络配置进行修改
DHCP enable:0  （0: manual1: DHCP）
IP address:192.168.1.160
Subnet mask:255.255.255.1
Gateway:192.168.2.1
DNS primary server:7.7.8.8
DNS secondary server: 7.7.4.4
port：503</t>
    <phoneticPr fontId="10" type="noConversion"/>
  </si>
  <si>
    <t>2、上位机界面对RS485配置修改成功，上位机与HMI页面更新显示
DHCP enable:0  （0: manual1: DHCP）
IP address:192.168.1.160
Subnet mask:255.255.255.1
Gateway:192.168.2.1
DNS primary server:7.7.8.8
DNS secondary server: 7.7.4.4
port：503</t>
    <phoneticPr fontId="10" type="noConversion"/>
  </si>
  <si>
    <t>Function_AcuRev1320_024_02_case4</t>
    <phoneticPr fontId="10" type="noConversion"/>
  </si>
  <si>
    <t>铅封状态,   设置网络配置配置为非标铅封， 上位机界面网络配置配置不可修改</t>
    <phoneticPr fontId="10" type="noConversion"/>
  </si>
  <si>
    <t>1、网络配置为非标准铅封
2、铅封封闭，上位机界面对网络配置进行修改</t>
    <phoneticPr fontId="10" type="noConversion"/>
  </si>
  <si>
    <t xml:space="preserve">1、通信协议配置为非标准铅封
2、铅封未封闭，上位机界面对通信协议开关配置进行修改
RS485 protocol：
Modbus TCP：0/1  (0: disable1: enable)
Modbus Slave ID:
BACnet MS/TP Meter address:
BACnet MS/TP Maximum number of message frames:
BACnet MS/TP ID:
</t>
    <phoneticPr fontId="10" type="noConversion"/>
  </si>
  <si>
    <t>Function_AcuRev1320_024_02_case6</t>
    <phoneticPr fontId="10" type="noConversion"/>
  </si>
  <si>
    <t>1、通信协议配置为非标准铅封
2、铅封封闭，上位机界面对通信协议开关配置进行修改</t>
    <phoneticPr fontId="10" type="noConversion"/>
  </si>
  <si>
    <t>Function_AcuRev1320_024_02_case10</t>
    <phoneticPr fontId="10" type="noConversion"/>
  </si>
  <si>
    <t>1、网络配置为非标准铅封
2、铅封封闭，HMI界面对网络配置进行修改</t>
    <phoneticPr fontId="10" type="noConversion"/>
  </si>
  <si>
    <t>Function_AcuRev1320_024_02_case15</t>
    <phoneticPr fontId="10" type="noConversion"/>
  </si>
  <si>
    <t>1、在上位机修改DO类型，Pluse Width、Paramter Filter、Parameter参数
2、铅封封闭，在上位机修改DO类型，Pluse Width、Paramter Filter、Parameter参数</t>
    <phoneticPr fontId="10" type="noConversion"/>
  </si>
  <si>
    <t>1、 修改成功，可以正常生效
2、修改失败【按键置灰或调用后提示铅封状态】</t>
    <phoneticPr fontId="10" type="noConversion"/>
  </si>
  <si>
    <t>Function_AcuRev1320_024_02_case16</t>
    <phoneticPr fontId="10" type="noConversion"/>
  </si>
  <si>
    <t>1、在HMI界面修改DI 类型为脉冲计数类型，清除DI Counter
2、铅封封闭，在HMI界面修改DI 类型为脉冲计数类型，清除DI Counter</t>
    <phoneticPr fontId="10" type="noConversion"/>
  </si>
  <si>
    <t>Function_AcuRev1320_024_02_case19</t>
    <phoneticPr fontId="10" type="noConversion"/>
  </si>
  <si>
    <t>铅封状,    设置通信协议配置为非标铅封， 上位机界面通信协议配置：HMI Backnet IP Setting和SNTP Setting</t>
    <phoneticPr fontId="10" type="noConversion"/>
  </si>
  <si>
    <t>1、通信协议配置为非标准铅封
2、铅封封闭，HMI、WEB、上位机界面对通信协议：HMI Backnet IP Setting和SNTP Setting进行修改</t>
    <phoneticPr fontId="10" type="noConversion"/>
  </si>
  <si>
    <t>2、HMI、WEB、上位机Backnet IP Setting和SNTP Setting配置修改失败；上位机通信协议开关配置不可修改（置灰）或提示用户铅封</t>
    <phoneticPr fontId="10" type="noConversion"/>
  </si>
  <si>
    <t>1、Acuview2上位机
2、网线/RTU串口线
3、AcuRev1320电表
4、铅封未封闭
5、接入源
6、上位机Setting -Metering-General 页面，将In Method 配置为“Measured”
7、Independent Input Channel 使能</t>
  </si>
  <si>
    <t>5、ABC三相电压幅值精度满足0.1%，相位精度满足±0.1°；四路电流幅值精度满足0.1%，相位精度满足±0.1°
10、ABC三相电压幅值精度满足0.1%，相位精度满足±0.1°；四路电流幅值精度满足0.1%，相位精度满足±0.1°</t>
  </si>
  <si>
    <t>1、Acuview2上位机
2、网线/RTU串口线
3、AcuRev1320电表
4、铅封未封闭
5、接入源</t>
    <phoneticPr fontId="10" type="noConversion"/>
  </si>
  <si>
    <t>4、 电表升级，精度不受影响</t>
  </si>
  <si>
    <t>HMI上检查Readings Realtime目录下的所有页面</t>
    <phoneticPr fontId="10" type="noConversion"/>
  </si>
  <si>
    <t>Function_AcuRev1320_026_01_case2</t>
    <phoneticPr fontId="10" type="noConversion"/>
  </si>
  <si>
    <t>HMI上检查Readings 页面中，Demand目录下的所有页面</t>
  </si>
  <si>
    <t>1、 HMI上检查Readings的Demand目录下的所有页面</t>
    <phoneticPr fontId="10" type="noConversion"/>
  </si>
  <si>
    <t>Function_AcuRev1320_026_01_case6</t>
    <phoneticPr fontId="10" type="noConversion"/>
  </si>
  <si>
    <t>HMI上检查Readings 页面中，Max/Min目录下的所有页面</t>
    <phoneticPr fontId="10" type="noConversion"/>
  </si>
  <si>
    <t>1、 HMI上检查Readings的Max/Min目录下的所有页面</t>
    <phoneticPr fontId="10" type="noConversion"/>
  </si>
  <si>
    <t>1、检查所有显示布局正常，数值显示为实际值，指示单词拼写及大小写正确，单位拼写及大小写正确</t>
    <phoneticPr fontId="10" type="noConversion"/>
  </si>
  <si>
    <t>1、 HMI 上配置Independent Input Channel的Enable参数
2、 检查HMI 界面参数的单词拼写正确
3、 支持配置以下参数，并且不能配置其他值：
0: disable; 1: enable</t>
  </si>
  <si>
    <t>2、 界面显示布局正常，指示单词拼写正确
3、 遍历6种接线方式，检查参数支持配置对应的值，且不能配置当前接线方式不支持的其他值：</t>
  </si>
  <si>
    <t>Function_AcuRev1320_026_01_case19</t>
    <phoneticPr fontId="10" type="noConversion"/>
  </si>
  <si>
    <t>2、 Real-time 测量的参数项目与测试值与上位机一致
备注： 同时结合Modbus地址表检查</t>
  </si>
  <si>
    <t>Function_AcuRev1320_026_01_case21</t>
    <phoneticPr fontId="10" type="noConversion"/>
  </si>
  <si>
    <t>Function_AcuRev1320_026_01_case22</t>
    <phoneticPr fontId="10" type="noConversion"/>
  </si>
  <si>
    <t>Function_AcuRev1320_026_01_case24</t>
    <phoneticPr fontId="10" type="noConversion"/>
  </si>
  <si>
    <t>Function_AcuRev1320_026_01_case26</t>
    <phoneticPr fontId="10" type="noConversion"/>
  </si>
  <si>
    <t>1、 电表Independent Input Channel 配置为Disable
2、 检查HMI Reading 的Real-time 测量值</t>
  </si>
  <si>
    <t>2、 Real-time 测量的参数项目与测试值为HS 20ms的值
备注： 同时结合Modbus地址表检查</t>
  </si>
  <si>
    <t>1、 电表Independent Input Channel 配置为Disable
2、 检查HMI Reading 的Energy测量值</t>
  </si>
  <si>
    <t>2、 Energy 测量的参数项目与测试值与上位机一致
备注： 同时结合Modbus地址表检查</t>
  </si>
  <si>
    <t>Function_AcuRev1320_026_01_case28</t>
    <phoneticPr fontId="10" type="noConversion"/>
  </si>
  <si>
    <t>电表Independent Input Channel 配置为Disable时，检查Reading的Max Demand测量值</t>
  </si>
  <si>
    <t>电表Independent Input Channel 配置为Disable时，检查Reading的THD测量值</t>
  </si>
  <si>
    <t>HMI 在配置与读数时，如果发生通信繁忙，配置或读取失败的情况，要弹窗进行提示</t>
  </si>
  <si>
    <t>1、 电表测试过程中，观察如果发生通信繁忙，配置或读取失败，需弹窗进行提示</t>
  </si>
  <si>
    <t>Function_AcuRev1320_026_01_case34</t>
    <phoneticPr fontId="10" type="noConversion"/>
  </si>
  <si>
    <t>HMI上检查Logs目录下，Check PQ Event Log 中日志显示</t>
    <phoneticPr fontId="10" type="noConversion"/>
  </si>
  <si>
    <t>1、 Set PQ Event Log 页面配置读取Log 的ID 为真实存在的ID
2、 HMI上检查Logs目录下，Check PQ Event Log 页面的内容</t>
    <phoneticPr fontId="10" type="noConversion"/>
  </si>
  <si>
    <t>Function_AcuRev1320_026_01_case42</t>
  </si>
  <si>
    <t>1、 HMI上检查Logs目录下，Set Audit Log 页面的内容</t>
  </si>
  <si>
    <t>1、 Set SOE Log 页面配置读取Log 的ID 为真实存在的ID
2、 HMI上检查Logs目录下，Check Audit Log 页面的内容</t>
  </si>
  <si>
    <t>2、提示“There is no system log”</t>
  </si>
  <si>
    <t>1、HMI上进行需量设置如下：（setting—basic setting页面）
Demand method：1(sliding Block)
Demand update rate：5mins
Demand Interval：15mins
2、重置需量最值，时间记录为T1
3、距离最近T1最近15分钟整点开始计时T2
4、则是否T2+15分钟首次上报，过去的15分钟需量平均值(电流、功率)为0
注：需量计算数据准确性在需量计算模块用例覆盖，此处只考虑需量配置相关逻辑</t>
    <phoneticPr fontId="10" type="noConversion"/>
  </si>
  <si>
    <t>1、需量设置成功，上位机和HMI页面更新显示
Demand method：1(sliding Block)
Demand update rate：5mins
Demand Interval：15minss
4、首次上报为15分钟后，后续上报时间间隔为5mins</t>
    <phoneticPr fontId="10" type="noConversion"/>
  </si>
  <si>
    <t>1、HMI上进行需量设置如下：（setting—basic setting页面）
Demand method：1(sliding Block)
Demand update rate：0mins
Demand Interval：31mins</t>
    <phoneticPr fontId="10" type="noConversion"/>
  </si>
  <si>
    <t>1、HMI上进行需量设置如下：（setting—basic setting页面）
Demand method：0 (Fixed Block)
Demand update rate：5mins
Demand Interval：10mins
2、重置需量最值，时间记录为T1
3、距离最近T1最近10分钟整点开始计时T2
4、则是否T2+10分钟首次上报，过去的10分钟需量平均值(电流、功率)为0
连接AcuRev1320电表到Acuview2上，查看需量更新时间
注：需量计算数据准确性在需量计算模块用例覆盖，此处只考虑需量配置相关逻辑</t>
  </si>
  <si>
    <t>1、HMI上进行需量设置如下：（setting—basic setting页面）
Demand method：2   ( 0 Fixed Block、1sliding Block)</t>
    <phoneticPr fontId="10" type="noConversion"/>
  </si>
  <si>
    <t>HMI上设置能量脉冲参数，Pulse LED parameter selection设为54,Energy pulse constant设为100000.000,Pulse LED width设为100，参数设置成功</t>
  </si>
  <si>
    <t>1、HMI上进行能量脉冲参数设置如下：（setting—basic setting页面）
Pulse LED parameter selection：360
Energy pulse constant：100000.001
Pulse LED width：50
注：脉冲精度在脉冲章节覆盖</t>
    <phoneticPr fontId="10" type="noConversion"/>
  </si>
  <si>
    <t>Function_AcuRev1320_026_01_case60</t>
    <phoneticPr fontId="10" type="noConversion"/>
  </si>
  <si>
    <t>2、交流源接线类型设置成功
3、上位机和HMI页面更新显示Service Configuration：1 ELEMENT 2 WIRE
4、交流源接线类型设置成功
5、上位机和HMI页面更新显示Service Configuration：2 ELEMENT 3 WIRE 1 PHASE
6、交流源接线类型设置成功
7、上位机和HMI页面更新显示Service Configuration：2 ELEMENT 3 WIRE DELTA
8、交流源接线类型设置成功
9、上位机和HMI页面更新显示Service Configuration：2 ELEMENT 3 WIRE NETWORK
10、交流源接线类型设置成功
11、上位机和HMI页面更新显示Service Configuration：3 ELEMENT 4 WIRE Y
12、交流源接线类型设置成功
13、上位机和HMI页面更新显示Service Configuration：3 ELEMENT 4 WIRE DELTA
14、Service Configuration 参数不支持配置为其他值</t>
    <phoneticPr fontId="10" type="noConversion"/>
  </si>
  <si>
    <t>Function_AcuRev1320_026_01_case64</t>
    <phoneticPr fontId="10" type="noConversion"/>
  </si>
  <si>
    <t>HMI上设置PT1为50、51、1000000参数设置成功</t>
    <phoneticPr fontId="10" type="noConversion"/>
  </si>
  <si>
    <t>1、HMI上进行PT1设置（setting—basic setting页面）
2、PT1：50
3、连接AcuRev1320电表到Acuview2上，查看PT1
4、PT1：51
5、连接AcuRev1320电表到Acuview2上，查看PT1
6、PT1：1000000
7、连接AcuRev1320电表到Acuview2上，查看PT1</t>
    <phoneticPr fontId="10" type="noConversion"/>
  </si>
  <si>
    <t>2、PT1设置成功
3、上位机和HMI页面更新显示：PT1：50
4、PT1设置成功
5、上位机和HMI页面更新显示：PT1：51
6、PT1设置成功
7、上位机和HMI页面更新显示：PT1：1000000</t>
    <phoneticPr fontId="10" type="noConversion"/>
  </si>
  <si>
    <t>Function_AcuRev1320_026_01_case66</t>
    <phoneticPr fontId="10" type="noConversion"/>
  </si>
  <si>
    <t>1、HMI上进行PT2设置（setting—basic setting页面）
2、PT2：50
3、连接AcuRev1320电表到Acuview2上，查看PT2
4、PT2：51
5、连接AcuRev1320电表到Acuview2上，查看PT2
6、PT2：830
7、连接AcuRev1320电表到Acuview2上，查看PT2
8、检查PT1和PT2是否分两行显示</t>
    <phoneticPr fontId="10" type="noConversion"/>
  </si>
  <si>
    <t>2、PT2设置成功
3、上位机和HMI页面更新显示：PT2：50
4、PT2设置成功
5、上位机和HMI页面更新显示：PT2：51
6、PT2设置成功
7、上位机和HMI页面更新显示：PT2：830
8、PT1和PT2分两行显示</t>
    <phoneticPr fontId="10" type="noConversion"/>
  </si>
  <si>
    <t>1、HMI上进行设置：VAR/PF Convention：IEC
2、查看无功功率因素是否遵循IEC标准:
设置电压电流夹角为30°，功率因素为正数
设置电压电流夹角为120°，功率因素为负数
设置电压电流夹角为240°，功率因素为负数
设置电压电流夹角为300°，功率因素为正数</t>
    <phoneticPr fontId="10" type="noConversion"/>
  </si>
  <si>
    <t>1、VAR/PF Convention设置成功，上位机和HMI页面更新显示
VAR/PF Convention：IEC
2、无功功率因素遵循IEC标准：无功功率 Q（感性负载）是正数， 无功功率 Q（容性负载）是负数</t>
    <phoneticPr fontId="10" type="noConversion"/>
  </si>
  <si>
    <t>HMI上设置VAR/PF Convention为 IEEE，参数设置成功，无功功率因素遵循IEEE标准。 备注: 无功功率 Q（感性负载）是负数， 无功功率 Q（容性负载）是正数</t>
  </si>
  <si>
    <t>1、VAR/PF Convention设置成功，上位机和HMI页面更新显示
VAR/PF Convention：IEEE
2、无功功率因素遵循IEEE标准： 无功功率 Q（感性负载）是负数， 无功功率 Q（容性负载）是正数</t>
    <phoneticPr fontId="10" type="noConversion"/>
  </si>
  <si>
    <t>1、HMI上进行Reactive Power Calculation Method设置（setting—basic setting页面）
2、Reactive Power Calculation Method：Generic Reactive Power
3、Reactive Power Calculation Method：True Reactive Power
4、 检查Reactivr Power Calculation Method 不支持配置其他参数</t>
    <phoneticPr fontId="10" type="noConversion"/>
  </si>
  <si>
    <t>Function_AcuRev1320_026_01_case73</t>
    <phoneticPr fontId="10" type="noConversion"/>
  </si>
  <si>
    <t>HMI上设置Energy Reading Display format为0，参数设置成功,Energy Reading显示格式为Primary in 0.1 kWh。</t>
    <phoneticPr fontId="10" type="noConversion"/>
  </si>
  <si>
    <t>1、HMI上进行Energy Reading Display format设置（setting—basic setting页面）
2、Energy Reading Display format：0.1 kWh
3、HMI和上位机上查看Energy Reading显示格式</t>
    <phoneticPr fontId="10" type="noConversion"/>
  </si>
  <si>
    <t>2、Energy Reading Display format设置成功，上位机和HMI页面更新显示
Energy Reading Display format：0.1 kWh
3、HMI和上位机Energy Reading显示格式为Primary in 0.1 kWh</t>
    <phoneticPr fontId="10" type="noConversion"/>
  </si>
  <si>
    <t>1、HMI上进行Energy Reading Display format设置（setting—basic setting页面）
2、Energy Reading Display format：0.01kWh
3、HMI和上位机上查看Energy Reading显示格式</t>
    <phoneticPr fontId="10" type="noConversion"/>
  </si>
  <si>
    <t>1、HMI上进行Energy Reading Display format设置（setting—basic setting页面）
2、Energy Reading Display format：0.001kWh
3、HMI和上位机上查看Energy Reading显示格式</t>
    <phoneticPr fontId="10" type="noConversion"/>
  </si>
  <si>
    <t>HMI上工厂设置和上位机上显示一致， 且显示准确、正常、无乱码、无排版错误。 工厂设置: Manufacture，Model，SN，Hardware Version，Boot version，Firmware Version，Seal，MAC。</t>
    <phoneticPr fontId="10" type="noConversion"/>
  </si>
  <si>
    <t>1、电表上电
2、电表HMI上是否正常读取到设备信息和状态
3、连接AcuRev1320电表到Acuview2上，是否正常读取到设备信息和状态，
4、Acuview2上显示的设备信息和状态与HMI上显示是否一致
备注:设备信息和状态如下
Manufacture:ACCUENERGY（CANADA）   ---格式如此，实际值根据实际情况定
model:AcuRev1320-mV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
备注：设备信息页面下不会显示Seal 信息，4100项目该参数在system status页面显示，显示结果为unsealed</t>
    <phoneticPr fontId="10" type="noConversion"/>
  </si>
  <si>
    <t>2、电表HMI上可正常读取到设备信息和状态；显示准确、正常、无乱码、无排版错误
3、Acuview2上可正常读取到设备信息和状态；显示准确、正常、无乱码、无排版错误
4、Acuview2上显示的设备信息和状态与HMI上显示一致
备注:设备信息和状态如下
Manufacture:ACCUENERGY（CANADA）   ---格式如此，实际值根据实际情况定
model:AcuRev1320-mV /mA    ---格式如此，实际值根据实际情况定
SN：DCTYYMMXXXXX             ---格式如此，实际值根据实际情况定
Hardware Version：V 1.01       ---格式如此，实际值根据实际情况定
Boot version：V1.0.1           ---格式如此，实际值根据实际情况定
Firmware Version：V1.0.1         ---格式如此，实际值根据实际情况定
Seal：No或者Yes              ---格式如此，实际值根据实际情况定
MAC地址：EC-C3-8A-50-07-20            ---格式如此，实际值根据实际情况定</t>
    <phoneticPr fontId="10" type="noConversion"/>
  </si>
  <si>
    <t>1、boot模式下设备型号显示为AcuRev1320
2026/2/11：boot模式下无设备型号</t>
    <phoneticPr fontId="10" type="noConversion"/>
  </si>
  <si>
    <t>1、在HMI端查看各个界面的时间戳，查看时间戳的英文是否正确</t>
    <phoneticPr fontId="10" type="noConversion"/>
  </si>
  <si>
    <t>mV型电表当电流超出最大阈值时，HMI上显示“Over Current Alarm！”</t>
    <phoneticPr fontId="10" type="noConversion"/>
  </si>
  <si>
    <t>2、 HMI界面上显示“Over Current Alarm！”
4、 HMI界面上显示“Over Current Alarm！”</t>
    <phoneticPr fontId="10" type="noConversion"/>
  </si>
  <si>
    <t>Function_AcuRev1320_026_01_case88</t>
  </si>
  <si>
    <t>电表超出最大相电压阈值490V时，HMI 上显示“Over Voltage Alarm！”</t>
  </si>
  <si>
    <t>1、Acuview2上位机
2、网线/RTU串口线
3、AcuRev1320电表
4、 电表接线方式配置为3e4w y</t>
  </si>
  <si>
    <t>1、 电表上电，Ua 输入480V， 不超过490V
2、 观察HMI接线
3、 Ua 输入495V
4、 观察HMI 界面</t>
  </si>
  <si>
    <t>2、 HMI界面上不显示“Over Voltage Alarm！”
4、 HMI界面上显示“Over Voltage Alarm！”</t>
  </si>
  <si>
    <t>Function_AcuRev1320_026_01_case89</t>
  </si>
  <si>
    <t>电表超出最大线电压阈值840V时，HMI 上显示“Over Voltage Alarm！”</t>
  </si>
  <si>
    <t>1、Acuview2上位机
2、网线/RTU串口线
3、AcuRev1320电表
4、 电表接线方式配置为3e4w delta</t>
  </si>
  <si>
    <t>1、 电表上电，Ua 输入480V， 线电压不超过840V
2、 观察HMI接线
3、 Ua 输入495V
4、 观察HMI 界面</t>
  </si>
  <si>
    <t>Function_AcuRev1320_027_01_case1_1</t>
    <phoneticPr fontId="10" type="noConversion"/>
  </si>
  <si>
    <t>web页面设置密码验证</t>
    <phoneticPr fontId="10" type="noConversion"/>
  </si>
  <si>
    <t>1、Web进入Setting界面，进行电表密码设置
2、输入非数字或输入数字少于4位，查看提示语</t>
    <phoneticPr fontId="10" type="noConversion"/>
  </si>
  <si>
    <t>2、Password的提示语改为：Password must be 4 numbers。</t>
    <phoneticPr fontId="10" type="noConversion"/>
  </si>
  <si>
    <t>Function_AcuRev1320_027_01_case2</t>
    <phoneticPr fontId="10" type="noConversion"/>
  </si>
  <si>
    <t>忘记密码，利用HMI进入setting</t>
    <phoneticPr fontId="10" type="noConversion"/>
  </si>
  <si>
    <t>1、AcuRev1320电表HMI上Setting
2.忘记密码后，输入错误密码
3.提供电表SN号及电表当前日期
4.输入临时密码
5.选择是
6.选择否</t>
    <phoneticPr fontId="10" type="noConversion"/>
  </si>
  <si>
    <t xml:space="preserve">
2.页面提示密码错误，请联系我们
3.将电表SN号及电表当前日期通过计算得出临时密码
4.表计页面提示该临时密码只针对今天，是否要立即修改密码
5.表计立即进入重置密码界面
6.表计进入setting子菜单界面</t>
    <phoneticPr fontId="10" type="noConversion"/>
  </si>
  <si>
    <t>Function_AcuRev1320_027_01_case6</t>
    <phoneticPr fontId="10" type="noConversion"/>
  </si>
  <si>
    <t>1、分别通过Tcp/Rtu连接AcuRev1320电表到Acuview2上，链接状态为connected，密码设置界面（Setting—General—Security—Password）
2、设置密码0001，检查是否设置成功
3、使用0001登录，检查是否登录成功
4、设置密码1000，检查是否设置成功
5、使用1000登录，检查是否登录成功
6、设置密码9999，检查是否设置成功
7、使用9999登录，检查是否登录成功
8、输入错误4位数密码，点击登录，检查是否登录成功</t>
    <phoneticPr fontId="10" type="noConversion"/>
  </si>
  <si>
    <t>忘记密码，利用上位机进入setting</t>
    <phoneticPr fontId="10" type="noConversion"/>
  </si>
  <si>
    <t>1、分别通过Tcp/Rtu连接AcuRev1320电表到Acuview2上，链接状态为connected，密码设置界面
2.忘记密码后，输入错误密码
3.提供电表SN号及电表当前日期
4.修改general中任意参数
5.输入临时密码</t>
    <phoneticPr fontId="10" type="noConversion"/>
  </si>
  <si>
    <t xml:space="preserve">
2.上位机页面提示密码错误，请联系我们
3.将电表SN号及电表当前日期通过计算得出临时密码
4.弹出提示框要求输入密码
5.修改成功，此时密码框显示原本密码，且上位机此后修改无需再输入验证密码</t>
    <phoneticPr fontId="10" type="noConversion"/>
  </si>
  <si>
    <t>HMI上默认密码为0000，回车即可进入目标目录。</t>
    <phoneticPr fontId="10" type="noConversion"/>
  </si>
  <si>
    <t>1、新电表或恢复出厂后电表
2、任意输入密码界面（如进入basic setting页面）
3、使用默认密码“0000”,登录目标界面</t>
    <phoneticPr fontId="10" type="noConversion"/>
  </si>
  <si>
    <t>Function_AcuRev1320_027_03_case4</t>
    <phoneticPr fontId="10" type="noConversion"/>
  </si>
  <si>
    <t xml:space="preserve">1、通过RTU方式连接AcuRev1320电表到Acuview2上，链接状态为connected
2、点击reboot meter
3、输入错误的密码
4、输入正确的密码
</t>
    <phoneticPr fontId="10" type="noConversion"/>
  </si>
  <si>
    <t>VLN 60V，独立供电（100V，50HZ）， 电表启动正常，稳定工作</t>
  </si>
  <si>
    <t>VLN 480V，独立供电（300V,60HZ）， 电表启动正常，稳定工作</t>
  </si>
  <si>
    <t>1、通过TCP方式连接AcuRev-1320电表到Acuview2上，链接状态为connected
2、打开Wireshark抓包工具，设置视图--时间显示格式为ms级
3、上位机发送任意请求，Wireshark上查看请求发出到收到响应的时间</t>
    <phoneticPr fontId="10" type="noConversion"/>
  </si>
  <si>
    <t>Function_AcuRev1320_029_02_case2_01</t>
    <phoneticPr fontId="10" type="noConversion"/>
  </si>
  <si>
    <t>1、 串口工具通过modbus RTU 协议发送请求
2、 4100电表回复报文，通过XXX设备检查两个报文之间的间隔时间【具体测试设备待转测验证后补充】
3、 覆盖所有波特率，检查间隔时间满足协议要求的静默时间</t>
    <phoneticPr fontId="10" type="noConversion"/>
  </si>
  <si>
    <t>相电压电流相角稳定性测试</t>
    <phoneticPr fontId="10" type="noConversion"/>
  </si>
  <si>
    <t>Function_AcuRev1320_031_01_case1</t>
    <phoneticPr fontId="10" type="noConversion"/>
  </si>
  <si>
    <t>mV型单板，3 Element 4Wire Y 接线方式，带灯泡负载，挂测一周</t>
  </si>
  <si>
    <t>上位机DataLogSetting</t>
    <phoneticPr fontId="10" type="noConversion"/>
  </si>
  <si>
    <t>上边栏Setting的Data Log Setting中，选择已经连接的设备，验证Energy所有参数，配置Logging Interval 为1 s时，Test 失败，设备状态依旧为Unready，无法应用配置后生成日志</t>
    <phoneticPr fontId="10" type="noConversion"/>
  </si>
  <si>
    <t>1、 电表通过rtu 连接，Baud Rate配置为19200，Parity配置为None1
2、 点击上边栏的Setting - Data Log Setting 
3、 选择已经连接成功的设备
4、 Select Parameters 中，选择Energy，右侧对应参数显示全选中
5、 Logging Interval 配置为1 s，点击下方Action模块中的Test
6、 保存日志配置，点击Apply
7、 点击上边栏的Operatioin - Start Data Logging</t>
    <phoneticPr fontId="10" type="noConversion"/>
  </si>
  <si>
    <t>上边栏Setting的Data Log Setting中，选择已经连接的设备，验证Power Quality 所有参数，配置Logging Interval 为1 min时，Test 成功，生成日志符合预期</t>
    <phoneticPr fontId="10" type="noConversion"/>
  </si>
  <si>
    <t>上边栏Setting的Data Log Setting中，选择已经连接的设备，选中Real-time Metering 和Energy 两个模块中的部分参数，勾选Split Fileds By Category，配置Logging Interval 为10s，Test 成功，生成两个日志文件，参数内容与时间间隔符合预期</t>
    <phoneticPr fontId="10" type="noConversion"/>
  </si>
  <si>
    <t>1、 电表通过rtu 连接，Baud Rate配置为19200，Parity配置为None1
2、 点击上边栏的Setting - Data Log Setting 
3、 选择已经连接成功的设备
4、 Select Parameters 中，选择Real-time Metering，右侧对应参数显示全选中
5、 修改文件保存的目标位置到桌面
6、 Logging Interval 配置为10s，点击下方Action模块中的Test
7、 保存日志配置，设备状态从Unready更新为Ready；选中设备后，点击Apply
8、 点击上边栏的Operatioin - Start Data Logging，开始生成日志
9、 等待3min后，点击上边栏的Operatioin - StopData Logging，停止生成日志
10、 进入 Data Log Setting页面，点击Browse Log Filed
11、进入电脑的桌面目录下</t>
    <phoneticPr fontId="10" type="noConversion"/>
  </si>
  <si>
    <t>1、 电表通过rtu 连接，Baud Rate配置为19200，Parity配置为None1
2、 点击上边栏的Setting - Data Log Setting 
3、 选择已经连接成功的设备
4、 Select Parameters 中，选择Energy，右侧对应参数显示全选中
5、 Logging Interval 配置为7 s，点击下方Action模块中的Test
6、 保存日志配置，设备状态从Unready更新为Ready，选中设备
7、 勾选 Wait for the next strict moment； 点击Apply
8、 点击上边栏的Operatioin - Start Data Logging，开始生成日志
9、 等待3min后，点击上边栏的Operatioin - StopData Logging，停止生成日志
10、 进入 Data Log Setting页面，点击Browse Log Filed</t>
    <phoneticPr fontId="10" type="noConversion"/>
  </si>
  <si>
    <t>5、 Test通过，Action 模块显示Passed
9、 停止生成日志成功，
10、 在对应连接设备下，可以找到最新生成的日志文件，点击查看，日志内容包含所有Energy的参数，第一条日志时间戳为7秒的整数倍，后续每隔7s生成1条日志</t>
    <phoneticPr fontId="10" type="noConversion"/>
  </si>
  <si>
    <t>3.正确输入，无误
4.数据计算准确；
备注：
Secondary Minimum默认为1;
Primary Maximum=CT1/CT2;
Secondary Maximum
Primary Minimum
Primary=1/【（CT1/CT2）*Secondary】</t>
    <phoneticPr fontId="10" type="noConversion"/>
  </si>
  <si>
    <t>Function_AcuRev1320_033_01_case4</t>
    <phoneticPr fontId="10" type="noConversion"/>
  </si>
  <si>
    <t>3.正确输入，无误
4.数据计算准确；
备注：
Secondary Minimum默认为1;
Primary Maximum=CT1/CT2;
Secondary Maximum
Primary Minimum
Secondary=1/【（CT1/CT2）*Primary 】</t>
    <phoneticPr fontId="10" type="noConversion"/>
  </si>
  <si>
    <t>model选择AcuRev1320，Primary Maximum Power写入6kW、CT1：5A,CT2：100mA,Output Energy Pulse Width:80ms,Minimum Pulse Interval:80ms，点击Reset</t>
    <phoneticPr fontId="10" type="noConversion"/>
  </si>
  <si>
    <t>1.双击打开Acuview2上位机
2.在导航栏点击operation--Calculate Pulase Constant
3.model选择AcuRev1320，Primary Maximum Power写入6kW、CT1：5A,CT2：100mA,Output Energy Pulse Width:80ms,Minimum Pulse Interval:80ms
4.点击Reset</t>
    <phoneticPr fontId="10" type="noConversion"/>
  </si>
  <si>
    <t>3.保存成功
4.保存成功，但是发现3中保存的文件被删除，只保留了4；
备注： 第4步用例待更新，现在生成新的文件后，文件名以时间戳命名，不会重复，也就不会覆盖第3步中的文件了</t>
  </si>
  <si>
    <t>1.双击打开Acuview2上位机，保证表计RTU连接正常
2.进入setting后，将setting的各个模块进行配置（区别于出厂参数），记录这些数据修改值
3.在导航栏点击operation--Export Configuration，全选后点击Export 将数据导出保存
4.对表进行恢复出厂设置
5.在导航栏点击operation--Import Configuration，全选后点击Import 将数据全部导入
6.查看setting中各个模块数据是否与2中保存的数据是否一致</t>
    <phoneticPr fontId="10" type="noConversion"/>
  </si>
  <si>
    <t>rstp功能验证</t>
  </si>
  <si>
    <t>1.开启RSTP,两个电表与交换机连接形成环路；
2.表计上电，将两电表及电脑IP设置在同网段；（3个不同的ip）
3.打开上位机，tcp分别连接两电表，</t>
    <phoneticPr fontId="10" type="noConversion"/>
  </si>
  <si>
    <t>1.开启RSTP,两个电表与交换机连接形成环路；
2.表计上电，打开两电表及电脑dhcp；
3.查看电表HMI，两款电表是否正常分配ip
4.打开上位机，tcp分别连接两电表，</t>
    <phoneticPr fontId="10" type="noConversion"/>
  </si>
  <si>
    <t>Function_AcuRev1320_035_01_case04</t>
    <phoneticPr fontId="10" type="noConversion"/>
  </si>
  <si>
    <t>1.开启RSTP,两个电表与交换机连接形成环路；
2.表计上电，打开两电表及电脑dhcp；
3.查看电表HMI，两款电表是否正常分配ip
4.打开上位机，tcp分别连接两电表， 
5.两块表分别升级</t>
    <phoneticPr fontId="10" type="noConversion"/>
  </si>
  <si>
    <t>3.两电表正常分配IP
4.两电表均能正常连接，通讯正常
5.两表升级均正常</t>
    <phoneticPr fontId="10" type="noConversion"/>
  </si>
  <si>
    <t>1.将其中一块表打开rstp,一块表关闭rstp开启RSTP,两个电表与交换机连接形成环路；
2.打开两电表及电脑dhcp；
3.查看电表HMI，两款电表是否正常分配ip
4.打开上位机，tcp分别连接两电表，</t>
    <phoneticPr fontId="10" type="noConversion"/>
  </si>
  <si>
    <t>3.两电表正常分配IP
4.两电表均能正常连接，通讯正常</t>
    <phoneticPr fontId="10" type="noConversion"/>
  </si>
  <si>
    <t>1.将其中一块表打开rstp,一块表关闭rstp开启RSTP,两个电表与交换机连接形成环路；
2.打开两电表及电脑dhcp；
3.查看电表HMI，两款电表是否正常分配ip
4.打开上位机，tcp分别连接两电表， 
5.两块表分别升级</t>
    <phoneticPr fontId="10" type="noConversion"/>
  </si>
  <si>
    <t>1.表计上电，将表计Ethernet Mode设置为single Eth1
2.直连电表与电脑，网线插入电表Eth1口
3.查看表计TCP连接能否成功，通讯是否正常
4.网线从电表Eth1口换到电表Eth2口
5..查看表计TCP连接能否成功，通讯是否正常</t>
    <phoneticPr fontId="10" type="noConversion"/>
  </si>
  <si>
    <t>两表eth2均禁用，两表串联；两表分别与路由器连，打开DHCP</t>
    <phoneticPr fontId="10" type="noConversion"/>
  </si>
  <si>
    <t>1.两电表分别上电，两块块电表Ethernet Mode均设置为single Eth1
2.两表串联后，分别与路由器进行连接，电脑也连接到路由器上，打开三者的DHCP
3.查看两块电表是否均能TCP连接成功，通讯是否正常</t>
    <phoneticPr fontId="10" type="noConversion"/>
  </si>
  <si>
    <r>
      <t xml:space="preserve">3.表计ETH2连入路由器后，该表就不能tcp连接成功
</t>
    </r>
    <r>
      <rPr>
        <sz val="8"/>
        <color theme="1"/>
        <rFont val="微软雅黑"/>
        <family val="2"/>
        <charset val="134"/>
      </rPr>
      <t>3.查看两块电表均能TCP连接成功，通讯正常</t>
    </r>
    <phoneticPr fontId="10" type="noConversion"/>
  </si>
  <si>
    <t>Function_AcuRev1320_035_05_case01</t>
    <phoneticPr fontId="10" type="noConversion"/>
  </si>
  <si>
    <t>恢复网络及恢复出厂设置，ethernet mode均被恢复为RSTP enable,其他参数未出现异常</t>
    <phoneticPr fontId="10" type="noConversion"/>
  </si>
  <si>
    <t>1.表计上电，将表计Ethernet Mode设置为single Eth1
2.communication中其他参数也均修改为不同于出厂时的参数
3.表计恢复出厂设置
4.查看表计中setting中数据是否正常
5.重复1.2的操作
6.表计进行网络重置
7.查看表计中setting中数据是否正常</t>
    <phoneticPr fontId="10" type="noConversion"/>
  </si>
  <si>
    <t>USB接口测试</t>
    <phoneticPr fontId="10" type="noConversion"/>
  </si>
  <si>
    <t>Function_AcuRev1320_036_01_case1</t>
    <phoneticPr fontId="10" type="noConversion"/>
  </si>
  <si>
    <t>1、上位机上通过USB连接AcuRev1320电表到Acuview2上，链接状态为connected
2、修改电表静态IP，查看修改是否成功，读写是否一致
3、修改电表静态DNS，查看修改是否成功，读写是否一致
4、修改电表静态GW，查看修改是否成功，读写是否一致
5、修改电表静态NetMask，查看修改是否成功，读写是否一致
6、修改电表静态port，查看修改是否成功，读写是否一致</t>
    <phoneticPr fontId="10" type="noConversion"/>
  </si>
  <si>
    <t>Function_AcuRev1320_036_02_case02</t>
    <phoneticPr fontId="10" type="noConversion"/>
  </si>
  <si>
    <t>1、上位机上通过USB连接AcuRev1320电表到Acuview2上，链接状态为connected
2、配置电表Nonminal Voltage为120，查看修改是否成功，读写是否一致
3、配置电表Nonminal Current为10，查看修改是否成功，读写是否一致</t>
    <phoneticPr fontId="10" type="noConversion"/>
  </si>
  <si>
    <t>1、上位机上通过USB连接AcuRev1320电表到Acuview2上，链接状态为connected
2、配置电表Demand method为fixed，查看修改是否成功，读写是否一致
3、配置电表Demand interval为10，查看修改是否成功，读写是否一致
4、配置电表demand update rate为10，查看修改是否成功，读写是否一致</t>
    <phoneticPr fontId="10" type="noConversion"/>
  </si>
  <si>
    <t>1、上位机上通过USB连接AcuRev1320电表到Acuview2上，链接状态为connected
2、配置电表任意一个非标铅封使能，查看修改是否成功，读写是否一致</t>
    <phoneticPr fontId="10" type="noConversion"/>
  </si>
  <si>
    <t>Function_AcuRev1320_036_03_case02</t>
    <phoneticPr fontId="10" type="noConversion"/>
  </si>
  <si>
    <t>1、上位机上通过USB连接AcuRev1320电表到Acuview2上，链接状态为connected
2、修改电表CT变比值为100，查看修改是否成功，读写是否一致
3、修改电表用户通道，查看修改是否成功，读写是否一致</t>
    <phoneticPr fontId="10" type="noConversion"/>
  </si>
  <si>
    <t>1、上位机上通过USB连接AcuRev1320电表到Acuview2上，链接状态为connected
2、给表配置多条ten years holiday，查看配置是否成功，读写是否一致</t>
    <phoneticPr fontId="10" type="noConversion"/>
  </si>
  <si>
    <t>Function_AcuRev1320_036_07_case01</t>
    <phoneticPr fontId="10" type="noConversion"/>
  </si>
  <si>
    <t>Function_AcuRev1320_036_07_case06</t>
    <phoneticPr fontId="10" type="noConversion"/>
  </si>
  <si>
    <t>1、Acuview2上位机
2、USB串口线
3、AcuRev1320电表</t>
    <phoneticPr fontId="10" type="noConversion"/>
  </si>
  <si>
    <t>1、上位机上通过USB连接AcuRev1320电表到Acuview2上，链接状态为connected
2、上位机下发alarm  log清0操作，查看操作是否成功，alarm  log数据是否被清0</t>
    <phoneticPr fontId="10" type="noConversion"/>
  </si>
  <si>
    <t>1、上位机上通过USB连接AcuRev1320电表到Acuview2上，链接状态为connected
2、上位机下发soe  log清0操作，查看操作是否成功，soe  log数据是否被清0</t>
    <phoneticPr fontId="10" type="noConversion"/>
  </si>
  <si>
    <t>1、上位机上通过USB连接AcuRev1320电表到Acuview2上，链接状态为connected
2、上位机下发pqevent  log清0操作，查看操作是否成功，pqevent  log数据是否被清0</t>
    <phoneticPr fontId="10" type="noConversion"/>
  </si>
  <si>
    <t>1、上位机上通过USB连接AcuRev1320电表到Acuview2上，链接状态为connected
2、上位机下发网络恢复出厂设置，操作是否下发成功，电表网络参数是否被重置</t>
    <phoneticPr fontId="10" type="noConversion"/>
  </si>
  <si>
    <t>Function_AcuRev1320_036_07_case15</t>
    <phoneticPr fontId="10" type="noConversion"/>
  </si>
  <si>
    <t>1、sscom通过usb与电表链接，配置完成后，链接状态为connected
2、利用功能码0X66组一条帧读寄存器数量为1的数据（DHCP enable 01 66 10 04 00 01），查看数据回复是否正常</t>
    <phoneticPr fontId="10" type="noConversion"/>
  </si>
  <si>
    <t>1、sscom通过usb与电表链接，配置完成后，链接状态为connected
2、利用功能码0X66组一条帧读寄存器数量为120的数据（energy  01 66 C4 EC  00 78），查看数据回复是否正常</t>
    <phoneticPr fontId="10" type="noConversion"/>
  </si>
  <si>
    <t>1、sscom通过usb与电表链接，配置完成后，链接状态为connected
2、利用功能码0X66组一条帧读寄存器数量为717的数据，查看数据回复是否正常  01 66 90 00 02 CF</t>
    <phoneticPr fontId="10" type="noConversion"/>
  </si>
  <si>
    <t>1、sscom通过usb与电表链接，配置完成后，链接状态为connected
2、利用功能码0X66组一条帧读寄存器数量为720的数据energy（01 66 80 00 02 D0），查看数据回复是否正常</t>
    <phoneticPr fontId="10" type="noConversion"/>
  </si>
  <si>
    <t>1、sscom通过usb与电表链接，配置完成后，链接状态为connected
2、按照web2获取4100电表数据规则，进行组帧将各类多寄存器大数据读取(demand01 66 23 00 01 E0)
3、查看数据读取是否正常</t>
    <phoneticPr fontId="10" type="noConversion"/>
  </si>
  <si>
    <t>1、sscom通过usb与电表链接，配置完成后，链接状态为connected
2、按照web2获取4100电表数据规则，进行组帧将其中1个多寄存器大数据进行多次读取(Power Quality 01 66 26 00 02 C2)
3、查看数据读取是否正常</t>
    <phoneticPr fontId="10" type="noConversion"/>
  </si>
  <si>
    <t>1、sscom通过usb与电表链接，配置完成后，链接状态为connected
2、利用功能码0X66组一条帧读寄存器数量为722的数据(user channel PQ01 66 80 00 02 D2)，查看数据回复是否正常</t>
    <phoneticPr fontId="10" type="noConversion"/>
  </si>
  <si>
    <t>Function_AcuRev1320_036_09_case01</t>
    <phoneticPr fontId="10" type="noConversion"/>
  </si>
  <si>
    <t>1、上位机上通过USB连接AcuRev1320电表到Acuview2上，链接状态为connected
2、配置电表slave id为1，利用usb进行电表升级</t>
    <phoneticPr fontId="10" type="noConversion"/>
  </si>
  <si>
    <t>Function_AcuRev1320_036_09_case04</t>
    <phoneticPr fontId="10" type="noConversion"/>
  </si>
  <si>
    <t>Function_AcuRev1320_036_09_case06</t>
    <phoneticPr fontId="10" type="noConversion"/>
  </si>
  <si>
    <t>1、上位机上通过USB连接AcuRev1320电表到Acuview2上，链接状态为connected
2、利用usb多次进行电表升级（5次）
3、查看是否有升级失败情况</t>
    <phoneticPr fontId="10" type="noConversion"/>
  </si>
  <si>
    <t>典型场景闪变</t>
    <phoneticPr fontId="10" type="noConversion"/>
  </si>
  <si>
    <t>2、UaUbUc的Pinst(3s) , Pst(10mins) , Plt(2hours)均为0</t>
  </si>
  <si>
    <t>Flicker类型120V-50Hz-60W Incandescent， 测量Pinst(3s) , Pst(10mins) , Plt(2hours)</t>
  </si>
  <si>
    <t>Flicker类型230V-50Hz-60W Incandescent， 测量Pinst(3s) , Pst(10mins) , Plt(2hours)</t>
  </si>
  <si>
    <t>Function_AcuRev1320_037_01_case4</t>
    <phoneticPr fontId="10" type="noConversion"/>
  </si>
  <si>
    <t>匹配模式闪变</t>
    <phoneticPr fontId="10" type="noConversion"/>
  </si>
  <si>
    <t>补充独立通道模式的电压闪变测试</t>
  </si>
  <si>
    <t>数据推送到AcuCloud</t>
  </si>
  <si>
    <t>AcuCloud(数据推送)</t>
    <phoneticPr fontId="10" type="noConversion"/>
  </si>
  <si>
    <t>1、AcuCloud设置Enable，
2、确保AcuCloud上(5mins推送周期)能收到电表配置推送数据
3、AcuCloud设置disable， 等待10mins
4、检查AcuCloud上是否能收到电表配置推送数据</t>
  </si>
  <si>
    <t>1、AcuCloud设置Enable，
2、填写错误token
3、点击“Test AcuCloud”，检查通信是否正常
4、填写正确token
5、点击“Test AcuCloud”，检查通信是否正常</t>
  </si>
  <si>
    <t xml:space="preserve">1、AcuCloud设置Enable
2、填写正确token
3、点击“Test AcuCloud”，检查通信是否正常
4、检查Cloud页面可观测到数据推送频率(文件生成和推送均为5分钟,且最临近5分钟瞬时数据)、内容是否均正确。
</t>
  </si>
  <si>
    <t>AcuCloud(上位机功能)</t>
    <phoneticPr fontId="10" type="noConversion"/>
  </si>
  <si>
    <t>Function_AcuRev1320_038_01_case10</t>
    <phoneticPr fontId="10" type="noConversion"/>
  </si>
  <si>
    <t>上位机或者WEB，AcuCloud页面显示SN号</t>
    <phoneticPr fontId="10" type="noConversion"/>
  </si>
  <si>
    <t>1、上位机或者WEB，AcuCloud页面，查看设备SN号
2、复制SN号</t>
    <phoneticPr fontId="10" type="noConversion"/>
  </si>
  <si>
    <t>1、上位机或者WEB界面展示设备SN号
2、可复制SN号</t>
    <phoneticPr fontId="10" type="noConversion"/>
  </si>
  <si>
    <t>Function_AcuRev1320_038_01_case11</t>
  </si>
  <si>
    <t>上位机和WEB，AcuCloud页面Clear AcuCloud Post Logs功能验证</t>
    <phoneticPr fontId="10" type="noConversion"/>
  </si>
  <si>
    <t>1、上位机或者WEB界面，AcuCloud页面，点击，Clear AcuCloud Post Logs按钮</t>
    <phoneticPr fontId="10" type="noConversion"/>
  </si>
  <si>
    <t xml:space="preserve">1、提示更新成功
2、电表 AcuCloud  Logs清除
串口工具读：0x8B92 used records为0
</t>
    <phoneticPr fontId="10" type="noConversion"/>
  </si>
  <si>
    <t>Lv3</t>
    <phoneticPr fontId="10" type="noConversion"/>
  </si>
  <si>
    <t>Function_AcuRev1320_038_01_case12</t>
  </si>
  <si>
    <t>上位机和WEB，AcuCloud页面Link to AcuCloud功能验证</t>
    <phoneticPr fontId="10" type="noConversion"/>
  </si>
  <si>
    <t>1、上位机或者WEB界面，AcuCloud页面，点击Link to AcuCloud</t>
    <phoneticPr fontId="10" type="noConversion"/>
  </si>
  <si>
    <t>1、页面上点击后， 跳转到AcuCloud登录页面</t>
    <phoneticPr fontId="10" type="noConversion"/>
  </si>
  <si>
    <t>数据推送DataPost</t>
  </si>
  <si>
    <t>1、Datalog Post设置disable，
2、检查Logger1~3和trendlog是否无法上传数据到http和https服务器</t>
  </si>
  <si>
    <t>Function_AcuRev1320_039_01_case2</t>
    <phoneticPr fontId="10" type="noConversion"/>
  </si>
  <si>
    <t>Web页面配置URL:"http:xxx" 和 Token保存成功，正确参数通信检测成功，有误参数通信检测检测失败。</t>
  </si>
  <si>
    <t>1、Web页面和HMI上配置正确URL:"http:xxx" 和 Token
2、Web和HMI检查保存是否成功，参数通信检测是否成功
3、Web和HMI页面配置错误URL:"http:xxx" 和 Token
4、Web和HMI检查保存是否成功，参数通信检测是否成功</t>
    <phoneticPr fontId="10" type="noConversion"/>
  </si>
  <si>
    <t>2、Logger1~3和trendlog上传数据到http和https服务器成功
4、Logger1~3和trendlog无法上传数据到http和https服务器</t>
  </si>
  <si>
    <t>Function_AcuRev1320_039_01_case3</t>
    <phoneticPr fontId="10" type="noConversion"/>
  </si>
  <si>
    <t>1、PostProtocol:"http/https", 
2、构造发送数据报文的数量超过100K，点击“save”，Web页面和上位机界面是否提示用户配置无法保存。
构造方法:  datalog 满配，构造发送报文超过100K。</t>
  </si>
  <si>
    <t>Function_AcuRev1320_039_01_case4</t>
    <phoneticPr fontId="10" type="noConversion"/>
  </si>
  <si>
    <t>1、Web页面和上位机上配置 PostFileLength小于datalog中logging Interval时间。
2、Web页面和上位机上是否提示失败配置失败或无法保存。</t>
  </si>
  <si>
    <t>Function_AcuRev1320_039_01_case5</t>
    <phoneticPr fontId="10" type="noConversion"/>
  </si>
  <si>
    <t>1、上位机界面，点击“import Certificate”，导入电表链接到Https的证书
2、 Https sever上检查电表上报数据是否正常
2.1 删除已经上报数据
3、上位机导入错误证书
4、 Https sever上检查电表上报数据是否正常</t>
  </si>
  <si>
    <t>2、 Https sever上检查电表上报数据正常
4、 Https sever上检查电表无法上报数据</t>
  </si>
  <si>
    <t>Function_AcuRev1320_039_01_case6</t>
    <phoneticPr fontId="10" type="noConversion"/>
  </si>
  <si>
    <t>1、Web界面，点击“import Certificate”，导入电表链接到Https的证书
2、 Https sever上检查电表上报数据是否正常
2.1 删除已经上报数据
3、上位机导入错误证书（开发提供）
4、 Https sever上检查电表上报数据是否正常</t>
  </si>
  <si>
    <t>Function_AcuRev1320_039_01_case7</t>
    <phoneticPr fontId="10" type="noConversion"/>
  </si>
  <si>
    <t>通道连通性检查验证</t>
    <phoneticPr fontId="10" type="noConversion"/>
  </si>
  <si>
    <t>1、Web页面和上位机上配置正确URL:"http:xxx" 和 Token
2、点击通道连通性检查按钮，查看参数通信检测是否成功
3、Web和上位机页面配置错误URL:"http:xxx" 和 Token
2、点击通道连通性检查按钮，查看参数通信检测是否成功</t>
    <phoneticPr fontId="10" type="noConversion"/>
  </si>
  <si>
    <t>2、点击通道连通性检查按钮，提示通信检测成功
4、点击通道连通性检查按钮，提示通信检测失败</t>
    <phoneticPr fontId="10" type="noConversion"/>
  </si>
  <si>
    <t>Datapost(MQTT)</t>
    <phoneticPr fontId="10" type="noConversion"/>
  </si>
  <si>
    <t>DataLoggers</t>
  </si>
  <si>
    <t>Datalogger1</t>
  </si>
  <si>
    <t>Function_AcuRev1320_040_01_case1</t>
    <phoneticPr fontId="10" type="noConversion"/>
  </si>
  <si>
    <t>3、间隔 1mins上传一个文件 ，且文件推送数据格式及内容正常。</t>
  </si>
  <si>
    <t>3、间隔 10mins上传1个文件(包含5条记录)，且文件推送数据格式及内容正常。</t>
    <phoneticPr fontId="10" type="noConversion"/>
  </si>
  <si>
    <t>3、 间隔 10mins上传一个文件，文件中记录一条数据(过去10分钟内每隔4mins产生一条数据一致) ，且文件推送数据格式及内容正常。</t>
    <phoneticPr fontId="10" type="noConversion"/>
  </si>
  <si>
    <t>Function_AcuRev1320_040_01_case5</t>
    <phoneticPr fontId="10" type="noConversion"/>
  </si>
  <si>
    <t>1、上位机和WEB界面打开AcuCloud，
2、检查上位机和WEB界面的Datapost 是否无法打开或者打开配置无法保存
3、检查Acloud数据上报是否正常，Datapost 数据无法上报
4、上位机和WEB界面关闭AcuCloud
5、检查上位机和WEB界面的Datapost 无法打开或者打开配置无法保存
6、检查Acloud数据上报是否正常，Datapost 数据无法上报</t>
  </si>
  <si>
    <t xml:space="preserve">
2、上位机和WEB界面的Datapost 可以打开或者配置， 但是不会上报datapost 数据。
3、Acloud数据上报正常，Datapost 数据无法上报
5、上位机和WEB界面的Datapost 可以打开或者打开配置保存成功
6、Acloud数据上报失效，Datapost 数据上报正常。</t>
    <phoneticPr fontId="10" type="noConversion"/>
  </si>
  <si>
    <t>1、上位机上 Post File Length 输入范围1、43200
2、点击update， 检查保存是否成功
3、上位机上  Log Post Interval 输入范围1、43200
4、点击update， 检查保存是否成功</t>
    <phoneticPr fontId="10" type="noConversion"/>
  </si>
  <si>
    <t>Datalogger2</t>
    <phoneticPr fontId="10" type="noConversion"/>
  </si>
  <si>
    <t>Datalogger3</t>
    <phoneticPr fontId="10" type="noConversion"/>
  </si>
  <si>
    <t>Function_AcuRev1320_040_03_case1</t>
    <phoneticPr fontId="10" type="noConversion"/>
  </si>
  <si>
    <t>3、间隔 10mins上传2个文件 ，且文件推送数据格式及内容正常。
4、检查文件格式符合要求</t>
    <phoneticPr fontId="10" type="noConversion"/>
  </si>
  <si>
    <t>trendlog</t>
    <phoneticPr fontId="10" type="noConversion"/>
  </si>
  <si>
    <t>DualSourceEnergy</t>
    <phoneticPr fontId="10" type="noConversion"/>
  </si>
  <si>
    <t>DualSource通信控制(Grid)</t>
  </si>
  <si>
    <t>Function_AcuRev1320_042_01_case2</t>
    <phoneticPr fontId="10" type="noConversion"/>
  </si>
  <si>
    <t>DualSource通信控制(Grid)</t>
    <phoneticPr fontId="10" type="noConversion"/>
  </si>
  <si>
    <t>Function_AcuRev1320_042_01_case3</t>
    <phoneticPr fontId="10" type="noConversion"/>
  </si>
  <si>
    <t>切换模式comm，Direction为Grid，Energy1&amp;2&amp;3设置Ep,&amp;Eq&amp;Es, Grid计算正确</t>
  </si>
  <si>
    <t>5、Energy1&amp;2&amp;3的Grid计算正确， Energy1&amp;2&amp;3 General增加为0</t>
  </si>
  <si>
    <t>1、切换模式comm
2、Direction为Grid
3、Energy1&amp;2&amp;3设置Ep,&amp;Ep&amp;Ep
4、等待5分钟，
5、检查Energy1&amp;2&amp;3的Grid计算是否正确， Energy1&amp;2&amp;3General增加为0</t>
  </si>
  <si>
    <t>Function_AcuRev1320_042_01_case7</t>
    <phoneticPr fontId="10" type="noConversion"/>
  </si>
  <si>
    <t>DualSource通信控制(Generator)</t>
    <phoneticPr fontId="10" type="noConversion"/>
  </si>
  <si>
    <t>Function_AcuRev1320_042_02_case3</t>
    <phoneticPr fontId="10" type="noConversion"/>
  </si>
  <si>
    <t>切换模式comm，Direction为Generator，Energy1&amp;2&amp;3设置Ep_B,&amp;Eq_A&amp;Es_C, Generator计算正确</t>
    <phoneticPr fontId="10" type="noConversion"/>
  </si>
  <si>
    <t>DualSource DI控制</t>
    <phoneticPr fontId="10" type="noConversion"/>
  </si>
  <si>
    <t>Function_AcuRev1320_042_03_case1</t>
    <phoneticPr fontId="10" type="noConversion"/>
  </si>
  <si>
    <t>2.1 Direction选项框需禁止用户编辑(灰色Grid)，DI高电平触发Direction选项框需禁止用户编辑(灰色generation)。
5、Energy1&amp;2&amp;3的generator能量增加正确，Grid能量不变</t>
    <phoneticPr fontId="10" type="noConversion"/>
  </si>
  <si>
    <t>Function_AcuRev1320_042_03_case2</t>
    <phoneticPr fontId="10" type="noConversion"/>
  </si>
  <si>
    <t>Function_AcuRev1320_042_03_case4</t>
    <phoneticPr fontId="10" type="noConversion"/>
  </si>
  <si>
    <t>Function_AcuRev1320_042_03_case10</t>
    <phoneticPr fontId="10" type="noConversion"/>
  </si>
  <si>
    <t>Function_AcuRev1320_042_03_case11</t>
    <phoneticPr fontId="10" type="noConversion"/>
  </si>
  <si>
    <t>1、DI3模式
2、Energy1&amp;2&amp;3设置Ep,&amp;Eq&amp;Es
3、DI1触发高电平
4、等待5分钟
5、检查generator能量增加是否正确，Grid能量不变</t>
  </si>
  <si>
    <t>DualSource log及清除</t>
    <phoneticPr fontId="10" type="noConversion"/>
  </si>
  <si>
    <t>1、comm模式，
2、Energy1&amp;2&amp;3设置EP_A,&amp;EP_B&amp;EP_C,  
3、等待3mins，
4、Grid切generator，
5、检查DualSource log生成及读取是否正确</t>
  </si>
  <si>
    <t>5、DualSource log生成成功，读取读取成功，显示数据正确。</t>
  </si>
  <si>
    <t>Function_AcuRev1320_042_04_case11</t>
    <phoneticPr fontId="10" type="noConversion"/>
  </si>
  <si>
    <t>Function_AcuRev1320_042_04_case12_1</t>
    <phoneticPr fontId="10" type="noConversion"/>
  </si>
  <si>
    <t>Dual Source Energy切换SWITCH MODE不会产生eventlog</t>
    <phoneticPr fontId="10" type="noConversion"/>
  </si>
  <si>
    <t>1、SWITCH MODE从comm 切换到DI1
2、检查是否有evelog 产生，
3、SWITCH MODE从DI1 切换到DI2
4、检查是否有evelog 产生，
5、SWITCH MODE从DI2 切换到DI3
6、检查是否有evelog 产生，
7、SWITCH MODE从DI3 切换到comm
8、检查是否有evelog 产生，</t>
    <phoneticPr fontId="10" type="noConversion"/>
  </si>
  <si>
    <t xml:space="preserve">
2、无evelog 产生
4、无evelog 产生
6、无evelog 产生
8、无evelog 产生</t>
    <phoneticPr fontId="10" type="noConversion"/>
  </si>
  <si>
    <t>DualSource的datalog</t>
    <phoneticPr fontId="10" type="noConversion"/>
  </si>
  <si>
    <t>Function_AcuRev1320_042_05_case1</t>
    <phoneticPr fontId="10" type="noConversion"/>
  </si>
  <si>
    <t>Function_AcuRev1320_042_05_case4</t>
    <phoneticPr fontId="10" type="noConversion"/>
  </si>
  <si>
    <t>切换模式DI1,低电平,Energy1&amp;2&amp;3设置EP_A,&amp;EP_B&amp;EP_C, datalog3选择“Dual Source”，DualSource数据显示正常。</t>
  </si>
  <si>
    <t>IndependentInput</t>
    <phoneticPr fontId="10" type="noConversion"/>
  </si>
  <si>
    <t>独立通道system&amp;real-time</t>
    <phoneticPr fontId="10" type="noConversion"/>
  </si>
  <si>
    <t>Function_AcuRev1320_043_01_case1</t>
    <phoneticPr fontId="10" type="noConversion"/>
  </si>
  <si>
    <t>Function_AcuRev1320_043_01_case2</t>
    <phoneticPr fontId="10" type="noConversion"/>
  </si>
  <si>
    <t>Function_AcuRev1320_043_01_case5</t>
    <phoneticPr fontId="10" type="noConversion"/>
  </si>
  <si>
    <t>Function_AcuRev1320_043_01_case6</t>
    <phoneticPr fontId="10" type="noConversion"/>
  </si>
  <si>
    <t>3、sys(PhaseABC相电压&amp;先电压、频率 )读数正确
4、real-time(input1~4&amp;summation的电流、功率、PF、负载特性)读数正确。(每个summation的电流为平均值，功率为累计和。)</t>
    <phoneticPr fontId="10" type="noConversion"/>
  </si>
  <si>
    <t>Function_AcuRev1320_043_01_case8</t>
    <phoneticPr fontId="10" type="noConversion"/>
  </si>
  <si>
    <t>Function_AcuRev1320_043_01_case9</t>
    <phoneticPr fontId="10" type="noConversion"/>
  </si>
  <si>
    <t>Function_AcuRev1320_043_01_case10</t>
    <phoneticPr fontId="10" type="noConversion"/>
  </si>
  <si>
    <t>2、检查上位机和WEB页面input1~4是否仅能选择Vab,Vbc, Vca</t>
    <phoneticPr fontId="10" type="noConversion"/>
  </si>
  <si>
    <t>Function_AcuRev1320_043_01_case12</t>
    <phoneticPr fontId="10" type="noConversion"/>
  </si>
  <si>
    <t>Function_AcuRev1320_043_01_case13</t>
    <phoneticPr fontId="10" type="noConversion"/>
  </si>
  <si>
    <t>Function_AcuRev1320_043_01_case17</t>
    <phoneticPr fontId="10" type="noConversion"/>
  </si>
  <si>
    <t>3e3W_network ,input1~4配 input1~4配Vac&amp;Va&amp;Vc&amp;Vc,Summation1&amp;2配1&amp;2&amp;3&amp;4, 则sys(PhaseABC相电压&amp;先电压、频率 )读数正确</t>
    <phoneticPr fontId="10" type="noConversion"/>
  </si>
  <si>
    <t>1、Acuview2上位机
2、AcuRev1320电表
3、Independent使能
4、I4和I3串联</t>
    <phoneticPr fontId="10" type="noConversion"/>
  </si>
  <si>
    <t>1、设置3e3W_network , input1~4配Vac&amp;Va&amp;Vc&amp;Vc
2、Summation1&amp;2配1&amp;2&amp;3&amp;4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</si>
  <si>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v1.01p03</t>
  </si>
  <si>
    <t>独立通道Demand</t>
    <phoneticPr fontId="10" type="noConversion"/>
  </si>
  <si>
    <t>Function_AcuRev1320_043_03_case1</t>
    <phoneticPr fontId="10" type="noConversion"/>
  </si>
  <si>
    <t>Function_AcuRev1320_043_03_case3</t>
    <phoneticPr fontId="10" type="noConversion"/>
  </si>
  <si>
    <t>Function_AcuRev1320_043_03_case6</t>
    <phoneticPr fontId="10" type="noConversion"/>
  </si>
  <si>
    <t>Function_AcuRev1320_043_03_case7_1</t>
    <phoneticPr fontId="10" type="noConversion"/>
  </si>
  <si>
    <t>3e3W_network ,input1~4配 input1~4配Vac&amp;Va&amp;Vc&amp;Vc,Summation1&amp;2配1&amp;2&amp;3&amp;4, 则Demand读数正确</t>
    <phoneticPr fontId="10" type="noConversion"/>
  </si>
  <si>
    <t>1、设置3e4W_Y ,3e3W_network ,input1~4配 input1~4配Vac&amp;Va&amp;Vc&amp;Vc,
2、Summation1&amp;2配1&amp;2&amp;3&amp;4,
3、检查上位机和Web界面Demand读数是否正确</t>
    <phoneticPr fontId="10" type="noConversion"/>
  </si>
  <si>
    <t>Function_AcuRev1320_043_03_case8</t>
    <phoneticPr fontId="10" type="noConversion"/>
  </si>
  <si>
    <t>Function_AcuRev1320_043_03_case9</t>
    <phoneticPr fontId="10" type="noConversion"/>
  </si>
  <si>
    <t>执行Independent 的“clear max Demand” ，Independent 需量清除成功。</t>
    <phoneticPr fontId="10" type="noConversion"/>
  </si>
  <si>
    <t>1、Acuview2上位机
2、AcuRev1320电表
3、Independent使能
4、max Demand数据不为0</t>
    <phoneticPr fontId="10" type="noConversion"/>
  </si>
  <si>
    <t>1、执行Independent 的“clear max Demand”
2、检查上位机和Web界面Demand读数是否被清除
3、关闭Independent
4、 检查电表Real-Time中的max Demand需量是否被清除。</t>
    <phoneticPr fontId="10" type="noConversion"/>
  </si>
  <si>
    <t>2、上位机和Web界面Demand 和max deman均被读数被清除
2、上位机和Web界面Demand和max deman均读数被清除</t>
    <phoneticPr fontId="10" type="noConversion"/>
  </si>
  <si>
    <t>独立通道Energy</t>
    <phoneticPr fontId="10" type="noConversion"/>
  </si>
  <si>
    <t>Function_AcuRev1320_043_04_case1</t>
    <phoneticPr fontId="10" type="noConversion"/>
  </si>
  <si>
    <t>Function_AcuRev1320_043_04_case2</t>
    <phoneticPr fontId="10" type="noConversion"/>
  </si>
  <si>
    <t>3e4W_Y,input1~4配Vca&amp;Vab&amp;Vbc&amp;Vbc,Summation1&amp;2配input1&amp;2&amp;3,则Total&amp;PhaseABC的Energy读数正确。</t>
    <phoneticPr fontId="10" type="noConversion"/>
  </si>
  <si>
    <t>Function_AcuRev1320_043_04_case2_1</t>
    <phoneticPr fontId="10" type="noConversion"/>
  </si>
  <si>
    <t>独立模式打开，电表上下电，电表能量不会丢失</t>
    <phoneticPr fontId="10" type="noConversion"/>
  </si>
  <si>
    <t>1、Acuview2上位机
2、AcuRev1320电表
3、Independent使能
4、电表能量不为0</t>
    <phoneticPr fontId="10" type="noConversion"/>
  </si>
  <si>
    <t>1、独立模式打开
2、掉电重启电表
3、观能量是否会丢失</t>
    <phoneticPr fontId="10" type="noConversion"/>
  </si>
  <si>
    <t>3、电表的HMI界面和上位机energy界面 数据不会丢失。</t>
    <phoneticPr fontId="10" type="noConversion"/>
  </si>
  <si>
    <t>1e2W,input1~4配Va&amp;Va&amp;Va&amp;Va,Summation1配input1&amp;2&amp;3&amp;4,Summation2配input4，则Total&amp;PhaseABC的Energy读数正确。</t>
    <phoneticPr fontId="10" type="noConversion"/>
  </si>
  <si>
    <t>2e3W_PHASE1,input1~4配Va&amp;Va&amp;Vc&amp;Vc,Summation1&amp;2配input1&amp;3,Summation2配input1&amp;2&amp;3&amp;4,则Total&amp;PhaseABC的Energy读数正确。</t>
    <phoneticPr fontId="10" type="noConversion"/>
  </si>
  <si>
    <t>2e3W_DELTA,input1~4配Vab&amp;Vbc&amp;Vbc&amp;Vbc,Summation1&amp;2配input1&amp;2&amp;3&amp;4,Summation2配input1&amp;4,则Total&amp;PhaseABC的Energy读数正确。</t>
    <phoneticPr fontId="10" type="noConversion"/>
  </si>
  <si>
    <t>Function_AcuRev1320_043_04_case6</t>
    <phoneticPr fontId="10" type="noConversion"/>
  </si>
  <si>
    <t>1、设置3e4W_Y , input1~4配Va&amp;Vb&amp;Vc&amp;Vb
2、Summation1配input1&amp;2&amp;3&amp;4,Summation2配input4
3、检查上位机和Web界面Energy读数是否正确
4、检查"save to file" 功能正常。</t>
    <phoneticPr fontId="10" type="noConversion"/>
  </si>
  <si>
    <t>Function_AcuRev1320_043_04_case8</t>
    <phoneticPr fontId="10" type="noConversion"/>
  </si>
  <si>
    <t>1、执行Independent 的“clear Energy”
2、检查上位机和Web界面Energy读数是否被清除
3、关闭Independent
4、 检查电表Real-Time中的需量是否被清除。</t>
    <phoneticPr fontId="10" type="noConversion"/>
  </si>
  <si>
    <t>独立通道Max/Min</t>
    <phoneticPr fontId="10" type="noConversion"/>
  </si>
  <si>
    <t>Function_AcuRev1320_043_05_case7</t>
    <phoneticPr fontId="10" type="noConversion"/>
  </si>
  <si>
    <t>独立通道CustomRead</t>
    <phoneticPr fontId="10" type="noConversion"/>
  </si>
  <si>
    <t>Function_AcuRev1320_043_07_case1</t>
    <phoneticPr fontId="10" type="noConversion"/>
  </si>
  <si>
    <t>Function_AcuRev1320_043_07_case3</t>
    <phoneticPr fontId="10" type="noConversion"/>
  </si>
  <si>
    <t>独立通道Datalog</t>
    <phoneticPr fontId="10" type="noConversion"/>
  </si>
  <si>
    <t>1、Acuview2上位机
2、AcuRev1320电表
3、Independent使能</t>
  </si>
  <si>
    <t>1、Datalog1添加“independent    Demand”, 设置3e4W_Y
2、input1~4配Va&amp;Vb&amp;Vc&amp;Vb,Summation1&amp;2配input1&amp;2&amp;3&amp;4
3、检查Datalog1独立模式Demand所有参数显示是否正确。</t>
  </si>
  <si>
    <t>3、Datalog1独立模式Demand所有参数显示正确。</t>
  </si>
  <si>
    <t>Datalog1添加“independent energy”,3e4W_Y,input1~4配Va&amp;Vb&amp;Vc&amp;Vb,Summation1&amp;2配input1&amp;2&amp;3&amp;4,Datalog1独立模式energy所有参数显示正确</t>
  </si>
  <si>
    <t>1、Datalog1添加“independent    energy”, 设置3e4W_Y
2、input1~4配Va&amp;Vb&amp;Vc&amp;Vb,Summation1&amp;2配input1&amp;2&amp;3&amp;4
3、检查Datalog1独立模式energy所有参数显示是否正确。</t>
  </si>
  <si>
    <t>Function_AcuRev1320_043_10_case1</t>
    <phoneticPr fontId="10" type="noConversion"/>
  </si>
  <si>
    <t>Independent使能,CT变比P1,input1~4配Vb&amp;Vc&amp;Va&amp;Vb,Summation1&amp;2配input1&amp;2, 则Demand读数正确。配置需量：Demand method：sliding ；Demand update rate：5mins；Demand Interval：5mins</t>
    <phoneticPr fontId="10" type="noConversion"/>
  </si>
  <si>
    <t>Function_AcuRev1320_043_10_case2</t>
    <phoneticPr fontId="10" type="noConversion"/>
  </si>
  <si>
    <t>Independent使能,CT变比P1,input1~4配Vb&amp;Vb&amp;Vb&amp;Vb,Summation1&amp;2配input1&amp;3&amp;4, 则Demand读数正确。配置需量：Demand method：Fixed；Demand update rate：5mins；Demand Interval：5mins</t>
    <phoneticPr fontId="10" type="noConversion"/>
  </si>
  <si>
    <t xml:space="preserve">6、第一次产生Max Demand数据是否在00：10：00
7、待00：15：00查看Max Demand数据更新，00：20：00后数据满足要求（同当时所加功率）
8、检查real-time(input1~4&amp;summation1&amp;2的Max Demand读数正确。
</t>
    <phoneticPr fontId="10" type="noConversion"/>
  </si>
  <si>
    <t>Function_AcuRev1320_043_10_case2_1</t>
    <phoneticPr fontId="10" type="noConversion"/>
  </si>
  <si>
    <t>Independent使能, save MAX demand文件正常。</t>
    <phoneticPr fontId="10" type="noConversion"/>
  </si>
  <si>
    <t>1、Acuview2上位机
2、AcuRev1320电表
3、MAX demand 数据不为0</t>
    <phoneticPr fontId="10" type="noConversion"/>
  </si>
  <si>
    <t>1、上位机上点击“save to file ”
2、 检查文件内容是否完整， 且正确。</t>
    <phoneticPr fontId="10" type="noConversion"/>
  </si>
  <si>
    <t>2、 检查文件内容完整， 且正确。</t>
    <phoneticPr fontId="10" type="noConversion"/>
  </si>
  <si>
    <t>CustomRead</t>
    <phoneticPr fontId="10" type="noConversion"/>
  </si>
  <si>
    <t>Custom Read显示THD</t>
    <phoneticPr fontId="10" type="noConversion"/>
  </si>
  <si>
    <t>Function_AcuRev1320_044_01_case1</t>
    <phoneticPr fontId="10" type="noConversion"/>
  </si>
  <si>
    <t xml:space="preserve">用户可以配置区域(125个寄存器)，上位机可观察到“space Used”+ “space remained”等于125 </t>
  </si>
  <si>
    <t>2、上位机可以观察到“space Used”+ “space remained”等于125。</t>
  </si>
  <si>
    <t>设置UaUbUc和IaIbIc叠加谐波比例5%, CustomRead界面ABC三相电压和电流THD正确</t>
  </si>
  <si>
    <t>Custom Read显示Sequence Component</t>
    <phoneticPr fontId="10" type="noConversion"/>
  </si>
  <si>
    <t>Function_AcuRev1320_044_02_case1</t>
    <phoneticPr fontId="10" type="noConversion"/>
  </si>
  <si>
    <t>Function_AcuRev1320_044_02_case2</t>
    <phoneticPr fontId="10" type="noConversion"/>
  </si>
  <si>
    <t>4、CustomRead界面ABC三相电压和电流SequenceComponent正确</t>
  </si>
  <si>
    <t>Custom Read显示Independentchannel metering(float)</t>
    <phoneticPr fontId="10" type="noConversion"/>
  </si>
  <si>
    <t>1、Independent使能,
2、CustomRead添加“independent input channel metering(float)”
3、CT变比P1
4、input1~4配Vb&amp;Vc&amp;Va&amp;Vb
5、Summation1&amp;2配input1&amp;2&amp;4
6、设置电压电流参数均为0
7、检查independent input channel所有float参数是否计算正确(62个)</t>
  </si>
  <si>
    <t>7、independent input channel所有float参数(62个)，电压电流相关数值全为0
备注： 独立通道的RMS 参数共有59个</t>
  </si>
  <si>
    <t>7、independent input channel所有float参数(62个)计算及显示均正确。</t>
  </si>
  <si>
    <t>Custom Read显示Independentchannel Energy</t>
    <phoneticPr fontId="10" type="noConversion"/>
  </si>
  <si>
    <t>Custom Read显示Independentchannel In THD</t>
    <phoneticPr fontId="10" type="noConversion"/>
  </si>
  <si>
    <t>1、In 不接负载。
2、检查THD、OddTHD、EvenTHD是否均为0、K Factor 为1.141
3、In 接负载，不叠加谐波。
4、检查THD、OddTHD、EvenTHD是否均为0、K Factor 为1.141</t>
  </si>
  <si>
    <t>Custom Read显示DI Status</t>
    <phoneticPr fontId="10" type="noConversion"/>
  </si>
  <si>
    <t>Function_AcuRev1320_044_07_case1</t>
    <phoneticPr fontId="10" type="noConversion"/>
  </si>
  <si>
    <t>Custom Read显示DI count</t>
    <phoneticPr fontId="10" type="noConversion"/>
  </si>
  <si>
    <t>Function_AcuRev1320_044_08_case3</t>
    <phoneticPr fontId="10" type="noConversion"/>
  </si>
  <si>
    <t>DI1 DI2 均为最大值，Customer reading界面DI count显示正常</t>
    <phoneticPr fontId="10" type="noConversion"/>
  </si>
  <si>
    <t>Audit log</t>
    <phoneticPr fontId="10" type="noConversion"/>
  </si>
  <si>
    <t>Function_AcuRev1320_045_01_case2</t>
    <phoneticPr fontId="10" type="noConversion"/>
  </si>
  <si>
    <t>Function_AcuRev1320_045_01_case10</t>
    <phoneticPr fontId="10" type="noConversion"/>
  </si>
  <si>
    <t>Function_AcuRev1320_045_01_case11</t>
    <phoneticPr fontId="10" type="noConversion"/>
  </si>
  <si>
    <t>Function_AcuRev1320_045_01_case12</t>
    <phoneticPr fontId="10" type="noConversion"/>
  </si>
  <si>
    <t>Function_AcuRev1320_045_01_case16</t>
    <phoneticPr fontId="10" type="noConversion"/>
  </si>
  <si>
    <t>Function_AcuRev1320_045_01_case18</t>
    <phoneticPr fontId="10" type="noConversion"/>
  </si>
  <si>
    <t>Function_AcuRev1320_045_01_case33</t>
    <phoneticPr fontId="10" type="noConversion"/>
  </si>
  <si>
    <t>Function_AcuRev1320_045_01_case34</t>
    <phoneticPr fontId="10" type="noConversion"/>
  </si>
  <si>
    <t>记录最后一条为Auditlog满，即当Auditlog日志达到4999时候， 最后一条是用来记录Auditlog满。</t>
  </si>
  <si>
    <t>Function_AcuRev1320_045_01_case47-2</t>
    <phoneticPr fontId="10" type="noConversion"/>
  </si>
  <si>
    <t>Audit log页面记录中，Event Type列内容显示不全，预期：Event Type内容显示完整，Old Value 和New Value列压缩</t>
  </si>
  <si>
    <t>1、查看上位机Audit log页面布局是否合理</t>
    <phoneticPr fontId="10" type="noConversion"/>
  </si>
  <si>
    <t>1、Event Type内容显示完整</t>
    <phoneticPr fontId="10" type="noConversion"/>
  </si>
  <si>
    <t>Syslog</t>
    <phoneticPr fontId="10" type="noConversion"/>
  </si>
  <si>
    <t>2、可以观察到新增一条syslog日志记录(时间戳，日志内容【清除设备DataLog1】)
4、可以观察到新增一条syslog日志记录(时间戳，日志内容【清除设备DataLog2】)
6、可以观察到新增一条syslog日志记录(时间戳，日志内容【清除设备DataLog3】)
8、可以观察到新增一条syslog日志记录(时间戳，日志内容【清除设备TrendLog】)</t>
  </si>
  <si>
    <t>2、可以观察到新增一条syslog日志记录(时间戳，日志内容【清除设备ResetTouFactory】)
备注：无该条记录</t>
    <phoneticPr fontId="10" type="noConversion"/>
  </si>
  <si>
    <t>Function_AcuRev1320_045_02_case9_19</t>
    <phoneticPr fontId="10" type="noConversion"/>
  </si>
  <si>
    <t>Function_AcuRev1320_045_02_case11</t>
    <phoneticPr fontId="10" type="noConversion"/>
  </si>
  <si>
    <t>1、Acuview2上位机
2、AcuRev1320电表
3、web网址</t>
    <phoneticPr fontId="10" type="noConversion"/>
  </si>
  <si>
    <t>1、电表正常上电，通讯正常
2、web页面登录成功后，测试过程中修改电表IP,查看web端是否断连</t>
    <phoneticPr fontId="10" type="noConversion"/>
  </si>
  <si>
    <t>2、web页面登录成功后，测试过程中修改电表IP,查看web端断连</t>
    <phoneticPr fontId="10" type="noConversion"/>
  </si>
  <si>
    <t xml:space="preserve">1、电表正常上电，通讯正常
2、输入电表对应web网址，进入登录界面
3、输入正确登录用户名、密码，登录正常
4、随即点击logout退出
5、查看web页面是否正常退出
6、多次登录、退出，查看页面是否有异常，通讯是否有误
</t>
  </si>
  <si>
    <t>Function_AcuRev1320_046_02_case02</t>
  </si>
  <si>
    <t>1、电表上电，表计通讯正常
2、关闭Independent,表计配置为3e4w y,给表加三相电压均为120V，电流5A，压流角为0°
3、real-time界面分别选择数据推送周期为20ms，200ms
4、查看数据的准确性，理论上数据会有微小跳动</t>
    <phoneticPr fontId="10" type="noConversion"/>
  </si>
  <si>
    <t>1、电表上电，表计通讯正常
2、关闭Independent,表计配置为3e4w y,给表加三相电压均为120V，电流5A，压流角为0°
3、在web页面中real-time界面选择数据推送周期为3s
4、观察数据的是否每三秒会有轻微的波动（可以通过快速降低电压观察）
5、关闭Independent,表计配置为3e4w y,给表加三相电压均为120V，电流5A，压流角为0°,记录时间t1
6、此时改变输入源的配置，给表加三相电压均为200V，电流1A，压流角为60°
7、查看数据是否在t1+10min后更新
8、查看更新的数据是否准确
9、关闭Independent,表计配置为3e4w y,给表加三相电压均为120V，电流5A，压流角为0°,记录时间t2
10、此时改变输入源的配置，给表加三相电压均为200V，电流1A，压流角为60°
11、查看数据是否在t2+2h后更新
12、查看更新的数据是否准确</t>
    <phoneticPr fontId="10" type="noConversion"/>
  </si>
  <si>
    <t>1、电表上电，电表通讯正常
2、打开web页面，点击setting界面，进入Metering,点击general,修改Device Description、Password（0000、9999、1111、5555、1234）、Nominal Frequency (Hz)（50、60）、Service Configuration（遍历6种接线配置）、Phase Order（遍历2种ABC\ACB）
3、在上位机及电表上分别查看，是否修改成功，修改值与web页面修改的一致
4、检查输入值Device Description的数值长度，以及web界面是否做非法数据处理
5、检查Password、Nominal Frequency (Hz)、Service Configuration、Phase Order，在上位机及电表上分别查看，是否修改成功，修改值与web页面修改的一致
备注: 开发进行自测时，一个参数只需写入一个数进行比对查看</t>
  </si>
  <si>
    <t xml:space="preserve">3、在上位机及电表上分别查看，修改成功，修改值与web页面修改的一致
4、检查输入值Device Description的数值长度，以及web界面做非法数据处理
5、数据检查一致
</t>
  </si>
  <si>
    <t>1、电表上电，电表通讯正常
2、打开web页面，点击setting界面，进入Metering,点击general,修改LED Pulse Parameter（多个，每个模块均覆盖），Energy Reading Display Format（0.1、0.01、0.001），Non-Standard Seal Options
3、在上位机及电表上分别查看，是否修改成功，修改值与web页面修改的一致</t>
    <phoneticPr fontId="10" type="noConversion"/>
  </si>
  <si>
    <t>1、电表上电，电表通讯正常
2、打开web页面，点击setting界面，进入Metering,点击Current&amp;Wiring Page,修改Independent Input Channel（使能、不使能）
3、在上位机及电表上分别查看，是否修改成功，修改值与web页面修改的一致</t>
  </si>
  <si>
    <t>1、电表上电，电表通讯正常
2、打开web页面，点击setting界面，进入Metering,点击Power Quality,修改Mains Signalling Voltage--Target Frequency（1.500.250、400），Mains Signalling Voltage--Target Magnitude（1.10.100.300）
3、在上位机及电表上分别查看，是否修改成功，修改值与web页面修改的一致
4、检查输入值Target Frequency、Target Magnitude的数值长度，以及web界面是否做非法数据处理
5、检查该页面所有描述及拼写</t>
    <phoneticPr fontId="10" type="noConversion"/>
  </si>
  <si>
    <t>Communication</t>
    <phoneticPr fontId="10" type="noConversion"/>
  </si>
  <si>
    <t>1、电表上电，电表通讯正常
2、打开web页面，点击setting界面，进入IO Module,修改DO1--Function(3种)
3、在上位机及电表上分别查看，是否修改成功，修改值与web页面修改的一致
4、检查该页面所有描述及拼写</t>
  </si>
  <si>
    <t>1、电表上电，电表通讯正常
2、点击setting界面，进入IO Module,DI1、DI2、DI3--Function选择（脉冲数）--修改Pulse Constant
3、在上位机及电表上分别查看，是否修改成功，修改值与web页面修改的一致
4、检查输入值Pulse Constant的数值长度，以及web界面是否做非法数据处理</t>
  </si>
  <si>
    <t>1、电表上电，电表通讯正常
2、打开web页面，点击setting界面，进入IO Module,修改DI1、DI2、DI3--Function（状态告警）
3、检查web页面中	Pulse Constant是否不可修改</t>
  </si>
  <si>
    <t>3、查看device clock中时区、Date&amp;Time与上位机与表均一致，与当前电脑时钟一致</t>
    <phoneticPr fontId="10" type="noConversion"/>
  </si>
  <si>
    <t>3、修改是否成功，比对上位机及电表中该值与web页面中一致
4、检查夏令时不使能后，web端该页面其他数据不可修改</t>
    <phoneticPr fontId="10" type="noConversion"/>
  </si>
  <si>
    <t>1、电表上电，电表通讯正常
2、Independent模式下，Web页面上点击setting界面，进入Management--点击Reset Demand，清除Independent模式下的Demand寄存器数据
3、检查web页面、上位机及电表中Demand数据是否被清0
4、Independent关闭，Web页面上点击setting界面，进入Management--点击Reset Demand，清除Independent关闭模式下的Demand寄存器数据
5、检查web页面、上位机及电表中Demand数据是否被清0</t>
    <phoneticPr fontId="10" type="noConversion"/>
  </si>
  <si>
    <t>1、电表上电，电表通讯正常
2、Independent模式下，Web页面上点击setting界面，进入Management--点击Reset Energy，清除Independent模式下的energy寄存器数据
3、检查web页面、上位机及电表中energy数据是否被清0
4、Independent关闭，Web页面上点击setting界面，进入Management--点击Reset Energy，清除Independent关闭模式下的Energy寄存器数据
5、检查web页面、上位机及电表中Energy数据是否被清0</t>
    <phoneticPr fontId="10" type="noConversion"/>
  </si>
  <si>
    <t>1、电表上电，电表通讯正常
2、Web页面上点击setting界面，进入Management--点击Reboot Meter 
3、查看电表是否被重启</t>
    <phoneticPr fontId="10" type="noConversion"/>
  </si>
  <si>
    <t>1、电表上电，电表通讯正常
2、将Communications 模块中各个参数修改为不同于默认值的参数
3、Web页面上点击setting界面，进入Management--点击Reset Communications Module
4、查看web端、上位机、电表Communications 模块中各个参数是否恢复为默认值</t>
    <phoneticPr fontId="10" type="noConversion"/>
  </si>
  <si>
    <t>AcuRev1320_042</t>
  </si>
  <si>
    <t xml:space="preserve">1、电表上电，电表通讯正常
2、Web页面上点击setting界面，进入Management--点击Certificate Management，点击Import
3、选择正确的证书导入
4、查看导入是否正常
5、导入后查看Certificate Issuer、Certificate Subject、Validity、Details显示是否正常
6、查看该页面描述、拼写是否正确
</t>
    <phoneticPr fontId="10" type="noConversion"/>
  </si>
  <si>
    <t xml:space="preserve">
1、电表上电，电表通讯正常
2、Web页面上点击setting界面，进入Management--点击Certificate Management，点击Import
3、选择错误证书导入
4、导入失败，页面提示是否正确</t>
    <phoneticPr fontId="10" type="noConversion"/>
  </si>
  <si>
    <t>1、电表上电，电表通讯正常
2、Web页面上点击setting界面，进入Device Information，查看Device Description、Model、Serial Number、Hardware Version、Bootloader Version、Firmware Version、	Firmware Release Date、MAC Address、Manufacturer Accuenergy (Canada) Inc.
3、查看web端中Device Information的数据是否与上位机及电表中数据一致，英文拼写与描述是否有错误
4、Web页面上点击setting界面，进入Device Information，修改Device Description
5、查看web端中Device Description的数据是否与上位机及电表中数据一致
6、检查输入值Device Description的数值长度，以及web界面是否做非法数据处理</t>
    <phoneticPr fontId="10" type="noConversion"/>
  </si>
  <si>
    <t>3、web端中Device Information的数据与上位机及电表中数据一致，英文拼写与描述是无错误
5、web端中Device Information的数据与上位机及电表中数据一致
6、检查输入值Device Description的数值长度，以及web界面做非法数据处理</t>
    <phoneticPr fontId="10" type="noConversion"/>
  </si>
  <si>
    <t>Function_AcuRev1320_046_13_case03</t>
    <phoneticPr fontId="10" type="noConversion"/>
  </si>
  <si>
    <t>Function_AcuRev1320_046_14_case01</t>
    <phoneticPr fontId="10" type="noConversion"/>
  </si>
  <si>
    <t>1、电表上电，电表通讯正常
2、Web页面上点击setting界面，进入PQ Event &amp; Waveform，修改Sample Rate（16、128、256、512）、修改Number of Cycles Before（1.159.100.20）、修改Number of Cycles After（1.159.100.20）
3、查看上位机及电表中的Sample Rate、Number of Cycles Before、Number of Cycles After值是否和Web页面上一致</t>
    <phoneticPr fontId="10" type="noConversion"/>
  </si>
  <si>
    <t>1、电表上电，电表通讯正常
2、Web页面上点击setting界面，进入PQ Event &amp; Waveform，修改DI1触发功能（使能、不使能、仅记录电压），遍历6种接线方式
3、查看上位机及电表中关于DI1触发功能的这个参数是否与web端参数保持一致</t>
    <phoneticPr fontId="10" type="noConversion"/>
  </si>
  <si>
    <t>Function_AcuRev1320_046_14_case05_01</t>
  </si>
  <si>
    <t>Web页面上点击setting界面，进入PQ Event &amp; Waveform，修改normal  current、normal voltage的值</t>
  </si>
  <si>
    <t>1、电表上电，电表通讯正常
2、进入web页面，点击setting,进入，进入PQ Event &amp; Waveform，修改normal  current（0~65535）、normal voltage（1~690V）的值
3、查看上位机、电表及wdb页面该数据修改前后数据是否保持一致</t>
    <phoneticPr fontId="10" type="noConversion"/>
  </si>
  <si>
    <t>3、查看上位机、电表及wdb页面该数据修改前后数据保持一致</t>
  </si>
  <si>
    <t>1、电表上电，电表通讯正常
2、Web页面上点击setting界面，进入PQ Event &amp; Waveform，设置Voltage Sag、Voltage Swell、Voltage Interruption、Current Swell、Voltage Unbalance、Current Unbalance为不使能
3、查看web页面上PQ Event &amp; Waveform中和Voltage Sag、Voltage Swell、Voltage Interruption、Current Swell、Voltage Unbalance、Current Unbalance相关参数入（o	Threshold、Hysteresis 、Waveform使能开关）是否都不能进行配置
4、查看上位机及电表中关于3中配置显示是否一致</t>
    <phoneticPr fontId="10" type="noConversion"/>
  </si>
  <si>
    <t>1、电表上电，电表通讯正常
2、Voltage Sag Enable；Web页面上点击setting界面，进入PQ Event &amp; Waveform，修改Voltage Sag对应的Threshold，修改Voltage Sag对应的Hysteresis 
3、查看上位机及电表中关于Voltage Sag对应的Threshold、Hysteresis 参数是否与web端参数保持一致</t>
    <phoneticPr fontId="10" type="noConversion"/>
  </si>
  <si>
    <t>Function_AcuRev1320_046_14_case11</t>
    <phoneticPr fontId="10" type="noConversion"/>
  </si>
  <si>
    <t>1、电表上电，电表通讯正常
2、Voltage Interruption Enable；Web页面上点击setting界面，进入PQ Event &amp; Waveform，修改Voltage Interruption 对应的Threshold、Hysteresis 
3、查看上位机及电表中关于Voltage Interruption 对应的Threshold、Hysteresis 是否与web端参数保持一致</t>
    <phoneticPr fontId="10" type="noConversion"/>
  </si>
  <si>
    <t>1、电表上电，电表通讯正常
2、Web页面上点击setting界面，进入Data Log2，设置Logging Mode为立即产生日志
3、查看上位机及电表对于以上这个参数的配置是否与web端保持一致
4、Web页面上点击setting界面，进入Data Log2，设置Logging Mode为按照配置开始时间进行产生日志，修改配置时间（00：00；23：59；10：10）
5、查看上位机及电表对于以上这个参数的配置是否与web端保持一致
6、Web页面上点击setting界面，进入Data Log2，设置Logging Mode为按照一个时间区间取产生日志，并多次修改这个时间区间
7、查看上位机及电表对于以上这个参数的配置是否与web端保持一致</t>
    <phoneticPr fontId="10" type="noConversion"/>
  </si>
  <si>
    <t>1、电表上电，电表通讯正常
2、web页面，点击setting界面，进入alarm界面，配置第一条alarm告警
3、关闭第一条alarm使能开关，查看该条告警对应参数是否不能继续配置
4、20条告警全部不使能</t>
    <phoneticPr fontId="10" type="noConversion"/>
  </si>
  <si>
    <t>datapost</t>
  </si>
  <si>
    <t>点击setting界面，进入datapost界面,查看该页面数据与上位机及电表保持一致</t>
  </si>
  <si>
    <t>1、电表上电，电表通讯正常
2、web页面，点击setting界面，进入data post
3、查看该页面数据与上位机及电表是否保持一致</t>
    <phoneticPr fontId="10" type="noConversion"/>
  </si>
  <si>
    <t>3、查看该页面数据与上位机及电表保持一致</t>
    <phoneticPr fontId="10" type="noConversion"/>
  </si>
  <si>
    <t>Function_AcuRev1320_046_17_case02</t>
  </si>
  <si>
    <t>点击setting界面，进入datapost界面,修改datalog post使能开关</t>
  </si>
  <si>
    <t>1、电表上电，电表通讯正常
2、web页面，点击setting界面，进入data post，修改datalog post使能开关（使能/不使能）
3、查看该页面数据与上位机及电表是否保持一致</t>
  </si>
  <si>
    <t>3、查看该页面数据与上位机及电表保持一致</t>
  </si>
  <si>
    <t>Function_AcuRev1320_046_17_case03</t>
  </si>
  <si>
    <t>点击setting界面，进入datapost界面,修改Protocol、logger ID、Timestamp Format</t>
  </si>
  <si>
    <t>1、电表上电，电表通讯正常
2、web页面，点击setting界面，进入data post，分别修改Protocol（HTTP\HTTPS）、logger ID(Datalog1\Datalog2\Datalog3\Datalog4)、Timestamp Format(3种)
3、修改提交成功后，查看数据与上位机及电表是否保持一致</t>
    <phoneticPr fontId="10" type="noConversion"/>
  </si>
  <si>
    <t>3、查看数据与上位机及电表保持一致</t>
  </si>
  <si>
    <t>Function_AcuRev1320_046_17_case04</t>
  </si>
  <si>
    <t>1、电表上电，电表通讯正常
2、web页面，点击setting界面，进入data post，分别修改log file format(2种)\log file name（2种）\log file length\log post interval
3、修改提交成功后，查看数据与上位机及电表是否保持一致</t>
    <phoneticPr fontId="10" type="noConversion"/>
  </si>
  <si>
    <t>Function_AcuRev1320_046_17_case05</t>
  </si>
  <si>
    <t>点击setting界面，进入datapost界面,修改HTTP Setting中URL、Token</t>
  </si>
  <si>
    <t>1、电表上电，电表通讯正常
2、web页面，进入datapost界面,修改HTTP Setting中URL、Token
3、修改提交成功后，查看数据与上位机及电表是否保持一致</t>
  </si>
  <si>
    <t>AcuCloud</t>
    <phoneticPr fontId="10" type="noConversion"/>
  </si>
  <si>
    <t>Function_AcuRev1320_046_18_case01</t>
    <phoneticPr fontId="10" type="noConversion"/>
  </si>
  <si>
    <t>点击setting界面，进入AcuCloud,修改AcuCloud使能开关</t>
    <phoneticPr fontId="10" type="noConversion"/>
  </si>
  <si>
    <t>1、电表上电，电表通讯正常
2、web页面，点击setting界面，进入AcuCloud,修改AcuCloud使能开关
3、修改提交后，查看数据与上位机及电表是否保持一致</t>
    <phoneticPr fontId="10" type="noConversion"/>
  </si>
  <si>
    <t>Acloud</t>
  </si>
  <si>
    <t>Function_AcuRev1320_046_18_case02</t>
  </si>
  <si>
    <t>点击setting界面，进入AcuCloud,修改AcuCloud中AcuCloud URL及AcuCloud  Token</t>
  </si>
  <si>
    <t>1、电表上电，电表通讯正常
2、web页面，点击setting界面，进入AcuCloud,修改AcuCloud中AcuCloud URL及AcuCloud  Token
3、修改提交后，查看数据与上位机及电表是否保持一致</t>
  </si>
  <si>
    <t>Function_AcuRev1320_046_18_case03</t>
    <phoneticPr fontId="10" type="noConversion"/>
  </si>
  <si>
    <t>点击setting界面，进入AcuCloud,点击Import Certificate</t>
  </si>
  <si>
    <t>1、电表上电，电表通讯正常
2、web页面，点击setting界面，进入AcuCloud,点击Import Certificate
3、查看文件能不能正常导入</t>
    <phoneticPr fontId="10" type="noConversion"/>
  </si>
  <si>
    <t>3、数据能正常导入</t>
  </si>
  <si>
    <t>THD</t>
  </si>
  <si>
    <t>Function_AcuRev1320_046_18_case01</t>
  </si>
  <si>
    <t>点击Acurev-1320,进入THD，查看THD页面英文描述是否正确</t>
  </si>
  <si>
    <t>1、电表上电，电表通讯正常
2、web页面，点击Acurev-1320,进入THD，查看THD页面英文描述是否正确</t>
  </si>
  <si>
    <t>2、THD页面数据英文描述正确</t>
  </si>
  <si>
    <t>Sequence and Unblance</t>
  </si>
  <si>
    <t>Function_AcuRev1320_046_19_case01</t>
  </si>
  <si>
    <t>点击Acurev-1320,进入Sequence and Unblance，查看Sequence and Unblance页面英文描述是否正确</t>
  </si>
  <si>
    <t>1、电表上电，电表通讯正常
2、web页面，点击Acurev-1320,进入Sequence and Unblance，查看Sequence and Unblance页面英文描述是否正确</t>
  </si>
  <si>
    <t>2、Sequence and Unblance页面数据英文描述正确</t>
  </si>
  <si>
    <t>IO</t>
  </si>
  <si>
    <t>Function_AcuRev1320_046_20_case01</t>
    <phoneticPr fontId="10" type="noConversion"/>
  </si>
  <si>
    <t>点击Acurev-1320,进入IO模块，查看IO页面英文描述是否正确</t>
  </si>
  <si>
    <t>1、电表上电，电表通讯正常
2、web页面，点击Acurev-1320,进入IO模块，查看IO模块页面英文描述是否正确</t>
    <phoneticPr fontId="10" type="noConversion"/>
  </si>
  <si>
    <t>2、IO模块页面数据英文描述正确</t>
  </si>
  <si>
    <t>Function_AcuRev1320_046_21_case01_1</t>
    <phoneticPr fontId="10" type="noConversion"/>
  </si>
  <si>
    <t>Web端Device Reboot</t>
  </si>
  <si>
    <t>1、Web端执行Device Reboot
2、网页断连刷新后是否回退到登录页面</t>
    <phoneticPr fontId="10" type="noConversion"/>
  </si>
  <si>
    <t>2、网页断连刷新后回退到登录页面</t>
    <phoneticPr fontId="10" type="noConversion"/>
  </si>
  <si>
    <t>Function_AcuRev1320_046_21_case01</t>
    <phoneticPr fontId="10" type="noConversion"/>
  </si>
  <si>
    <t>SNTP通信协议</t>
  </si>
  <si>
    <t>SNTP基础配置</t>
  </si>
  <si>
    <t>Function_AcuRev1320_47_01_case01</t>
    <phoneticPr fontId="37" type="noConversion"/>
  </si>
  <si>
    <t>点击Restore按钮恢复默认设置，验证SNTP相关参数全部还原为默认值</t>
  </si>
  <si>
    <t>1、Acuview2上位机（Setting页面）
2、网线
3、AcuRev1320电表</t>
  </si>
  <si>
    <t>4、恢复到上一个步骤</t>
  </si>
  <si>
    <t>功能测试</t>
  </si>
  <si>
    <t>Function_AcuRev1320_47_01_case02</t>
  </si>
  <si>
    <t>开启SNTP Enable并配置有效Server URL，点击Update下发，验证电表时间与NTP服务器同步</t>
  </si>
  <si>
    <t>1、Acuview2上位机（Setting页面）
2、网线
3、AcuRev1320电表
4、可访问的SNTP服务器（如pool.ntp.org）</t>
  </si>
  <si>
    <t>1、记录当前电表HMI显示时间（time_before）
2、上位机Setting页面：SNTP Enable设为Enable，Server URL填写pool.ntp.org，Interval保持默认300s
3、点击Update按钮下发配置
4、等待不超过60秒
5、在上位机或HMI查看电表当前时间（time_after）</t>
  </si>
  <si>
    <t>3、上位机提示下发成功，无报错
5、time_after与NTP服务器标准时间一致（误差≤1秒），若原时间偏差较大则与time_before存在明显差异</t>
  </si>
  <si>
    <t>Function_AcuRev1320_47_01_case03</t>
  </si>
  <si>
    <t>关闭SNTP Enable并Update后，手动设置时间，验证电表时间不再自动同步</t>
  </si>
  <si>
    <t>1、确保SNTP Enable为Enable，电表时间已同步
2、上位机手动将电表时间修改为明显偏差值（如提前2小时）并Update
3、上位机Setting页面：SNTP Enable设为Disable，点击Update下发
4、等待至少300秒，查看电表时间</t>
  </si>
  <si>
    <t>3、上位机提示下发成功
4、电表时间维持步骤2手动设置的偏差值，未自动同步回NTP时间，说明SNTP已停止</t>
  </si>
  <si>
    <t>Function_AcuRev1320_47_01_case04</t>
    <phoneticPr fontId="37" type="noConversion"/>
  </si>
  <si>
    <t>修改SNTP配置后不点击Update，切换页面再返回，验证未保存的配置不生效</t>
  </si>
  <si>
    <t>1、上位机Setting页面修改SNTP Enable=Enable，Server URL=time.cloudflare.com，Interval=120
2、不点击Update，直接切换到上位机其他功能页面
3、返回Setting页面，查看SNTP配置
4、检查电表实际SNTP工作状态</t>
  </si>
  <si>
    <t>3、SNTP配置显示未修改前的值（默认值或上次已保存的值）
4、电表SNTP行为与上次已保存配置一致，本次修改未生效</t>
  </si>
  <si>
    <t>Function_AcuRev1320_47_01_case05</t>
    <phoneticPr fontId="37" type="noConversion"/>
  </si>
  <si>
    <t>验证Setting页面同时展示SNTP Enable、Server URL、Interval三个配置项，且标签说明清晰</t>
  </si>
  <si>
    <t>1、打开Acuview2上位机，进入Setting页面
2、观察SNTP配置区域的UI布局
3、检查各配置项标签名称、输入控件类型及默认显示内容</t>
  </si>
  <si>
    <t>2、页面正常加载，SNTP配置区域可见
3、正确显示三个配置项：
   - SNTP Enable：开关控件，默认OFF/Disable
   - Server URL：文本输入框，默认为空
   - Synchronization Interval：数字输入框，默认300，单位标注为秒(s)
   - Update和Restore按钮清晰可见</t>
  </si>
  <si>
    <t>UI测试</t>
  </si>
  <si>
    <t>Function_AcuRev1320_47_01_case06</t>
    <phoneticPr fontId="37" type="noConversion"/>
  </si>
  <si>
    <t>验证Setting页面Time zone配置功能</t>
    <phoneticPr fontId="37" type="noConversion"/>
  </si>
  <si>
    <t>1、打开Acuview2上位机，进入Setting页面
2、配置Time zone 最大值-720,540，840
3、检查配置是否成功</t>
  </si>
  <si>
    <t>3、配置成功</t>
    <phoneticPr fontId="37" type="noConversion"/>
  </si>
  <si>
    <t>Synchronization Interval</t>
    <phoneticPr fontId="10" type="noConversion"/>
  </si>
  <si>
    <t>Function_AcuRev1320_47_02_case01</t>
    <phoneticPr fontId="10" type="noConversion"/>
  </si>
  <si>
    <t>配置Interval为最小边界值60s，验证电表每隔60秒与NTP服务器同步一次</t>
    <phoneticPr fontId="10" type="noConversion"/>
  </si>
  <si>
    <t>Function_AcuRev1320_47_02_case02</t>
  </si>
  <si>
    <t>配置Interval为最大边界值4294967s，验证配置保存成功，超长间隔内不自动同步</t>
  </si>
  <si>
    <t>2、下发成功，上位机无报错
3、读取Interval值为4294967，电表时钟会先同步一次
5、此后不再自动同步（仍为手动调偏后的值），超长Interval生效</t>
  </si>
  <si>
    <t>Function_AcuRev1320_47_02_case03</t>
  </si>
  <si>
    <t>配置Interval为中间典型值300s（默认值），验证电表按300秒周期同步时间</t>
  </si>
  <si>
    <t>2、下发成功
4、电表时间在300~330秒内恢复为NTP标准时间，300秒周期生效</t>
  </si>
  <si>
    <t>Function_AcuRev1320_47_02_case04</t>
  </si>
  <si>
    <t>配置Interval低于最小值（填写59），验证上位机拒绝保存并提示错误</t>
  </si>
  <si>
    <t>异常测试</t>
  </si>
  <si>
    <t>Function_AcuRev1320_47_02_case05</t>
    <phoneticPr fontId="10" type="noConversion"/>
  </si>
  <si>
    <t>配置Interval超过最大值（填写4294968），验证上位机拒绝保存并提示错误</t>
  </si>
  <si>
    <t>Function_AcuRev1320_47_02_case06</t>
    <phoneticPr fontId="37" type="noConversion"/>
  </si>
  <si>
    <t>修改Interval为600s后断电重启电表，验证重启后Interval配置持久化</t>
  </si>
  <si>
    <t>1、上位机配置：SNTP Enable=Enable，Server URL=pool.ntp.org，Interval=600，点击Update
2、修改电表时钟到2020-10-10 00：02：00，电表断电重启
3、重启完成后，查看电表时钟，上位机读取Interval配置值
4、手动将电表时间调偏，等待600~630秒后查看时间</t>
  </si>
  <si>
    <t xml:space="preserve">
1、电表时钟会立即同步一次
3、电表时钟会立即同步一次，Interval读取值仍为600，配置未丢失
4、此后电表在600~630秒内完成一次自动同步，时间恢复正确</t>
  </si>
  <si>
    <t>Function_AcuRev1320_47_02_case06_1</t>
    <phoneticPr fontId="10" type="noConversion"/>
  </si>
  <si>
    <t>SNTP同步周期名称为SNTP Update Interval</t>
    <phoneticPr fontId="10" type="noConversion"/>
  </si>
  <si>
    <t>1、检查上位机和web页面SNTP同步周期名称是否为SNTP Update Interval</t>
  </si>
  <si>
    <t>1、上位机和web页面SNTP同步周期名称为SNTP Update Interval</t>
  </si>
  <si>
    <t>Function_AcuRev1320_47_02_case07</t>
    <phoneticPr fontId="37" type="noConversion"/>
  </si>
  <si>
    <t>1、打开Acuview2上位机，进入Setting页面
2、配置Time zone 最大值540
3、构造条件触发时间同步，
4、检查同步时间是否正确</t>
  </si>
  <si>
    <t>4、同步时间正确， 时区GMT+9</t>
    <phoneticPr fontId="37" type="noConversion"/>
  </si>
  <si>
    <t>LV2</t>
    <phoneticPr fontId="37" type="noConversion"/>
  </si>
  <si>
    <t>Server URL</t>
  </si>
  <si>
    <t>Function_AcuRev1320_47_03_case03</t>
  </si>
  <si>
    <t>配置无效格式Server URL（如not_a_url$$），验证上位机校验拦截或电表无法同步并报错</t>
  </si>
  <si>
    <t>1、上位机配置：SNTP Enable=Enable，Server URL=not_a_url$$
2、点击Update按钮
3、若下发成功，等待300秒后查看电表时间同步状态</t>
  </si>
  <si>
    <t>2、若前端校验：上位机拒绝下发，提示URL格式无效
3、若允许下发：电表无法解析地址，SNTP同步失败，上位机或HMI显示同步失败状态，时间不更新</t>
  </si>
  <si>
    <t>Function_AcuRev1320_47_03_case04</t>
  </si>
  <si>
    <t>配置无法访问的Server URL（如192.168.99.99），验证电表超时后状态提示正常、不崩溃</t>
  </si>
  <si>
    <t>1、上位机配置：SNTP Enable=Enable，Server URL=192.168.99.99，Interval=60
2、点击Update下发
3、等待120秒，查看电表时间及上位机同步状态</t>
  </si>
  <si>
    <t>2、下发成功（URL格式合法）
3、电表无法连接NTP服务器，同步失败；上位机或日志显示超时或连接失败提示；电表时间不重置，保持现有时间，设备运行正常</t>
  </si>
  <si>
    <t>Function_AcuRev1320_47_03_case05</t>
  </si>
  <si>
    <t>Server URL为空时，开启SNTP Enable并Update，验证设备不崩溃且给出明确提示</t>
    <phoneticPr fontId="10" type="noConversion"/>
  </si>
  <si>
    <t>1、上位机Setting页面：SNTP Enable=Enable，Server URL保持为空
2、点击Update按钮
3、等待300秒，查看电表状态</t>
  </si>
  <si>
    <t>2、上位机提示Server URL不能为空，拒绝下发；或下发后设备SNTP无法工作并在状态栏提示配置无效
3、电表正常运行，时间不更新，无崩溃或重启</t>
  </si>
  <si>
    <t>Function_AcuRev1320_47_03_case06</t>
    <phoneticPr fontId="10" type="noConversion"/>
  </si>
  <si>
    <t>切换Server URL从一个NTP服务器到另一个（pool.ntp.org → time.google.com），验证新URL立即生效</t>
  </si>
  <si>
    <t>1、配置Server URL=pool.ntp.org，Enable=Enable，Interval=60，点击Update，确认时间已同步
2、修改Server URL=time.google.com，点击Update
3、手动将电表时间调偏
4、等待不超过70秒（Interval=60s），查看时间</t>
  </si>
  <si>
    <t>2、下发成功
4、电表从新服务器time.google.com同步时间，时间恢复正确，URL切换生效</t>
  </si>
  <si>
    <t>Function_AcuRev1320_47_03_case07</t>
  </si>
  <si>
    <t>修改Server URL后断电重启，验证URL配置持久化，重启后SNTP继续正常工作</t>
  </si>
  <si>
    <t>1、配置Server URL=time.cloudflare.com，Enable=Enable，Interval=60，点击Update
2、电表断电重启
3、重启后上位机读取Server URL值
4、等待60~70秒，查看电表时间</t>
  </si>
  <si>
    <t>3、Server URL读取值为time.cloudflare.com，配置未丢失
4、电表自动同步时间，SNTP继续正常工作</t>
  </si>
  <si>
    <t>Function_AcuRev1320_47_03_case08</t>
  </si>
  <si>
    <t>SNTP URL设置字符超过40位</t>
    <phoneticPr fontId="10" type="noConversion"/>
  </si>
  <si>
    <t>1、分别检查WEB和上位机配置Server URL超过40位字符</t>
  </si>
  <si>
    <t>2、Web和上位机拒绝下发，提示URL格式无效</t>
    <phoneticPr fontId="10" type="noConversion"/>
  </si>
  <si>
    <t>Function_AcuRev1320_47_03_case09</t>
    <phoneticPr fontId="10" type="noConversion"/>
  </si>
  <si>
    <t>验证Web SNTP Disable和Enable设计</t>
    <phoneticPr fontId="10" type="noConversion"/>
  </si>
  <si>
    <t>2、网线
3、AcuRev1320电表</t>
  </si>
  <si>
    <t xml:space="preserve">1、登录web
2、观测SNTP Disable和Enable配置
</t>
    <phoneticPr fontId="10" type="noConversion"/>
  </si>
  <si>
    <t>2、当SNTP Disable配置时，隐藏URL和Interval；
当SNTP Enable时，才能输入URL和Interval</t>
  </si>
  <si>
    <t>时间手动设置与SNTP联动</t>
  </si>
  <si>
    <t>Function_AcuRev1320_47_04_case01</t>
  </si>
  <si>
    <t>SNTP Disable时，通过上位机手动设置时间并Update，验证电表时间更新成功</t>
  </si>
  <si>
    <t>1、确认SNTP Enable=Disable
2、上位机手动将电表时间设置为指定时间（如2025-01-01 12:00:00）
3、点击Update下发
4、查看HMI和上位机显示的电表当前时间</t>
  </si>
  <si>
    <t>3、下发成功，无报错
4、HMI和上位机均显示2025-01-01 12:00:00（允许几秒误差），手动时间生效</t>
  </si>
  <si>
    <t>Function_AcuRev1320_47_04_case02</t>
  </si>
  <si>
    <t>SNTP Enable且同步正常时，手动修改时间后，验证下次同步周期到达时时间被自动纠正</t>
  </si>
  <si>
    <t>1、配置SNTP Enable=Enable，Server URL=pool.ntp.org，Interval=60，Update下发
2、确认电表时间已同步
3、上位机手动将电表时间调偏（如+1小时）并Update
4、等待60~70秒，查看电表时间</t>
  </si>
  <si>
    <t>3、手动时间修改下发成功
4、60~70秒后电表时间被SNTP自动纠正回NTP标准时间（误差≤1秒），手动调偏被覆盖</t>
  </si>
  <si>
    <t>Function_AcuRev1320_47_04_case03</t>
  </si>
  <si>
    <t>同时修改手动时间和SNTP配置，一次性点击Update，验证两类配置均同时生效</t>
  </si>
  <si>
    <t>1、上位机Setting页面同时设置：
   - 手动时间：2024-06-01 08:00:00
   - SNTP Enable=Enable
   - Server URL=pool.ntp.org
   - Interval=120
2、点击Update一次性下发
3、立即查看电表时间（time_after_update）
4、等待120~130秒后再次查看电表时间（time_after_sync）</t>
  </si>
  <si>
    <t>2、下发成功，无报错
3、电表时间显示为2024-06-01 08:00:00附近（手动时间生效）
4、电表时间同步为NTP标准时间，说明SNTP配置也已生效</t>
  </si>
  <si>
    <t>Function_AcuRev1320_47_04_case04</t>
  </si>
  <si>
    <t>SNTP Disable时手动设置时间后断电重启，验证重启后手动设置的时间基本保留（允许RTC走时偏差）</t>
  </si>
  <si>
    <t>1、SNTP Enable=Disable，手动将电表时间设为2025-06-01 10:00:00，点击Update
2、等待30秒，记录实际时间
3、电表断电重启
4、重启完成后查看HMI显示时间</t>
  </si>
  <si>
    <t>4、HMI显示时间约为2025-06-01 10:00:30（允许RTC走时误差及重启时间），手动时间持久化</t>
  </si>
  <si>
    <t>稳定性与异常恢复</t>
  </si>
  <si>
    <t>Function_AcuRev1320_47_05_case01</t>
  </si>
  <si>
    <t>SNTP正常运行时断开网络60秒后恢复，验证电表自动重新同步时间</t>
  </si>
  <si>
    <t>1、配置SNTP Enable=Enable，Server URL=pool.ntp.org，Interval=60，确认时间已同步
2、拔除电表网线，持续60秒
3、此期间手动将电表时间调偏（+5分钟）
4、重新插入网线
5、等待不超过70秒，查看电表时间</t>
  </si>
  <si>
    <t>2、断网后SNTP无法同步（预期行为）
5、网络恢复后，电表在下一个Interval内自动重新同步，时间恢复为NTP标准时间</t>
  </si>
  <si>
    <t>Function_AcuRev1320_47_05_case02</t>
  </si>
  <si>
    <t>SNTP运行期间断电重启，验证重启后SNTP自动恢复工作，无需人工干预</t>
  </si>
  <si>
    <t>1、配置SNTP Enable=Enable，Server URL=pool.ntp.org，Interval=60，Update下发
2、确认电表时间已同步
3、电表断电重启
4、重启完成后等待不超过70秒，查看电表时间</t>
  </si>
  <si>
    <t>3、电表正常启动，SNTP配置未丢失
4、电表自动发起NTP同步，时间更新为NTP标准时间，无需人工重新配置</t>
  </si>
  <si>
    <t>Function_AcuRev1320_47_05_case03</t>
    <phoneticPr fontId="37" type="noConversion"/>
  </si>
  <si>
    <t>反复切换SNTP Enable（ON→OFF→ON）共5次，验证每次切换后电表行为正确，无异常</t>
  </si>
  <si>
    <t>1、配置Server URL=pool.ntp.org，Interval=60
2、循环执行5次：
   a. SNTP Enable=Enable，Update，等待70秒，确认时间同步
   b. 手动调偏时间
   c. SNTP Enable=Disable，Update，等待70秒，确认时间未自动恢复
3、最后一次切换为Enable状态，查看时间</t>
  </si>
  <si>
    <t>每次Enable后时间均在70秒内同步；每次Disable后时间在70秒内未自动同步；5次切换过程中无报错、无死机
最终Enable状态下时间正常同步</t>
  </si>
  <si>
    <t>稳定性测试</t>
  </si>
  <si>
    <t>BACnet/IP</t>
  </si>
  <si>
    <t>BACnet/IP功能</t>
    <phoneticPr fontId="37" type="noConversion"/>
  </si>
  <si>
    <t>Function_AcuRev1320_48_02_case1</t>
  </si>
  <si>
    <t>上位机设置 BACnet/IP 开关 OFF，验证以太网口 UDP 通信断开，无法搜索到设备</t>
  </si>
  <si>
    <t>1、使用Yabe软件通过 BACnet/IP 的方式连接AcuRev1320
2、上位机或HMI上设置BACnet/IP开关 OFF
3、查看Yabe与AcuRev1320连接是否断开</t>
  </si>
  <si>
    <t>1、通过 BACnet/IP 的方式连接AcuRev1320，
读取数据成功
2、上位机和HMI无报错，上位机与HMI更新显示BACnet/IP 开关OFF（Disable）
3、BACnet/IP 通信断开，读取数据失败</t>
  </si>
  <si>
    <t>Function_AcuRev1320_48_02_case2</t>
  </si>
  <si>
    <t>上位机设置 BACnet/IP 开关 ON，验证以太网口 UDP 通信恢复，可正常搜索并读数</t>
  </si>
  <si>
    <t>1、上位机或HMI上设置BACnet/IP开关 ON
2、使用Yabe软件通过BACnet/IP的方式连接AcuRev1320</t>
  </si>
  <si>
    <t>1、上位机无报错，上位机与HMI更新显示BACnet/IP开关ON（Enable）
2、连接成功，BACnet/IP通信恢复，读取数据成功</t>
  </si>
  <si>
    <t>Function_AcuRev1320_48_02_case3</t>
  </si>
  <si>
    <t>开启 BACnet/IP 成功后，尝试使用 MS/TP 串口通信，验证串口端拒绝响应</t>
  </si>
  <si>
    <t>1、上位机或HMI上设置 BACnet MS/TP
2、使用Yabe软件分别通过BACnet MS/TP和IP 的方式连接AcuRev1320
3、上位机或HMI上设置 BACnet /IP
4、使用Yabe软件分别通过BACnet MS/TP和IP 的方式连接AcuRev1320</t>
  </si>
  <si>
    <t>1、上位机无报错，上位机与HMI更新显示 BACnet MS/TP开关ON（Enable）
2、TP连接成功，IP方式连接失败
3、上位机无报错，上位机与HMI更新显示 BACnet /IP开关ON（Enable）
4、TP方式连接失败，IP方式连接成功</t>
  </si>
  <si>
    <t>Function_AcuRev1320_48_02_case4</t>
  </si>
  <si>
    <t>UDP Port 配置为默认值 47808 ，验证网络工具默认端口通信正常</t>
  </si>
  <si>
    <t>1、上位机或HMI上设置 BACnet /IP
2、查看默认UDP Port
3. 使用Yabe软件通过BACnet /IP，设置UDP Port为0XBAC0进行连接
默认端口是否为47808</t>
  </si>
  <si>
    <t>2、上位机与HMI查看默认UDP Port为47808（BAC0）
3、使用默认UDP端口通信正常。</t>
  </si>
  <si>
    <t>Function_AcuRev1320_48_02_case5</t>
  </si>
  <si>
    <t>UDP Port 配置为有效边界值 1 和 65535，验证修改对应端口后通信正常</t>
  </si>
  <si>
    <t>1、上位机或HMI上设置UDP Port为1，30000和65535
2、查看 UDP Port是否修改成功
3、使用Yabe软件通过BACnet /IP，设置UDP Port为1，30000和35535进行连接
4、上位机或HMI上设置UDP Port为0和65536</t>
  </si>
  <si>
    <t>2、上位机与HMI查看UDP Port配置修改成功。
3、分别使用UDP Port为1，30000，35535连接通信正常。
4、上位机与HMI都设置失败。</t>
  </si>
  <si>
    <t>Function_AcuRev1320_48_02_case6</t>
  </si>
  <si>
    <t>Network Number 配置为边界值 0 和 65534，验证修改对应端口后通信正常</t>
  </si>
  <si>
    <t>1、上位机或HMI上设置Network Number为0，35000和65534
2、使用Yabe软件通过BACnet /IP修改Network Number，同步读取。
3、上位机或HMI上设置Network Number为655345</t>
  </si>
  <si>
    <t>1、上位机与HMI查看Network Number配置修改成功。
2、连接成功，读取数据正常
3、上位机与HMI都设置失败。</t>
  </si>
  <si>
    <t>Function_AcuRev1320_48_02_case7</t>
  </si>
  <si>
    <t>APDU Timeout 配置为 100 和 65535 (ms)，在网络延迟环境下，验证设备等待响应时间符合设定</t>
  </si>
  <si>
    <t>1、上位机或HMI上设置APDU Timeout为100，35000和65535
2、在网络延迟环境下，使用Yabe软件通过BACnet /IP进行连接，并读取数据
3、上位机或HMI上设置APDU Timeout为655346</t>
  </si>
  <si>
    <t>1、上位机与HMI查看APDU Timeout配置修改成功。
2、等待响应时间符合设定范围，连接成功读取APDU Timeout与实际配置一致
3、上位机与HMI都设置失败。</t>
  </si>
  <si>
    <t>Function_AcuRev1320_48_02_case8</t>
  </si>
  <si>
    <t>APDU Retry Max 配置为 0 和 255，在网络丢包环境下，抓包验证设备最大重发次数符合设定</t>
  </si>
  <si>
    <t>1、上位机或HMI上设置APDU Retry Max为0，100和255
2、 模拟丢包环境并抓包，使用Yabe软件通过BACnet /IP进行连接，并读取数据
3、上位机或HMI上设置APDU Retry Max为256</t>
  </si>
  <si>
    <t xml:space="preserve">1、上位机与HMI查看APDU Retry Max配置修改成功。
2、最大重发次数与APDU Retry Max一致，连接成功读取APDU Retry Max与实际配置一致
3、上位机与HMI都设置失败。
</t>
  </si>
  <si>
    <t>Function_AcuRev1320_48_02_case9</t>
  </si>
  <si>
    <t>Device Instance 配置为边界值 0 和 4194303，验证网络工具能搜索出对应 ID设备</t>
  </si>
  <si>
    <t>1、上位机和HMI修改Device Instance为0，2000000和4194302；
2、Yabe软件通过BACnet /IP重新扫描网络。
3、上位机和HMI修改Device Instance为4194302；</t>
  </si>
  <si>
    <t>1、上位机和HMI都修改保存成功；
2、成功搜索出对应ID的设备，并连接成功
3、上位机和HMI都配置失败</t>
  </si>
  <si>
    <t>Function_AcuRev1320_48_02_case10</t>
  </si>
  <si>
    <t>验证Foreign Device Enable 设置为 ON，跨网段环境下的设备能正常发现并读取参数数据。</t>
  </si>
  <si>
    <t>1、Acuview2上位机
2、网线/RTU串口线
3、AcuRev1320电表
准备一台路由器</t>
  </si>
  <si>
    <t>1、将AcuRev1320接入192.168.1.x网段，将测试Yabe接入192.168.2.x网段
2、通过路由器确保两台设备之间能够 Ping 通
3、在Yabe设置中启用BBMD功能（或者使用专门的BBMD），将其 IP 设为 192.168.2.20。
4、上位机/HMI设置：
Foreign Device Enable：enable
Foreign Device Enable：192.168.2.20
UDP Port：默认的 47808
Time-to-Live (TTL)：60
5、Yabe软件通过BACnet /IP重新扫描网络。
6、设备断电重启</t>
  </si>
  <si>
    <t>4、上位机和HMI都修改保存成功；
5、Yabe能发现电表设备，并通信成功
6、重启之后，重新正常建立通信，配置未丢失</t>
  </si>
  <si>
    <t>Function_AcuRev1320_48_02_case11</t>
  </si>
  <si>
    <t>Foreign Device Enable 设置为 OFF，跨网段环境下的设备无法发现和连接</t>
  </si>
  <si>
    <t>1、将AcuRev1320接入192.168.1.x网段，将测试Yabe接入192.168.2.x网段
2、通过路由器确保两台设备之间能够 Ping 通
3、在Yabe设置中启用BBMD功能（或者使用专门的BBMD），将其 IP 设为 192.168.2.20。
4、上位机/HMI设置：
Foreign Device Enable：disable
Foreign Device Enable：192.168.2.20
UDP Port：默认的 47808
Time-to-Live (TTL)：60
5、Yabe软件通过BACnet /IP重新扫描网络。
6、设备断电重启,重新执行步骤4将Foreign Device Enable设为enable</t>
  </si>
  <si>
    <t>4、上位机和HMI都修改保存成功；
5、Yabe无法发现设备，不能建立通信
6、重启之后，配置更新正常，成功建立通信</t>
  </si>
  <si>
    <t>Function_AcuRev1320_48_02_case12</t>
  </si>
  <si>
    <t>Foreign Device UDP Port 配置为边界值 1 和 65535，验证注册报文的目的端口准确。</t>
  </si>
  <si>
    <t>Function_AcuRev1320_48_02_case13</t>
  </si>
  <si>
    <t>Foreign Device TTL 配置为 60 秒，验证报文生命周期为 60s，且设备到期前会自动发出续签报文维持状态</t>
  </si>
  <si>
    <t>Function_AcuRev1320_48_02_case14</t>
  </si>
  <si>
    <t>Foreign Device TTL 配置为边界值 0 和 65535 秒，验证设备连接状态是否符合规范</t>
  </si>
  <si>
    <t>Function_AcuRev1320_48_02_case15</t>
  </si>
  <si>
    <t>验证跨网段环境下的写入操作（Device Description）</t>
  </si>
  <si>
    <t xml:space="preserve">1、跨网段场景下向Description寄存器写入字符串。
2、使用Yabe软件检查Description属性和Database_Revision属性
3、电表断电重启，使用Yabe软件查看数据。
</t>
  </si>
  <si>
    <t>1、Description写入成功
2、检查Description为修改后的内容，Database_Revision加1
3、重启后Description保持修改后的内容，Database_Revision值不丢失</t>
  </si>
  <si>
    <t>Function_AcuRev1320_48_02_case16</t>
  </si>
  <si>
    <t>验证 BBMD 不可用恢复后的跨网段环境下的设备发现与对象读取。</t>
  </si>
  <si>
    <t>1、将AcuRev1320接入子网A（192.168.1.x），将运行Yabe的电脑接入子网B（192.168.2.x），通过路由器确保两网段Ping通。
2、在Yabe设置中启用BBMD功能，将其IP设为192.168.2.20。
3、通过上位机/HMI设置 Foreign Device Enable：ON (Enable)
BBMD IP Address：192.168.2.20
UDP Port：47808
Time-to-Live (TTL)：60s
4、使用Yabe软件通过BACnet /IP的方式扫描网络，确认能发现设备并成功读取实时参数
5、关闭Yabe软件（或暂时禁用BBMD功能/断开电脑网线），持续时间大于TTL设定的60秒。
6、使用Yabe软件通过BACnet /IP的方式重新扫描网络，确认无法发现及读取
7、重新开启Yabe的BBMD功能（或插回网线）等待设备下一个TTL周期。
8、再次使用Yabe软件通过BACnet /IP的方式重新扫描网络，并读取设备对象参数。</t>
  </si>
  <si>
    <t>1-4、跨网段通信正常，Yabe能搜索到Device并读取电压/电流数据。
5-6、Yabe无法搜索到设备，无法建立通信。
8、 Yabe软件通过BACnet /IP的方式重新扫描网络发现设备并建立通信，且数据读取功能正常</t>
  </si>
  <si>
    <t>Function_AcuRev1320_48_02_case17</t>
  </si>
  <si>
    <t>网络工具读取 Device 对象的 Vendor ID/Name/Model</t>
  </si>
  <si>
    <t>1、使用Yabe软件通过BACnet /IP连接电表对象；
2、查看 Vendor ID/Name/Model属性字段。</t>
  </si>
  <si>
    <t>2、Yabe属性显示与电表信息一致
例如： 
Vendor ID: 631
Vendor Name: Accuenergy (CANADA) Inc.
Model: AcuRev1320 Series</t>
  </si>
  <si>
    <t>Function_AcuRev1320_48_02_case18</t>
  </si>
  <si>
    <t>恢复默认状态，网络工具读取 Device Description，验证初始值为 AcuDC-260</t>
  </si>
  <si>
    <t>1、上位机配置 Device Description为“AcuRev1320-05”；
2、使用Yabe软件通过BACnet /IP方式连接并检查Description属性
3、上位机执行恢复出厂设置操作
4、使用Yabe软件检查Description属性</t>
  </si>
  <si>
    <t>2、读取Description值为“AcuRev1320-05”
4、读取Description值为“AcuRev1320”</t>
  </si>
  <si>
    <t>Function_AcuRev1320_48_02_case19</t>
  </si>
  <si>
    <t>通过 Modbus 写入 Description，验证网络读取的 BACnet 描述同步更新，且 Database_Revision 自动加 1</t>
  </si>
  <si>
    <t>1、通过Modbus 向Description寄存器写入字符串
2、使用Yabe软件检查Description属性和Database_Revision属性
3、再次通过Modbus TCP向Description寄存器写入字符串
4、使用Yabe软件检查Description属性和Database_Revision属性</t>
  </si>
  <si>
    <t>2、BACnet Description同步更新，Database_Revision读取到更改次数；
4、BACnet Description同步更新，Database_Revision自动增加1。</t>
  </si>
  <si>
    <t>Function_AcuRev1320_48_02_case20</t>
  </si>
  <si>
    <t>通过 Modbus 连续修改 Description 5 次，验证网络读取 Database_Revision 精准累加 5</t>
  </si>
  <si>
    <t>1、通过Modbus连续修改Description内容5次；
2、使用Yabe软件检查Database_Revision属性。</t>
  </si>
  <si>
    <t>2、Database_Revision数值自动增加5。</t>
  </si>
  <si>
    <t>Function_AcuRev1320_48_02_case21</t>
  </si>
  <si>
    <t xml:space="preserve">通过 Modbus 写入 Description 边界长度(15个字符)，验证网络 BACnet 读取完整Description </t>
  </si>
  <si>
    <t xml:space="preserve">1、通过Modbus 向Description寄存器写入25个字节的字符串
2、使用Yabe软件检查Description属性	</t>
  </si>
  <si>
    <t>2、读取显示完整，无截断或乱码。</t>
  </si>
  <si>
    <t>Function_AcuRev1320_48_02_case22</t>
  </si>
  <si>
    <t xml:space="preserve"> 通过 Modbus 尝试写入超长 Description(大于15字符)，验证网络 BACnet合理截断或拒绝写入且不崩溃</t>
  </si>
  <si>
    <t xml:space="preserve">1、通过Modbus 向Description寄存器写入大于25个字节的字符串
2、使用Yabe软件检查Description属性	</t>
  </si>
  <si>
    <t>1、Description拒绝写入；
2、设备通信正常，Description属性没有被修改</t>
  </si>
  <si>
    <t>Function_AcuRev1320_48_02_case23</t>
  </si>
  <si>
    <t>成功修改 Description 后断电重启，验证重启后自定义 Description 及累加的 Revision 不丢失</t>
  </si>
  <si>
    <t>1、通过Modbus修改Description并观察Revision增加；
2、电表断电重启，使用Yabe软件查看数据。</t>
  </si>
  <si>
    <t>1、Database_Revision值加1
2、自定义Description保持修改后的内，Database_Revision值不丢失。</t>
  </si>
  <si>
    <t>Function_AcuRev1320_48_02_case24</t>
  </si>
  <si>
    <t>网络客户端读取设备的实时量 (电压/电流/功率等) 寄存器对象成功 (DS-RP-B)</t>
  </si>
  <si>
    <t xml:space="preserve">1、使用Yabe软件通过BACNet IP的方式连接AcuRev1320
2、Yabe软件Address Space中选择（Real time）其中的任意一个
3、检查返回的值为vlaue1
</t>
  </si>
  <si>
    <t>2、报文发送成功，响应数据帧正确
3、返回的值vlaue1正确。与HMI或上位机展示的读取实时值数据一致（数据实时刷新，存在一定波动，此处满足精度范围即可接受）</t>
  </si>
  <si>
    <t>BACnet/IP功能</t>
  </si>
  <si>
    <t>Function_AcuRev1320_48_02_case25</t>
  </si>
  <si>
    <t>网络客户端读取设备的电能寄存器对象成功</t>
  </si>
  <si>
    <t xml:space="preserve">1、使用Yabe软件通过BACNet IP的方式连接AcuDC262
2、Yabe软件Address Space中选择（energy/charge）其中的任意一个
3、检查返回的值为vlaue1
</t>
  </si>
  <si>
    <t>Function_AcuRev1320_48_02_case26</t>
  </si>
  <si>
    <t>网络客户端读取设备的需量寄存器对象成功</t>
  </si>
  <si>
    <t xml:space="preserve">1、使用Yabe软件通过BACNet IP的方式连接AcuDC262
2、Yabe软件Address Space中选择（Demand）其中的任意一个
3、检查返回的值为vlaue1
</t>
  </si>
  <si>
    <t>Function_AcuRev1320_48_02_case27</t>
  </si>
  <si>
    <t>网络客户端使读取多个寄存器对象，验证回复无报错 (DS-RPM-B)</t>
  </si>
  <si>
    <t xml:space="preserve">1、使用Yabe软件通过BACNet IP的方式连接AcuDC262
2、Yabe软件Address Space中一次性读取多个寄存器（&gt;10个）
3、检查返回的值
</t>
  </si>
  <si>
    <t>2、报文发送成功，响应数据帧正确
3、正常返回的多个值。与HMI或上位机展示的读取实时数据一致</t>
  </si>
  <si>
    <t>Function_AcuRev1320_48_02_case28</t>
  </si>
  <si>
    <t>网络客户端发送带范围/不带范围的 Who-Is，验证目标设备回复 I-Am 报文 (DM-DDB-B)</t>
  </si>
  <si>
    <t>1、上位机和HMI修改Device Instance为200
2、使用Yabe软件通过BACnet/IP的方式连接AcuRev1320
3、使用Yabe软件通过BACnet/IP的方式设置Who-Is（Low: 500, High: 600）连接AcuRev1320
4、使用Yabe软件通过BACnet/IPP的方式设置Who-Is（Low: 1, High: 600）连接AcuRev1320</t>
  </si>
  <si>
    <t>2、连接成功，找到ID为200的电表设备
3、连接失败，没有招待ID为200的电表设备
4、2、连接成功，找到ID为200的电表设备</t>
  </si>
  <si>
    <t>Function_AcuRev1320_48_02_case29</t>
  </si>
  <si>
    <t>网络客户端发送 Who-Has，验证目标设备准确回复 I-Have 报文 (DM-DOB-B)</t>
  </si>
  <si>
    <t>1、使用 BACnet 测试工具连接到AcuRev1320。
2、构造并发送一个 Who-Has 请求，查询设备内的 V_Source
3、查看 Yabe 底部 Log 窗口返回情况</t>
  </si>
  <si>
    <t>2、Who-Has 请求发送成功
3、 Yabe 返回AcuDC-262设备的 V_Source信息</t>
  </si>
  <si>
    <t>Function_AcuRev1320_48_02_case32</t>
    <phoneticPr fontId="10" type="noConversion"/>
  </si>
  <si>
    <t>接入 1 个 BACnet/IP 客户端，持续 5 分钟读取电气测量，验证设备通信稳定无重启</t>
  </si>
  <si>
    <t>1、使用Yabe通过BACnet IP的方式连接AcuRev1320
2、5mins超时范围内，任意时刻发送读取数据报文：
3、观察BACnet /IP链接是否稳定。</t>
  </si>
  <si>
    <t>2、5mins超时范围内，任意时刻读取数据成功
3、5mins超时范围内，BACnet /IP链接稳定</t>
  </si>
  <si>
    <t>Function_AcuRev1320_48_02_case33</t>
  </si>
  <si>
    <t>2台电表接入同局域网配置不同 IP 及 ID(1和2)，通过 Niagara 并发连接，验证读取测量值准确且不串线</t>
  </si>
  <si>
    <t>1、配置第一个电表的BacNet MS/TP ID和BacNet MS/TP Meter Address 为1
2、配置第二个电表的BacNet MS/TP ID和BacNet MS/TP Meter Address 为2
3、第一个电表不加源
4、第二个电表加源，电压全部为120V、电流全部为4A
5、niagara工具先后连接两个电表，检查real-time数值</t>
  </si>
  <si>
    <t>Function_AcuRev1320_48_02_case34</t>
  </si>
  <si>
    <t>10 台电表接入同局域网配置不同 IP 及 ID(1到10)，通过niagara 工具连接，验证可以正常连接，且可以持续稳定的保持连接状态</t>
  </si>
  <si>
    <t>Function_AcuRev1320_48_02_case35</t>
  </si>
  <si>
    <t>BACnet/IP配置修改后断电重启，验证IP地址/UDP端口/Device Instance等配置持久化</t>
  </si>
  <si>
    <t>1、上位机配置BACnet/IP相关参数（UDP Port、Device Instance等）
2、对AcuRev1320进行断电重启
3、设备重启后，使用Yabe重新扫描并连接
4、上位机读取当前BACnet/IP配置</t>
  </si>
  <si>
    <t>3、Yabe使用原配置成功重新连接设备
4、上位机读取的配置与重启前一致，无参数丢失</t>
  </si>
  <si>
    <t>Function_AcuRev1320_48_02_case36</t>
  </si>
  <si>
    <t>BACnet/IP网络中断后恢复：拔插网线，验证设备自动重连，历史数据不丢失</t>
  </si>
  <si>
    <t>1、Yabe通过BACnet/IP连接AcuRev1320并持续读取数据
2、拔除AcuRev1320网线，持续60秒
3、重新插入网线
4、Yabe重新扫描设备并读取数据</t>
  </si>
  <si>
    <t>2、Yabe显示连接断开，读取失败
4、Yabe重新连接成功，读取数据正常，历史电能数据未丢失</t>
  </si>
  <si>
    <t>Function_AcuRev1320_48_02_case37</t>
  </si>
  <si>
    <t>同时开启BACnet/IP与Modbus TCP，验证两种协议并发读取数据正常，互不干扰</t>
  </si>
  <si>
    <t>1、确保AcuRev1320同时开启BACnet/IP和Modbus TCP
2、Yabe通过BACnet/IP持续读取实时量
3、同时使用Modbus Poll工具通过Modbus TCP读取同一电气参数
4、对比两者读取的数值</t>
  </si>
  <si>
    <t>2-3、两种协议均能持续正常读取数据，无超时或报错
4、BACnet/IP与Modbus TCP读取的数值在精度范围内一致</t>
  </si>
  <si>
    <t>Function_AcuRev1320_48_02_case38</t>
    <phoneticPr fontId="37" type="noConversion"/>
  </si>
  <si>
    <t>BACnet/IP实时量数值精度验证：读取电压、电流、功率与上位机显示一致（误差在规格范围内）</t>
  </si>
  <si>
    <t>1、施加已知量程的电压（如120V）和电流（如5A）至AcuRev1320
2、使用Yabe通过BACnet/IP读取Voltage/Current/Power对象
3、同时查看上位机Acuview2显示的同一测量值
4、计算Yabe读取值与上位机显示值的偏差</t>
  </si>
  <si>
    <t>4、Yabe读取值与上位机显示值偏差在规格精度范围内（如±0.5%），且与施加量值吻合</t>
  </si>
  <si>
    <t>Protocol_AcuRev1320_48_03_case01</t>
    <phoneticPr fontId="10" type="noConversion"/>
  </si>
  <si>
    <t>【协议】BACnet/IP BVLC层验证：抓包确认UDP报文包含正确BVLC Function Code（Original-Unicast-NPDU=0x0A）</t>
  </si>
  <si>
    <t>1、Acuview2上位机
2、网线/RTU串口线
3、AcuRev1320电表
4、Wireshark</t>
  </si>
  <si>
    <t>1、使用Yabe通过BACnet/IP发送ReadProperty单播请求
2、用Wireshark在47808端口抓取UDP报文
3、解析BVLC层字段</t>
  </si>
  <si>
    <t>3、BVLC Type=0x81，BVLC Function=0x0A(Original-Unicast-NPDU)，BVLC Length正确，符合BACnet/IP规范（RFC/ASHRAE 135 Annex J）</t>
  </si>
  <si>
    <t>协议测试</t>
  </si>
  <si>
    <t>Protocol_AcuRev1320_48_03_case02</t>
  </si>
  <si>
    <t>【协议】BACnet/IP广播报文BVLC验证：Who-Is广播抓包确认BVLC Function为Original-Broadcast-NPDU（0x0B）</t>
  </si>
  <si>
    <t>1、使用Yabe发送Who-Is全局广播
2、Wireshark抓取255.255.255.255:47808或子网广播地址的UDP报文
3、解析BVLC层和NPDU层</t>
  </si>
  <si>
    <t>3、BVLC Function=0x0B(Original-Broadcast-NPDU)，NPDU的Destination Specifier正确（广播），符合BACnet/IP规范</t>
  </si>
  <si>
    <t>Protocol_AcuRev1320_48_03_case03</t>
  </si>
  <si>
    <t>【协议】APDU分段传输（Segmentation）验证：读取超长属性列表时，验证设备正确分段回复或报告不支持分段</t>
  </si>
  <si>
    <t>1、使用Yabe构造ReadPropertyMultiple请求，一次性请求所有对象的所有属性（All Properties）
2、Wireshark抓取响应报文
3、检查APDU PDU Type及Segmented标志</t>
  </si>
  <si>
    <t>3、若设备支持分段：响应分多个Segment APDU，Sequence Number递增，More Segments标志正确，最终数据完整
若不支持分段：返回AbortAPDU，Abort Reason=Segmentation-Not-Supported</t>
  </si>
  <si>
    <t>Protocol_AcuRev1320_48_03_case04</t>
  </si>
  <si>
    <t>【协议】NPDU路由层验证：跨网段场景下，抓包确认NPDU包含正确的Source/Destination网络号和MAC地址</t>
  </si>
  <si>
    <t>1、Acuview2上位机
2、网线/RTU串口线
3、AcuRev1320电表
4、路由器及Wireshark</t>
  </si>
  <si>
    <t>1、搭建跨网段环境（子网A：电表，子网B：Yabe）
2、启用Foreign Device，通过BBMD进行跨网段通信
3、Wireshark在两个网段分别抓包
4、解析NPDU层字段</t>
  </si>
  <si>
    <t>4、NPDU中Destination Network Number等于对端网络号，Source Network Number正确，MAC地址长度与地址内容符合规范，Hop Count正确递减</t>
  </si>
  <si>
    <t>Protocol_AcuRev1320_48_03_case05</t>
  </si>
  <si>
    <t>【协议】APDU超时重传验证：模拟网络丢包，抓包确认设备按APDU Retry Max次数重发Confirmed请求</t>
  </si>
  <si>
    <t>1、Acuview2上位机
2、网线/RTU串口线
3、AcuRev1320电表
4、网络损伤仪或iptables模拟丢包、Wireshark</t>
  </si>
  <si>
    <t>1、上位机配置APDU Retry Max=3，APDU Timeout=3000ms
2、使用网络工具模拟50%丢包率
3、Yabe发起ReadProperty请求
4、Wireshark抓取所有重传报文</t>
  </si>
  <si>
    <t>4、Wireshark可见同一Invoke ID的请求重传次数不超过3次；超过3次后Yabe报告超时错误，设备通信机制符合BACnet标准</t>
  </si>
  <si>
    <t>Protocol_AcuRev1320_48_03_case06</t>
  </si>
  <si>
    <t>【协议】Foreign Device注册报文验证（Register-Foreign-Device）：抓包确认设备发送正确的BVLC注册报文至BBMD</t>
  </si>
  <si>
    <t>1、Acuview2上位机
2、网线/RTU串口线
3、AcuRev1320电表
4、Wireshark，BBMD设备</t>
  </si>
  <si>
    <t>1、配置AcuDC262 Foreign Device Enable=ON，BBMD IP和TTL=60s
2、Wireshark在BBMD侧抓包
3、解析Register-Foreign-Device报文</t>
  </si>
  <si>
    <t>3、BVLC Function=0x05(Register-Foreign-Device)，TTL字段与配置值一致（60s），源IP为AcuDC262的IP地址；BBMD回复0x00(Result)且Result Code=0x0000（成功）</t>
  </si>
  <si>
    <t>Protocol_AcuRev1320_48_03_case07</t>
  </si>
  <si>
    <t>【协议】ReadProperty APDU Invoke ID唯一性验证：并发发送多个请求时，每个Confirmed请求的Invoke ID不重复</t>
  </si>
  <si>
    <t>1、使用自动化脚本通过BACnet/IP快速连续发送10个ReadProperty请求
2、Wireshark抓取所有请求报文
3、统计各请求的Invoke ID值</t>
  </si>
  <si>
    <t>3、10个请求的Invoke ID各不相同（0-255范围内循环使用），响应报文的Invoke ID与对应请求匹配，无混淆</t>
  </si>
  <si>
    <t>Protocol_AcuRev1320_48_03_case08</t>
  </si>
  <si>
    <t>【协议】BACnet对象类型和属性符合性验证：AI对象必须包含Present_Value、Units、Description、Out_Of_Service等必选属性</t>
  </si>
  <si>
    <t>其他</t>
    <phoneticPr fontId="10" type="noConversion"/>
  </si>
  <si>
    <t>上位机布局</t>
    <phoneticPr fontId="10" type="noConversion"/>
  </si>
  <si>
    <t>Function_AcuRev1320_49_01_case01</t>
    <phoneticPr fontId="10" type="noConversion"/>
  </si>
  <si>
    <t>Moving Average展示1321和1322有区别</t>
    <phoneticPr fontId="10" type="noConversion"/>
  </si>
  <si>
    <t>1、检查1321上位机Reading 界面是否无的Moving Average 展示
2、检查1321上位机Reading 界面是否有的Moving Average 展示</t>
    <phoneticPr fontId="10" type="noConversion"/>
  </si>
  <si>
    <t>1、1321上位机Reading 界面无的Moving Average 展示
2、1322上位机Reading 界面有的Moving Average 展示</t>
    <phoneticPr fontId="10" type="noConversion"/>
  </si>
  <si>
    <t>Function_AcuRev1320_49_01_case02</t>
    <phoneticPr fontId="10" type="noConversion"/>
  </si>
  <si>
    <t>上位机Real-Time和Energy &amp; Demand名字设计</t>
    <phoneticPr fontId="10" type="noConversion"/>
  </si>
  <si>
    <t>1、检查上位机UI设计是否满足如下要求:
a、5个页面名字分别改为：1 Cycle，10/12 Cycle，150/180 Cycle，10min Aggregation，2hr Aggregation
b、上位机Phase Angle后面加上单位（°），单位kVar改为kvar
c、Phase Angles页面放到Real-Time Reading页面。
d、三个表格配置Clear按钮，Energy、Max/min、Max Demand，可以接受独立和非独立模式一个模式clear 另一个模式对应的也会擦掉。
e、Real-Time和Energy &amp; Demand名字设计：在独立和非独立模式下，采用一样的命名，代码内部区分</t>
    <phoneticPr fontId="10" type="noConversion"/>
  </si>
  <si>
    <t>a、5个页面名字分别改为：1 Cycle，10/12 Cycle，150/180 Cycle，10min Aggregation，2hr Aggregation
b、上位机Phase Angle后面加上单位（°），单位kVar改为kvar
c、Phase Angles页面放到Real-Time Reading页面。
d、三个表格配置Clear按钮，Energy、Max/min、Max Demand，可以接受独立和非独立模式一个模式clear 另一个模式对应的也会擦掉。
e、Real-Time和Energy &amp; Demand名字设计：在独立和非独立模式下，采用一样的命名</t>
    <phoneticPr fontId="10" type="noConversion"/>
  </si>
  <si>
    <t>1321和1322区分</t>
    <phoneticPr fontId="10" type="noConversion"/>
  </si>
  <si>
    <t>Function_AcuRev1320_49_01_case03</t>
    <phoneticPr fontId="10" type="noConversion"/>
  </si>
  <si>
    <t>1321和1322区分验证</t>
    <phoneticPr fontId="10" type="noConversion"/>
  </si>
  <si>
    <t>1、串口工具设置电表类型：1321和1322
Function Model Type：0/1——1321
Function Model Type：2——1322
2、上位机检查1321和1322电表参数</t>
    <phoneticPr fontId="10" type="noConversion"/>
  </si>
  <si>
    <t>2、多出差异:
1322 多出来的需求: PQ Compliance、Flicker、PQ Events、Waveform
其他差异:
1、1322有：With aggregation ，需要测试200ms，3s，10min，2h的聚合， 1321 只有200 ms update
2、1322有: 1 cycle update，10、12 cycle update，150、180 cycle update，10min Aggregation update，2hr Aggregation update, 1320只有：200 ms update</t>
    <phoneticPr fontId="10" type="noConversion"/>
  </si>
  <si>
    <r>
      <t>CT选型5A/333mV，输入三路电流分别为</t>
    </r>
    <r>
      <rPr>
        <sz val="10"/>
        <color theme="1"/>
        <rFont val="微软雅黑"/>
        <family val="2"/>
        <charset val="134"/>
      </rPr>
      <t>（0.05，0.05，0.05）,在上位机上分别配置为对应A相、B相、C相，测量Ia,Ib,Ic,Iavg满足精度0.1%</t>
    </r>
    <phoneticPr fontId="10" type="noConversion"/>
  </si>
  <si>
    <r>
      <t xml:space="preserve">3、Acuview2上和HMI上检查交流电相电流均在精度范围内
</t>
    </r>
    <r>
      <rPr>
        <sz val="10"/>
        <color theme="1"/>
        <rFont val="微软雅黑"/>
        <family val="2"/>
        <charset val="134"/>
      </rPr>
      <t>Ia： 0.04995 ~ 0.05005
Ib: 0.04995 ~ 0.05005
Ic: 0.04995 ~ 0.05005
Iavg: 0.04995 ~ 0.05005</t>
    </r>
  </si>
  <si>
    <r>
      <t>CT选型5A/333mV，输入一路电流分别为</t>
    </r>
    <r>
      <rPr>
        <sz val="10"/>
        <color theme="1"/>
        <rFont val="微软雅黑"/>
        <family val="2"/>
        <charset val="134"/>
      </rPr>
      <t>（6A），在上位机均配置为对应A相，测量Ia,Ib,Ic,Iavg满足精度0.1%</t>
    </r>
    <phoneticPr fontId="10" type="noConversion"/>
  </si>
  <si>
    <r>
      <t xml:space="preserve">3、Acuview2上和HMI上检查交流电相电流均在精度范围内
</t>
    </r>
    <r>
      <rPr>
        <sz val="10"/>
        <color theme="1"/>
        <rFont val="微软雅黑"/>
        <family val="2"/>
        <charset val="134"/>
      </rPr>
      <t>Ia： 5.994 ~ 6.006
Ib: 0 ~ 0
Ic: 0 ~ 0
Iavg: 1.998 ~ 2.002</t>
    </r>
  </si>
  <si>
    <r>
      <t>3、Acuview2上和HMI上检查电流Input n均在精度范围内，
I_n:	1.73A</t>
    </r>
    <r>
      <rPr>
        <strike/>
        <sz val="8"/>
        <color theme="1"/>
        <rFont val="微软雅黑"/>
        <family val="2"/>
        <charset val="134"/>
      </rPr>
      <t xml:space="preserve">   150°
</t>
    </r>
    <phoneticPr fontId="10" type="noConversion"/>
  </si>
  <si>
    <r>
      <t xml:space="preserve">3、Acuview2上和HMI上检查电流Input n均在精度范围内，
I_n:	1.553A  </t>
    </r>
    <r>
      <rPr>
        <strike/>
        <sz val="8"/>
        <color theme="1"/>
        <rFont val="微软雅黑"/>
        <family val="2"/>
        <charset val="134"/>
      </rPr>
      <t xml:space="preserve"> 225°
</t>
    </r>
  </si>
  <si>
    <r>
      <t xml:space="preserve">3、Acuview2上和HMI上检查电流Input n均在精度范围内，
I_n:	1.73A  </t>
    </r>
    <r>
      <rPr>
        <strike/>
        <sz val="8"/>
        <color theme="1"/>
        <rFont val="微软雅黑"/>
        <family val="2"/>
        <charset val="134"/>
      </rPr>
      <t xml:space="preserve"> 150°
</t>
    </r>
  </si>
  <si>
    <r>
      <t xml:space="preserve">3、Acuview2上和HMI上检查电流Input n均在精度范围内，
I_n:	1.553A   </t>
    </r>
    <r>
      <rPr>
        <strike/>
        <sz val="8"/>
        <color theme="1"/>
        <rFont val="微软雅黑"/>
        <family val="2"/>
        <charset val="134"/>
      </rPr>
      <t xml:space="preserve">225°
</t>
    </r>
  </si>
  <si>
    <r>
      <t>CT选型5A/333mV，3ELEMENT_4_WIRE_Y接线输入Input1~3(A&amp;B&amp;C相)电流为(3A、3A、3A)，ABC电压均为69V,电压相角θ和电流相角ϕ差值为</t>
    </r>
    <r>
      <rPr>
        <b/>
        <sz val="8"/>
        <color theme="1"/>
        <rFont val="微软雅黑"/>
        <family val="2"/>
        <charset val="134"/>
      </rPr>
      <t>0°</t>
    </r>
    <r>
      <rPr>
        <sz val="8"/>
        <color theme="1"/>
        <rFont val="微软雅黑"/>
        <family val="2"/>
        <charset val="134"/>
      </rPr>
      <t>，测量A&amp;B&amp;C的P、Q、S、PF,系统P、Q、S、PF，input1~3通道P、Q、S、PF，功率精度满足0.1%</t>
    </r>
  </si>
  <si>
    <r>
      <t>CT选型5A/333mV，3ELEMENT_4_WIRE_Y接线输入Input1~3(A&amp;B&amp;C相)电流为(0.05,</t>
    </r>
    <r>
      <rPr>
        <strike/>
        <sz val="8"/>
        <color theme="1"/>
        <rFont val="微软雅黑"/>
        <family val="2"/>
        <charset val="134"/>
      </rPr>
      <t xml:space="preserve">0.04, </t>
    </r>
    <r>
      <rPr>
        <sz val="8"/>
        <color theme="1"/>
        <rFont val="微软雅黑"/>
        <family val="2"/>
        <charset val="134"/>
      </rPr>
      <t>0.06， 0.05)，ABC电压均为220V，电压电流相角差值为0°，测量A&amp;B&amp;C相、系统、input通道P、Q、S、PF，功率精度满足0.2%</t>
    </r>
  </si>
  <si>
    <r>
      <t>1、连接AcuRev1320电表到Acuview2上，链接状态为connected
2、Input1~3(A&amp;B&amp;C相)电流为(0.05,</t>
    </r>
    <r>
      <rPr>
        <strike/>
        <sz val="8"/>
        <color theme="1"/>
        <rFont val="微软雅黑"/>
        <family val="2"/>
        <charset val="134"/>
      </rPr>
      <t>0.04</t>
    </r>
    <r>
      <rPr>
        <sz val="8"/>
        <color theme="1"/>
        <rFont val="微软雅黑"/>
        <family val="2"/>
        <charset val="134"/>
      </rPr>
      <t>,0.06， 0.05)， 电压均为220V
3、电压相角θ和电流相角ϕ差值为0°
5、Acuview2上和HMI上检查测量A&amp;B&amp;C、系统、input通道的P、Q、S、PF是否均在精度范围内，</t>
    </r>
    <phoneticPr fontId="10" type="noConversion"/>
  </si>
  <si>
    <r>
      <t>5、Acuview2上和HMI上检查测量A&amp;B&amp;C、系统、input通道的P、Q、S、PF，功率测量值无精度要求
备注：mV启动电</t>
    </r>
    <r>
      <rPr>
        <b/>
        <sz val="8"/>
        <color theme="1"/>
        <rFont val="微软雅黑"/>
        <family val="2"/>
        <charset val="134"/>
      </rPr>
      <t>流0.00375A，故功率为0</t>
    </r>
    <phoneticPr fontId="10" type="noConversion"/>
  </si>
  <si>
    <r>
      <t>CT选型5A/333mV, 2 ELEMENT_3_WIRE_PHASE_1输入InputA、InputC电流为(6A 6A)，ABC电压均为120V,电压相角θ和电流相角ϕ差值为</t>
    </r>
    <r>
      <rPr>
        <b/>
        <sz val="8"/>
        <color theme="1"/>
        <rFont val="微软雅黑"/>
        <family val="2"/>
        <charset val="134"/>
      </rPr>
      <t>60</t>
    </r>
    <r>
      <rPr>
        <sz val="8"/>
        <color theme="1"/>
        <rFont val="微软雅黑"/>
        <family val="2"/>
        <charset val="134"/>
      </rPr>
      <t>°,测量系统P、Q、S、PF，inputA、C通道P、Q、S、PF，功率精度满足</t>
    </r>
    <r>
      <rPr>
        <b/>
        <sz val="8"/>
        <color theme="1"/>
        <rFont val="微软雅黑"/>
        <family val="2"/>
        <charset val="134"/>
      </rPr>
      <t>0.15%</t>
    </r>
  </si>
  <si>
    <r>
      <t>CT选型5A/333mV, 2 ELEMENT_3_WIRE_PHASE_1输入Input</t>
    </r>
    <r>
      <rPr>
        <b/>
        <sz val="8"/>
        <color theme="1"/>
        <rFont val="微软雅黑"/>
        <family val="2"/>
        <charset val="134"/>
      </rPr>
      <t>A、C</t>
    </r>
    <r>
      <rPr>
        <sz val="8"/>
        <color theme="1"/>
        <rFont val="微软雅黑"/>
        <family val="2"/>
        <charset val="134"/>
      </rPr>
      <t>电流为(6A 6A)，修改电流方向Negative，ABC电压均为69V,电压相角θ和电流相角ϕ差值为0°,测量系统P、Q、S、PF，inputA、C通道P、Q、S、PF，功率精度满足0.1%</t>
    </r>
    <phoneticPr fontId="10" type="noConversion"/>
  </si>
  <si>
    <t>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4、Acuview2上和HMI上检查测量系统P、Q、S、PF是否均在精度范围内
备注：电压电流角度统一加30°</t>
    <phoneticPr fontId="10" type="noConversion"/>
  </si>
  <si>
    <r>
      <t>3ELEMENT_4_WIRE_Y接线输入Input1~3(A&amp;B&amp;C相)电流为(3A、4A、5A)，ABC电压均为220V,电压电流相角ϕ差值为</t>
    </r>
    <r>
      <rPr>
        <b/>
        <sz val="8"/>
        <color theme="1"/>
        <rFont val="微软雅黑"/>
        <family val="2"/>
        <charset val="134"/>
      </rPr>
      <t>30°</t>
    </r>
    <r>
      <rPr>
        <sz val="8"/>
        <color theme="1"/>
        <rFont val="微软雅黑"/>
        <family val="2"/>
        <charset val="134"/>
      </rPr>
      <t>，无功功率算法设置“True Reactive Power”，测量A&amp;B&amp;C的Q,系统Q，input1~3通道Q，功率精度满足0.15%
3ELEMENT_4_WIRE_Y接线输入Input1~3(A&amp;B&amp;C相)电流为(3A、4A、5A)，ABC电压均为220V,电压电流相角ϕ差值为60°,三相电压叠加5次谐波(30%)，无功功率算法设置“Generic Reactive Power”，测量A&amp;B&amp;C的Q,系统Q，input1~3通道Q，功率精度满足0.15%</t>
    </r>
  </si>
  <si>
    <r>
      <t>CT选型20A/100mA，3ELEMENT_4_WIRE_Y接线输入Input1~3(A&amp;B&amp;C相)电流为(2A)，ABC电压均为220V,电压电流相角差值为0°，</t>
    </r>
    <r>
      <rPr>
        <strike/>
        <sz val="8"/>
        <color theme="1"/>
        <rFont val="微软雅黑"/>
        <family val="2"/>
        <charset val="134"/>
      </rPr>
      <t>,</t>
    </r>
    <r>
      <rPr>
        <sz val="8"/>
        <color theme="1"/>
        <rFont val="微软雅黑"/>
        <family val="2"/>
        <charset val="134"/>
      </rPr>
      <t>测量A&amp;B&amp;C的,系统，input1~3通道P、Q、S、PF，功率精度满足0.1%</t>
    </r>
  </si>
  <si>
    <r>
      <t>CT选型5A/333mV，3ELEMENT_4_WIRE_Y接线输入Input1~3(A&amp;B&amp;C相)电流为(3A、3A、3A)，ABC电压均为120V,电压相角θ和电流相角ϕ差值为</t>
    </r>
    <r>
      <rPr>
        <b/>
        <sz val="8"/>
        <color theme="1"/>
        <rFont val="微软雅黑"/>
        <family val="2"/>
        <charset val="134"/>
      </rPr>
      <t>0°</t>
    </r>
    <r>
      <rPr>
        <sz val="8"/>
        <color theme="1"/>
        <rFont val="微软雅黑"/>
        <family val="2"/>
        <charset val="134"/>
      </rPr>
      <t>，验证上位机Real-time 聚合数据的各个页面A&amp;B&amp;C&amp;System的P、Q、S、PF,系统P、Q、S、PF，测量正常</t>
    </r>
  </si>
  <si>
    <t>4、上位机和电表上测量电表谐波参数(百分比)满足精度±0.15% 
5、检查web页面中谐波参数(百分比，谐波幅值，谐波角度)满足精度
备注: 使用excel公式计算具体值0.85~1.15
备注：4100项目不支持查看谐波角度
2026/4/3：DSP确认，谐波不考虑角度</t>
    <phoneticPr fontId="10" type="noConversion"/>
  </si>
  <si>
    <r>
      <t>设置ABC相电压均设置为120V，谐波含量百分比30%，谐波次数62，谐波相位</t>
    </r>
    <r>
      <rPr>
        <b/>
        <sz val="8"/>
        <color theme="1"/>
        <rFont val="微软雅黑"/>
        <family val="2"/>
        <charset val="134"/>
      </rPr>
      <t>180°</t>
    </r>
    <r>
      <rPr>
        <sz val="8"/>
        <color theme="1"/>
        <rFont val="微软雅黑"/>
        <family val="2"/>
        <charset val="134"/>
      </rPr>
      <t xml:space="preserve">，测量电表谐波参数(百分比，谐波幅值，谐波角度)满足精度5% </t>
    </r>
  </si>
  <si>
    <r>
      <t>设置ABC相电压均设置为120V，谐波含量百分比1%，  谐波次数62，谐波相位</t>
    </r>
    <r>
      <rPr>
        <b/>
        <sz val="8"/>
        <color theme="1"/>
        <rFont val="微软雅黑"/>
        <family val="2"/>
        <charset val="134"/>
      </rPr>
      <t>270°，</t>
    </r>
    <r>
      <rPr>
        <sz val="8"/>
        <color theme="1"/>
        <rFont val="微软雅黑"/>
        <family val="2"/>
        <charset val="134"/>
      </rPr>
      <t xml:space="preserve">测量电表谐波参数(百分比，谐波幅值，谐波角度)满足精度±0.15% </t>
    </r>
  </si>
  <si>
    <r>
      <t>输入</t>
    </r>
    <r>
      <rPr>
        <b/>
        <sz val="8"/>
        <color theme="1"/>
        <rFont val="微软雅黑"/>
        <family val="2"/>
        <charset val="134"/>
      </rPr>
      <t>3</t>
    </r>
    <r>
      <rPr>
        <sz val="8"/>
        <color theme="1"/>
        <rFont val="微软雅黑"/>
        <family val="2"/>
        <charset val="134"/>
      </rPr>
      <t xml:space="preserve">路电流10A，谐波含量百分比15%， 谐波次数9，谐波相位210°， 测量电表谐波参数(百分比，谐波幅值，谐波角度)满足精度5% </t>
    </r>
  </si>
  <si>
    <r>
      <rPr>
        <b/>
        <sz val="8"/>
        <color theme="1"/>
        <rFont val="微软雅黑"/>
        <family val="2"/>
        <charset val="134"/>
      </rPr>
      <t>输入1</t>
    </r>
    <r>
      <rPr>
        <sz val="8"/>
        <color theme="1"/>
        <rFont val="微软雅黑"/>
        <family val="2"/>
        <charset val="134"/>
      </rPr>
      <t xml:space="preserve">路电流5A，谐波百分比0.5%，谐波次数2， 谐波相位30°，测量电表谐波参数Input1_THD, Input1_OTHD,Input1_THD,Input1_KFactor测量准确 </t>
    </r>
    <phoneticPr fontId="10" type="noConversion"/>
  </si>
  <si>
    <r>
      <rPr>
        <b/>
        <sz val="8"/>
        <color theme="1"/>
        <rFont val="微软雅黑"/>
        <family val="2"/>
        <charset val="134"/>
      </rPr>
      <t>输入1</t>
    </r>
    <r>
      <rPr>
        <sz val="8"/>
        <color theme="1"/>
        <rFont val="微软雅黑"/>
        <family val="2"/>
        <charset val="134"/>
      </rPr>
      <t>路电流5A，谐波百分比10%，谐波次数5， 谐波相位60°，测量电表谐波参数Input1_THD, Input1_OTHD,Input1_THD,Input1_KFactor测量准确</t>
    </r>
    <phoneticPr fontId="10" type="noConversion"/>
  </si>
  <si>
    <r>
      <t xml:space="preserve">1、连接AcuRev1320电表到Acuview2上，连接状态为connected
2、UA、Ub、UC相电压分别为69V、80V、69V
3、VUF按照是否为5.046% 4.046%-6.046%
4、HMI和上位机上系统需分量角度幅值显示是否正确
5、检查Web页面中电压的不平衡因素VUF是否正确
备注: 3Element 4 Wire Y、2 Element 3 Wire Network正常显示 VUF 
</t>
    </r>
    <r>
      <rPr>
        <sz val="8"/>
        <color theme="1"/>
        <rFont val="微软雅黑"/>
        <family val="2"/>
        <charset val="134"/>
      </rPr>
      <t>2026/3/4：用例需要修改，1320network接线，UB为0
因此修改2、UA、Ub、UC相电压分别为69V、0V、80V
3、VUF按照是否为7%</t>
    </r>
    <phoneticPr fontId="10" type="noConversion"/>
  </si>
  <si>
    <r>
      <t xml:space="preserve">3、VUF为5.046% 4.046%-6.046%
4、HMI和上位机上系统需分量角度幅值显示正确，
正序、负序、零序（模值）: 72.667, 3.667，3.667
正序、负序、零序（角度）: 0°， 120°，240°
5、同上位机及表显示一致
</t>
    </r>
    <r>
      <rPr>
        <sz val="8"/>
        <color theme="1"/>
        <rFont val="微软雅黑"/>
        <family val="2"/>
        <charset val="134"/>
      </rPr>
      <t>3、VUF按照是否为7%</t>
    </r>
    <phoneticPr fontId="10" type="noConversion"/>
  </si>
  <si>
    <r>
      <t>3、VUF按照IUAB、UBC、UCA平均值计算，为16.9</t>
    </r>
    <r>
      <rPr>
        <b/>
        <sz val="8"/>
        <color theme="1"/>
        <rFont val="微软雅黑"/>
        <family val="2"/>
        <charset val="134"/>
      </rPr>
      <t>%，  没有精度要求</t>
    </r>
    <r>
      <rPr>
        <sz val="8"/>
        <color theme="1"/>
        <rFont val="微软雅黑"/>
        <family val="2"/>
        <charset val="134"/>
      </rPr>
      <t xml:space="preserve">
4、HMI和上位机上系统需分量为“-”
5、查看web页面数据与上位机及电表保持一致
备注: 2 Element 3 Wire Delta、3 Element 4Wire Delta 需分量参数 显示-
VUF :   2 Element 3 Wire Delta、3 Element 4 Wire Delta按照UAB、UBC、UCA平均值计算</t>
    </r>
    <phoneticPr fontId="10" type="noConversion"/>
  </si>
  <si>
    <r>
      <t xml:space="preserve">3、检查上位机和电表上电流的不平衡因素CUF满足精度1%，
</t>
    </r>
    <r>
      <rPr>
        <sz val="8"/>
        <color theme="1"/>
        <rFont val="微软雅黑"/>
        <family val="2"/>
        <charset val="134"/>
      </rPr>
      <t>CUF = 36.6%</t>
    </r>
    <r>
      <rPr>
        <sz val="8"/>
        <color theme="1"/>
        <rFont val="微软雅黑"/>
        <family val="2"/>
      </rPr>
      <t xml:space="preserve">
4、检查上位机和电表上其他user电流的不平衡因素CUF为“-”
备注:对称分量法可精确计算不平衡度VUF和CUF。
4、同上位机及电表显示一致
</t>
    </r>
    <r>
      <rPr>
        <sz val="8"/>
        <color theme="1"/>
        <rFont val="微软雅黑"/>
        <family val="2"/>
        <charset val="134"/>
      </rPr>
      <t xml:space="preserve">
2026/3/24;36.6%</t>
    </r>
    <phoneticPr fontId="10" type="noConversion"/>
  </si>
  <si>
    <r>
      <t xml:space="preserve">3、上位机和HMI上用户user1的I0(零序)，I1(正序)，I2(负序)测量模值为：”-“   ”-“
I0(零序)，I1(正序)，I2(负序)测量角度分别为：”-“   ”-“  ，电流矢量数据正确
4、用户user1的CUF 为33.3%
5、检查上位机中Sequence对应的电压矢量图无显示
6、检查web页面中相电压相电压V0(零序)，V1(正序)，V2(负序)测量模值和序分量角度是否与上位机保持一致，Sequence对应的电压矢量图无显示
</t>
    </r>
    <r>
      <rPr>
        <sz val="8"/>
        <color theme="1"/>
        <rFont val="微软雅黑"/>
        <family val="2"/>
        <charset val="134"/>
      </rPr>
      <t>备注：0424：4、36.6%</t>
    </r>
    <phoneticPr fontId="10" type="noConversion"/>
  </si>
  <si>
    <r>
      <t xml:space="preserve">3、上位机和HMI上用户user1的I0(零序)，I1(正序)，I2(负序)测量模值为：”-“   ”-“
I0(零序)，I1(正序)，I2(负序)测量角度分别为：”-“   ”-“  ，电流矢量数据正确
4、用户user1的CUF 为25%
5、检查上位机中Sequence对应的电压矢量图无显示
6、检查web页面中相电压相电压V0(零序)，V1(正序)，V2(负序)测量模值和序分量角度是否与上位机保持一致，Sequence对应的电压矢量图无显示
</t>
    </r>
    <r>
      <rPr>
        <sz val="8"/>
        <color theme="1"/>
        <rFont val="微软雅黑"/>
        <family val="2"/>
        <charset val="134"/>
      </rPr>
      <t>备注：0424：4、33.33%</t>
    </r>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</si>
  <si>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4、等待10mins。
5、上位机上和电表上检查系统W_p、W_q、W_s对应（Import、Export、Net、Total）电能精度是否满足0.1%
6、查看web页面中energy界面内energy相关数据是否与上位机及电表一致，且数据准确
</t>
    </r>
    <r>
      <rPr>
        <b/>
        <sz val="8"/>
        <color theme="1"/>
        <rFont val="微软雅黑"/>
        <family val="2"/>
        <charset val="134"/>
      </rPr>
      <t>备注：电压电流角度统一加30°</t>
    </r>
    <phoneticPr fontId="10" type="noConversion"/>
  </si>
  <si>
    <t>3、不同聚合方式下（20ms\200ms,3s\10min\2h），查看电表real-time数据显示是否正常，上位机按照1E2W进行显示
5、检查与《1320非独立模式不同接线方式参数显示 v1.00 20260410》是否一致。</t>
    <phoneticPr fontId="10" type="noConversion"/>
  </si>
  <si>
    <t xml:space="preserve">
3、、上位机和HMI上电压、电流、功率与1e1P2W接线方式数据一致，源接线方式多出测量参数全部为”-“
 V13版本 2025/5/15：多出的参数显示”-“
4、检查与《1320非独立模式不同接线方式参数显示 v1.00 20260410》是否一致。</t>
    <phoneticPr fontId="10" type="noConversion"/>
  </si>
  <si>
    <t>4、关闭交流源输入，上位机相电压的界面还还显示电压为”-“。
 V13版本 2025/5/15：上位机相电压的界面还还显示”-“
5、检查与《1320非独立模式不同接线方式参数显示 v1.00 20260410》是否一致。</t>
    <phoneticPr fontId="10" type="noConversion"/>
  </si>
  <si>
    <t>3、不同聚合方式下（20ms\200ms,3s\10min\2h），查看电表real-time数据显示正常，上位机按照2E3W phase1进行显示
5、检查与《1320非独立模式不同接线方式参数显示 v1.00 20260410》是否一致。</t>
    <phoneticPr fontId="10" type="noConversion"/>
  </si>
  <si>
    <t>3、不同聚合方式下（20ms\200ms,3s\10min\2h），查看电表real-time数据显示正常，上位机按照2e2P3W delta进行显示
5、检查与《1320非独立模式不同接线方式参数显示 v1.00 20260410》是否一致。</t>
    <phoneticPr fontId="10" type="noConversion"/>
  </si>
  <si>
    <t>3、不同聚合方式下（20ms\200ms,3s\10min\2h），查看电表real-time数据显示正常，上位机按照2e2p3w network进行显示
5、检查与《1320非独立模式不同接线方式参数显示 v1.00 20260410》是否一致。</t>
    <phoneticPr fontId="10" type="noConversion"/>
  </si>
  <si>
    <t>4、不同聚合方式下（20ms\200ms,3s\10min\2h），查看电表real-time数据显示正常，上位机按照3P4W Y进行显示
5、检查与《1320非独立模式不同接线方式参数显示 v1.00 20260410》是否一致。</t>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</si>
  <si>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5.1 检查上位机和HMI上Van、Vbn、Vcn电压是否为207.8V,120V,120V
6.检查上位机和HMI上Vab、Vbc、Vca相角为(0°、240°、120°)
7.检查上位机和HMI上system对应所有功率是否正确，其他A/B/C相功率为是否-，
</t>
    </r>
    <r>
      <rPr>
        <b/>
        <sz val="8"/>
        <color theme="1"/>
        <rFont val="微软雅黑"/>
        <family val="2"/>
        <charset val="134"/>
      </rPr>
      <t xml:space="preserve">备注：电压电流角度统一加30°
2026/4/29：更新3e4w delta算法，修改测试步骤：
3.源A、B、C分别输入120V,207.8V,120V,电压夹角分别为0°，270°，180°，电流输入值分别为5A,角度分别为30°，270°，150°
</t>
    </r>
    <phoneticPr fontId="10" type="noConversion"/>
  </si>
  <si>
    <r>
      <t xml:space="preserve">
</t>
    </r>
    <r>
      <rPr>
        <strike/>
        <sz val="8"/>
        <color theme="1"/>
        <rFont val="微软雅黑"/>
        <family val="2"/>
        <charset val="134"/>
      </rPr>
      <t xml:space="preserve">3.1 上位机和HMI上Va/Vb/Vc电压为“-”
</t>
    </r>
    <r>
      <rPr>
        <sz val="8"/>
        <color theme="1"/>
        <rFont val="微软雅黑"/>
        <family val="2"/>
      </rPr>
      <t xml:space="preserve">4、上位机和HMI上input1、2、3配置电压Vab、Vbc、Vca
4.1  上位机和HMI上Vab、Vbc、Vca电压为173.205V
5.上位机和HMI上Vab、Vbc、Vca电压为240V
</t>
    </r>
    <r>
      <rPr>
        <sz val="8"/>
        <color theme="1"/>
        <rFont val="微软雅黑"/>
        <family val="2"/>
        <charset val="134"/>
      </rPr>
      <t>5.1 检查上位机和HMI上Van、Vbn、Vcn电压为207.8V,120V,120V</t>
    </r>
    <r>
      <rPr>
        <sz val="8"/>
        <color theme="1"/>
        <rFont val="微软雅黑"/>
        <family val="2"/>
      </rPr>
      <t xml:space="preserve">
6、上位机和HMI上Vab、Vbc、Vca相角为(0°、240°、120°)
7.检查上位机和HMI上system对应所有功率正确，其他A/B/C相功率为-
系统：P=2.0784kw，Q=0kvar，S=2.0784kva，PF=1
备注计算方式：
S = (Uab * Ia + Ubc * Ic) * cos(30)
P = S * cos(压流角)
Q= S^2 - P^2 开根号
Uab、Ubc、Uca 角度为0°、240°、120°
换算：Iab、Ibc、Ica 角度为0°、240°、120°</t>
    </r>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</si>
  <si>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3.源A、B、C分别输入207.8V,120V,120V,电压夹角分别为330°，240°，60°，电流输入值分别为5A,角度分别为270°，150°，30°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theme="1"/>
        <rFont val="微软雅黑"/>
        <family val="2"/>
        <charset val="134"/>
      </rPr>
      <t>备注：电压电流角度统一加30°</t>
    </r>
  </si>
  <si>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3.源A、B、C分别输入207.8V,120V,120V,电压夹角分别为330°，240°，60°，电流输入值分别为5A,角度分别为210°，90°，330°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theme="1"/>
        <rFont val="微软雅黑"/>
        <family val="2"/>
        <charset val="134"/>
      </rPr>
      <t xml:space="preserve">备注：电压电流角度统一加30°
</t>
    </r>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</si>
  <si>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3.源A、B、C分别输入207.8V,120V,120V,电压夹角分别为330°，240°，60°，电流输入值分别为5A,角度分别为150°，30°，270°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theme="1"/>
        <rFont val="微软雅黑"/>
        <family val="2"/>
        <charset val="134"/>
      </rPr>
      <t>备注：电压电流角度统一加30°</t>
    </r>
  </si>
  <si>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3.源A、B、C分别输入207.8V,120V,120V,电压夹角分别为330°，240°，60°，电流输入值分别为5A,角度分别为0°，240°，120°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t>
    </r>
    <r>
      <rPr>
        <b/>
        <sz val="8"/>
        <color theme="1"/>
        <rFont val="微软雅黑"/>
        <family val="2"/>
        <charset val="134"/>
      </rPr>
      <t xml:space="preserve">备注：电压电流角度统一加30°
</t>
    </r>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</si>
  <si>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7.检查上位机和HMI上system对应所有功率是否正确，其他A/B/C相功率为是否-，
8、测量5分钟
9、切换到1e1P2W接线方式
10、立即切换到2e2P3W delta接线方式
11、检查上位机和HMI上能量是否测量参数全部置为0, 电压电流测量正确
备注: 上位机和HMI显示相角均以Vab为参考，计算电能时候，夹角可以使用线电压的与电流角度直接矢量计算。
</t>
    </r>
    <r>
      <rPr>
        <b/>
        <sz val="8"/>
        <color theme="1"/>
        <rFont val="微软雅黑"/>
        <family val="2"/>
        <charset val="134"/>
      </rPr>
      <t>备注：电压电流角度统一加30°</t>
    </r>
    <phoneticPr fontId="10" type="noConversion"/>
  </si>
  <si>
    <r>
      <t xml:space="preserve">3.1 上位机和HMI上Va/Vb/Vc电压为“-”
4、上位机和HMI上input1、2、3配置电压Vab、Vbc、Vca
4.1  上位机和HMI上Vab、Vbc、Vca电压为173.205V
5.上位机和HMI上Vab、Vbc、Vca电压为240V
6、上位机和HMI上Vab、Vbc、Vca相角为(0°、240°、120°)
7.检查上位机和HMI上system对应所有功率正确，其他A/B/C相功率为-
系统：P=2.0784kw，Q=0kvar，S=2.0784kva，PF=1
备注计算方式：
S = (Uab * Ia + Ubc * Ic) * cos(30)
P = S * cos(压流角)
Q= S^2 - P^2 开根号
Uab、Ubc、Uca 角度为0°、240°、120°
换算：Iab、Ibc、Ica 角度为0°、240°、120°
</t>
    </r>
    <r>
      <rPr>
        <strike/>
        <sz val="8"/>
        <color theme="1"/>
        <rFont val="微软雅黑"/>
        <family val="2"/>
        <charset val="134"/>
      </rPr>
      <t xml:space="preserve">系统：P=1.299kwh，Q=-0.75kvar，S=1.500kva，PF= 0.866
用户：Puser1=1.299kwhkwh，Quser1=-0.75kwh，Suser1=1.500kva，PF= 0.866
</t>
    </r>
    <r>
      <rPr>
        <sz val="8"/>
        <color theme="1"/>
        <rFont val="微软雅黑"/>
        <family val="2"/>
      </rPr>
      <t xml:space="preserve">
11、上位机和HMI上能量测量参数全部置为0, 电压电流测量正确</t>
    </r>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</si>
  <si>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 根据最新的接线方式说明书检查上位机和HMI上real-time显示
4、根据最新的接线方式上位机显示要求检查上位机的Energy、Demand、MaxDemand、THD页面显示符合预期
</t>
    </r>
    <r>
      <rPr>
        <b/>
        <sz val="8"/>
        <color theme="1"/>
        <rFont val="微软雅黑"/>
        <family val="2"/>
        <charset val="134"/>
      </rPr>
      <t>备注：电压电流角度统一加30°</t>
    </r>
    <phoneticPr fontId="10" type="noConversion"/>
  </si>
  <si>
    <t>3、 上位机和HMI上real-time显示与最新的接线方式说明书保持一致
4、 上位机Energy、Demand、MaxDemand、THD显示与最新要求保持一致
5、检查与《1320非独立模式不同接线方式参数显示 v1.00 20260410》是否一致。</t>
    <phoneticPr fontId="10" type="noConversion"/>
  </si>
  <si>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3.1查看上位机及HMI中real-time显示情况
4.上位机和HMI上input1、2、3配置电压情况
5.检查上位机和HMI上Vab、Vbc、Vca电压是否为240V
6.检查上位机和HMI上Vab、Vbc、Vca相角为(0°、240°、120°)
7、修改源上Va的幅值为0，检查Vab的角度功率均为0、input1电流幅值正常，角度功率均为0，Vbc、Vca和Input2的角度为0，电压电流幅值以及功率维持之前的数值不受影响
8、 从源上关闭输入，再按照关闭前的配置直接打开输入
9、 检查Vab的角度功率均为0、input1电流幅值正常，角度功率均为0，Vbc、Vca和Input2的角度为0，电压电流幅值以及功率维持之前的数值不受影响
</t>
    </r>
    <r>
      <rPr>
        <b/>
        <sz val="8"/>
        <color theme="1"/>
        <rFont val="微软雅黑"/>
        <family val="2"/>
        <charset val="134"/>
      </rPr>
      <t>备注：电压电流角度统一加30°</t>
    </r>
    <phoneticPr fontId="10" type="noConversion"/>
  </si>
  <si>
    <r>
      <t xml:space="preserve">
3.1 上位机和HMI上Va/Vb/Vc电压为“-”
4、上位机和HMI上input1、2、3配置电压Vab、Vbc、Vca
4.1  上位机和HMI上Vab、Vbc、Vca电压为173.205V
5.上位机和HMI上Vab、Vbc、Vca电压为240V
6、上位机和HMI上Vab、Vbc、Vca相角为(0°、240°、120°)
系统：P=2.0784kw，Q=0kvar，S=2.0784kva，PF=1
备注计算方式：
S = (Uab * Ia + Ubc * Ic) * cos(30)
P = S * cos(压流角)
Q= S^2 - P^2 开根号
Uab、Ubc、Uca 角度为0°、240°、120°
换算：Iab、Ibc、Ica 角度为0°、240°、120°
</t>
    </r>
    <r>
      <rPr>
        <sz val="8"/>
        <color theme="1"/>
        <rFont val="微软雅黑"/>
        <family val="2"/>
        <charset val="134"/>
      </rPr>
      <t>5、检查与《1320非独立模式不同接线方式参数显示 v1.00 20260410》是否一致。</t>
    </r>
    <phoneticPr fontId="10" type="noConversion"/>
  </si>
  <si>
    <r>
      <rPr>
        <sz val="8"/>
        <color theme="1"/>
        <rFont val="微软雅黑"/>
        <family val="2"/>
        <charset val="134"/>
      </rP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 检查上位机Demand和MaxDemand页面的System 的电流显示
</t>
    </r>
    <r>
      <rPr>
        <b/>
        <sz val="8"/>
        <color theme="1"/>
        <rFont val="微软雅黑"/>
        <family val="2"/>
        <charset val="134"/>
      </rPr>
      <t>备注：电压电流角度统一加30°</t>
    </r>
  </si>
  <si>
    <r>
      <t xml:space="preserve">1、连接AcuRev1320电表到Acuview2上，连接状态为connected
2。源按照三相四线Y接线A、B、C、N分别接入电表的电压接线柱中，三相电流分别接入电表的电流接线；
3.源A、B、C分别输入207.8V,120V,120V,电压夹角分别为330°，240°，60°，电流输入值分别为5A,角度分别为330°，210°，90°
4、不同聚合方式下（20ms\200ms,3s\10min\2h），查看电表real-time数据显示是否正常，上位机是否按照3e4W delta进行显示
</t>
    </r>
    <r>
      <rPr>
        <b/>
        <sz val="8"/>
        <color theme="1"/>
        <rFont val="微软雅黑"/>
        <family val="2"/>
        <charset val="134"/>
      </rPr>
      <t xml:space="preserve">备注：电压电流角度统一加30°
</t>
    </r>
  </si>
  <si>
    <r>
      <t xml:space="preserve">4、不同聚合方式下（20ms\200ms,3s\10min\2h），查看电表real-time数据显示正常，上位机按照3e4W delta进行显示
</t>
    </r>
    <r>
      <rPr>
        <sz val="8"/>
        <color theme="1"/>
        <rFont val="微软雅黑"/>
        <family val="2"/>
        <charset val="134"/>
      </rPr>
      <t>5、检查与《1320非独立模式不同接线方式参数显示 v1.00 20260410》是否一致。</t>
    </r>
    <phoneticPr fontId="10" type="noConversion"/>
  </si>
  <si>
    <r>
      <t xml:space="preserve">3、检查设置DST时间段成功
5、检查开启夏令时DST设置为enable成功
6、上电查看上位机和HMI上检查电表时间增加1小时
9、上电查看上位机和HMI上检查电表时间减少1小时
</t>
    </r>
    <r>
      <rPr>
        <b/>
        <sz val="8"/>
        <color theme="1"/>
        <rFont val="微软雅黑"/>
        <family val="2"/>
        <charset val="134"/>
      </rPr>
      <t>备注：相对应时区也会加减一个小时</t>
    </r>
  </si>
  <si>
    <t>1、连接AcuRev1320电表到Acuview2上，连接状态为connected。
2、配置阈值和抖动参数(阈值：110%，抖动：10%), 额定电压设置10A
2.1、设置录波采样类型"Waveform Sampling Type" 设置256points
2.2、设置事件前波形个数(Number of recorded waves before the event occurred)为10与事件后的波形个数(Number of recorded waves after the event occurred)为10
3、使用电能质量仪触发电流骤升(Current Swell), I大于(110%+10%)*10A
4、检查上位机上是否会出现电流骤升(Current Swell)的Event log。
5、使用电能质量仪触发电流骤升(Current Swell), I小于(110%-10%)*10A
6、检查上位机上是否会出现电流骤升(Current Swell)的结束的Event log。
7、查看录波是否正常 
2026/3/6：用例问题，修改配置前5后5</t>
  </si>
  <si>
    <t>1、连接AcuRev1320电表到Acuview2上，连接状态为connected。
2、配置阈值和抖动参数(阈值：10%，抖动：5%)
2.1、设置录波采样类型"Waveform Sampling Type" 设置512points
2.2、设置事件前波形个数(Number of recorded waves before the event occurred)为10与事件后的波形个数(Number of recorded waves after the event occurred)为10
3、使用电能质量仪模拟电压不平衡，且满足不平衡电压大于15%
4、检查上位机上是否会出现电压不平衡发生的Event log。
5、使用电能质量仪模拟电压不平衡，且满足不平衡电压小于5%
6、检查上位机上是否会出现电压不平衡结束的Event log。
7、查看录波是否正常
2026/3/6：前2后3</t>
    <phoneticPr fontId="10" type="noConversion"/>
  </si>
  <si>
    <t>1.接线方式选择2e3w1phase，给表接入A、B、C三相电压
2.打开表计PQ EVENT使能,waveform 使能
3.模拟表计电压UA、UC 骤降、中断、骤升事件以及电压不平衡事件，查看pq event记录
4.模拟表计电压UB 骤降、中断、骤升事件，查看pq event记录
独立模式下无电流不平衡</t>
    <phoneticPr fontId="10" type="noConversion"/>
  </si>
  <si>
    <r>
      <t>4、检查上位机告警界面和HMI告警界面，沒有</t>
    </r>
    <r>
      <rPr>
        <strike/>
        <sz val="8"/>
        <color theme="1"/>
        <rFont val="微软雅黑"/>
        <family val="2"/>
        <charset val="134"/>
      </rPr>
      <t>立即</t>
    </r>
    <r>
      <rPr>
        <sz val="8"/>
        <color theme="1"/>
        <rFont val="微软雅黑"/>
        <family val="2"/>
        <charset val="134"/>
      </rPr>
      <t>新增一条对应的告警记录(状态:“end”)
6、检查上位机告警界面和HMI告警界面，延迟5000新增一条对应的告警记录(状态:“start”)
8、检查上位机告警界面和HMI告警界面，延迟5000新增一条对应的告警记录(状态:“end”)</t>
    </r>
  </si>
  <si>
    <t>4、检查上位机告警界面和HMI告警界面，沒有立即新增一条对应的告警记录(状态:"end")
6、检查上位机告警界面和HMI告警界面，10s后立即新增一条对应的告警记录(状态:"end")
8、检查上位机告警界面和HMI告警界面，10s后立即新增一条对应的告警记录(状态:"start")</t>
    <phoneticPr fontId="10" type="noConversion"/>
  </si>
  <si>
    <t>4、检查上位机告警界面和HMI告警界面，沒有立即新增一条对应的告警记录(状态:“end”)
6、检查上位机告警界面和HMI告警界面，立即新增一条对应的告警记录(状态:“start”)
8、检查上位机告警界面和HMI告警界面，立即新增一条对应的告警记录(状态:“end”)</t>
    <phoneticPr fontId="10" type="noConversion"/>
  </si>
  <si>
    <t>打开Alarm使能，参数选Q_input3，逻辑“&gt;”&amp;“none”，配置启动值2kvar，启动延迟0ms，释放值1kvar，释放延迟0ms，满足告警阈值，触发和消除告警正常</t>
  </si>
  <si>
    <t>打开Alarm使能，参数选S_input3，逻辑“&lt;”&amp;“none”，配置启动1kVA，启动延迟0ms，释放值2kVA，释放延迟0ms，满足告警阈值，触发和消除告警正常</t>
  </si>
  <si>
    <t>打开Alarm使能，参数选THD_input3_I，逻辑“&lt;”&amp;“none”，配置启动值15%，启动延迟0ms，释放值20%，释放延迟0ms，满足告警阈值，触发和消除告警正常</t>
    <phoneticPr fontId="10" type="noConversion"/>
  </si>
  <si>
    <t>打开Alarm使能，参数选DI3，逻辑“=”，配置启动值1，启动延迟10000ms，释放值0，释放延迟10000ms，满足告警阈值，触发和消除告警正常</t>
  </si>
  <si>
    <r>
      <t>日志Datalogger 数据记录器1,2,3 共享</t>
    </r>
    <r>
      <rPr>
        <strike/>
        <sz val="8"/>
        <color theme="1"/>
        <rFont val="微软雅黑"/>
        <family val="2"/>
        <charset val="134"/>
      </rPr>
      <t>1377</t>
    </r>
    <r>
      <rPr>
        <sz val="8"/>
        <color theme="1"/>
        <rFont val="微软雅黑"/>
        <family val="2"/>
        <charset val="134"/>
      </rPr>
      <t xml:space="preserve"> 585  个 block </t>
    </r>
  </si>
  <si>
    <r>
      <t>1、连接AcuRev1320电表到Acuview2上，链接状态为connected
2、上位机可配置datalog1,datalog2,datalog3（Setting — Data Log — Data Log 1/ Data Log 2/ Data Log 3）
Data Log Parameter Selection：Datalog1、Datalog2、Datalog3配置任意参数，参数配满300个
Logging Interval：1 min
Logging Mode：1（Start Logging Immediately）
sectors ：Datalog1-3均配置为2
3、 检查Sectors 提示Datalog1-3 共用</t>
    </r>
    <r>
      <rPr>
        <strike/>
        <sz val="8"/>
        <color theme="1"/>
        <rFont val="微软雅黑"/>
        <family val="2"/>
        <charset val="134"/>
      </rPr>
      <t xml:space="preserve">1377 </t>
    </r>
    <r>
      <rPr>
        <sz val="8"/>
        <color theme="1"/>
        <rFont val="微软雅黑"/>
        <family val="2"/>
        <charset val="134"/>
      </rPr>
      <t>585个block
4、 查看datalog1,datalog2,datalog3日志记录</t>
    </r>
  </si>
  <si>
    <t xml:space="preserve">2、数据记录器1,2,3 共享 585个 block 
4、当日志存满，自动删除最早存储扇区
2026/3/16：1,2,3 log 共享585个 block </t>
  </si>
  <si>
    <r>
      <t>上位机可配置datalog4，配置System Basic Parameters和</t>
    </r>
    <r>
      <rPr>
        <strike/>
        <sz val="8"/>
        <color theme="1"/>
        <rFont val="微软雅黑"/>
        <family val="2"/>
        <charset val="134"/>
      </rPr>
      <t>System Demand的</t>
    </r>
    <r>
      <rPr>
        <sz val="8"/>
        <color theme="1"/>
        <rFont val="微软雅黑"/>
        <family val="2"/>
        <charset val="134"/>
      </rPr>
      <t>全部参数，使用模式1，日志数据和时间戳记录正常</t>
    </r>
    <phoneticPr fontId="10" type="noConversion"/>
  </si>
  <si>
    <r>
      <t>1、连接AcuRev1320电表到Acuview2上，链接状态为connected
2、上位机可配置datalog4（Setting — Data Log — Data Log 4）
Data Log Parameter Selection：System Basic Parameters</t>
    </r>
    <r>
      <rPr>
        <strike/>
        <sz val="8"/>
        <color theme="1"/>
        <rFont val="微软雅黑"/>
        <family val="2"/>
        <charset val="134"/>
      </rPr>
      <t>和System Demand</t>
    </r>
    <r>
      <rPr>
        <sz val="8"/>
        <color theme="1"/>
        <rFont val="微软雅黑"/>
        <family val="2"/>
        <charset val="134"/>
      </rPr>
      <t>的全部参数
Logging Interval：1 min
Logging Mode：1（Start Logging Immediately）
3、查看Log 4日志记录
2026/4/8：用例待更新，Datalog4 不能选择Demand和Energy数据，RMS 参数中无Load Nature</t>
    </r>
    <phoneticPr fontId="10" type="noConversion"/>
  </si>
  <si>
    <r>
      <t>2、Data Log 4配置成功。上位机提示配置成功，页面无报错。
3、上位机Log4日志1min更新一条
记录内容：包含System Basic Parameters</t>
    </r>
    <r>
      <rPr>
        <strike/>
        <sz val="8"/>
        <color theme="1"/>
        <rFont val="微软雅黑"/>
        <family val="2"/>
        <charset val="134"/>
      </rPr>
      <t>和System Demand</t>
    </r>
    <r>
      <rPr>
        <sz val="8"/>
        <color theme="1"/>
        <rFont val="微软雅黑"/>
        <family val="2"/>
        <charset val="134"/>
      </rPr>
      <t>的全部参数，记录参数的max/min/average</t>
    </r>
    <phoneticPr fontId="10" type="noConversion"/>
  </si>
  <si>
    <r>
      <t>上位机可配置datalog4，配置</t>
    </r>
    <r>
      <rPr>
        <strike/>
        <sz val="8"/>
        <color theme="1"/>
        <rFont val="微软雅黑"/>
        <family val="2"/>
        <charset val="134"/>
      </rPr>
      <t>System Energy和</t>
    </r>
    <r>
      <rPr>
        <sz val="8"/>
        <color theme="1"/>
        <rFont val="微软雅黑"/>
        <family val="2"/>
        <charset val="134"/>
      </rPr>
      <t>THD电压电流的全部参数，使用模式2，日志数据和时间戳记录正常</t>
    </r>
    <phoneticPr fontId="10" type="noConversion"/>
  </si>
  <si>
    <r>
      <t>1、连接AcuRev1320电表到Acuview2上，链接状态为connected
2、 配置电表当前时间为 2024/11/15 14:55:00
3、上位机可配置datalog4（Setting — Data Log — Data Log 4）
Data Log Parameter Selection：配置</t>
    </r>
    <r>
      <rPr>
        <strike/>
        <sz val="8"/>
        <color theme="1"/>
        <rFont val="微软雅黑"/>
        <family val="2"/>
        <charset val="134"/>
      </rPr>
      <t>System Energy和</t>
    </r>
    <r>
      <rPr>
        <sz val="8"/>
        <color theme="1"/>
        <rFont val="微软雅黑"/>
        <family val="2"/>
        <charset val="134"/>
      </rPr>
      <t>THD电压电流的全部参数
Logging Interval：1 min
Logging Mode：2（Logging Scheduler）
Start:：2024/11/15 15:00:00  ——参考值
End：2024/11/15 15:20:00  ——参考值
4、查看Log 4日志记录
2026/4/8：用例待更新，Datalog4 不能选择Demand和Energy数据</t>
    </r>
    <phoneticPr fontId="10" type="noConversion"/>
  </si>
  <si>
    <r>
      <t>3、Data Log 4配置成功。上位机提示配置成功，页面无报错。
4、上位机Log4日志从2024/11/15 15:01:00开始记录，1min更新一条，2024/11/15 15:19:00结束记录，之后不再产生日志记录；
记录内容：包含</t>
    </r>
    <r>
      <rPr>
        <strike/>
        <sz val="8"/>
        <color theme="1"/>
        <rFont val="微软雅黑"/>
        <family val="2"/>
        <charset val="134"/>
      </rPr>
      <t>System Energy和</t>
    </r>
    <r>
      <rPr>
        <sz val="8"/>
        <color theme="1"/>
        <rFont val="微软雅黑"/>
        <family val="2"/>
        <charset val="134"/>
      </rPr>
      <t>THD电压电流的全部参数，记录参数的max/min/average</t>
    </r>
    <phoneticPr fontId="10" type="noConversion"/>
  </si>
  <si>
    <t>1、连接AcuRev1320电表到Acuview2上，链接状态为connected
2、上位机和HMI设置DI1的“DI type”为Pluse Counter，“DI Pluse Const”为1（Setting—IO Module页面）
3、DI1输入1个脉冲信号（20V（dc），大于5ms开和大于5ms关）
4、上位机和HMI查看的DI1 counter计数（Reading—IO Module Reading页面）
5、web端检查DI1 counter计数是否与上位机及电表保持一致
注：这里的脉冲开关时间（周期）待定，按功能要求大于5ms即可
脉冲构造方法: 通过20V电源开关，产生远远大于5ms的脉冲。</t>
    <phoneticPr fontId="10" type="noConversion"/>
  </si>
  <si>
    <t>2、上位机和HMI设置DI1成功，显示“DI type”为Counter，“DI Pluse Const”为1，上位机和HMI工具界面无报错
4、上位机和HMI DI1 counter计数加1
5、web端检查DI1 counter计数与上位机及电表保持一致</t>
  </si>
  <si>
    <t>1、连接AcuRev1320电表到Acuview2上，链接状态为connected
2、上位机和HMI设置DI2的“DI type”为Counter，“DI Pluse Const”为1
3、DI2输入2个脉冲信号（20V（dc），大于5ms开和大于5ms关）
4、上位机和HMI查看的DI2 counter计数（Reading—IO Module Reading页面）
5、web端检查DI12counter计数是否与上位机及电表保持一致
注：这里的脉冲开关时间（周期）待定，按功能要求大于5ms即可</t>
  </si>
  <si>
    <t>2、上位机和HMI设置DI2成功，显示“DI type”为Counter，“DI Pluse Const”为1，上位机和HMI工具界面无报错
4、上位机和HMI DI2 counter计数加2
5、web端检查DI12counter计数与上位机及电表保持一致</t>
  </si>
  <si>
    <t>1、连接AcuRev1320电表到Acuview2上，链接状态为connected
2、上位机和HMI设置DI3的“DI type”为Counter，“DI Pluse Const”为1
3、DI3输入1个脉冲信号（20V（dc），大于5ms开和大于5ms关）
4、上位机和HMI查看的DI3 counter计数（Reading—IO Module Reading页面）
5、web端检查DI3counter计数是否与上位机及电表保持一致
注：这里的脉冲开关时间（周期）待定，按功能要求大于5ms即可</t>
  </si>
  <si>
    <t>2、上位机和HMI设置DI3成功，显示“DI type”为Counter，“DI Pluse Const”为1，上位机和HMI工具界面无报错
4、上位机和HMI DI3 counter计数加1
5、web端检查DI3counter计数与上位机及电表保持一致</t>
  </si>
  <si>
    <t>1、连接AcuRev1320电表到Acuview2上，链接状态为connected
2、上位机和HMI设置DI3的“DI type”为Counter，“DI Pluse Const”为 100000
3、DI3输入 1个脉冲信号（20V（dc），大于5ms开和大于5ms关）
4、上位机和HMI查看的DI3 counter计数（Reading—IO Module Reading页面）
5、查看web端是否和上位机保持一致
注：这里的脉冲开关时间（周期）待定，按功能要求大于5ms即可</t>
    <phoneticPr fontId="10" type="noConversion"/>
  </si>
  <si>
    <t>2、上位机和HMI设置DI3成功，显示“DI type”为Counter，“DI Pluse Const”为100000，上位机和HMI工具界面无报错
4、上位机和HMI DI3 counter计数加 100000
5、web端和上位机数据保持一致</t>
  </si>
  <si>
    <t>1、连接AcuRev1320电表到Acuview2上，链接状态为connected
2、上位机和HMI设置DI1、DI2、DI3的“DI type”为Counter，“DI Pluse Const”为1
3、DI1、DI2、DI3同时输入1个脉冲信号（20V（dc），大于5ms开和大于5ms关）
4、上位机和HMI查看的DI1、DI2、DI3 counter计数（Reading—IO Module Reading页面）
5、查看web端和上位机是否保持一致
注：这里的脉冲开关时间（周期）待定，按功能要求大于5ms即可</t>
    <phoneticPr fontId="10" type="noConversion"/>
  </si>
  <si>
    <t>2、上位机和HMI设置DI1、DI2、DI3成功，显示“DI type”为Counter，“DI Pluse Const”为1，上位机和HMI工具界面无报错
4、上位机和HMI DI1、DI2、DI3 counter计数都加1
5、查看web端和上位机保持一致</t>
  </si>
  <si>
    <r>
      <t>2、上位机和HMI新增记录1条SOE log，DI1、DI2、DI3status 改变为：ON
3、上位机和HMI新增记录1条SOE log，DI1、DI2、DI3</t>
    </r>
    <r>
      <rPr>
        <strike/>
        <sz val="8"/>
        <color theme="1"/>
        <rFont val="微软雅黑"/>
        <family val="2"/>
        <charset val="134"/>
      </rPr>
      <t xml:space="preserve"> </t>
    </r>
    <r>
      <rPr>
        <sz val="8"/>
        <color theme="1"/>
        <rFont val="微软雅黑"/>
        <family val="2"/>
        <charset val="134"/>
      </rPr>
      <t>status 改变为：ON
4、上位机和HMI新增记录1条SOE log，DI1、DI2、DI3status 改变为：ON
超出最大电压，应该怎么响应？
5、上位机和HMI新增记录1条SOE log，DI1、DI2、DI3 status 改变为：ON
6、上位机和HMI新增记录1条SOE log，DI1、DI2、DI3status 改变为：ON</t>
    </r>
    <phoneticPr fontId="10" type="noConversion"/>
  </si>
  <si>
    <t>上位机和HMI设置DO的“DO type”为Alarm，alarm栏配置告警门限值并勾选"To DO1"，告警触发时候DO1值为高电平(逻辑1)，告警消除时候DO1值为低电平(逻辑0)。</t>
  </si>
  <si>
    <t>电表最多携带配置1个DO，接口测试覆盖</t>
  </si>
  <si>
    <t>1、电表外观，只存在1个DO硬件接口
2、使用串口工具（Sscom），读取1个DO Status寄存器成功</t>
  </si>
  <si>
    <t>1、上位机和HMI上可查询电表的负载时间T1
2、上位机和HMI上负载时间为T2
3、上位机和HMI上负载时间为T3
3、上位机和HMI上负载时间为T3(未发生变化)
4、上位机和HMI上负载时间为T3(未发生变化)
5、上位机和HMI上负载时间单位为h，两位小数</t>
    <phoneticPr fontId="10" type="noConversion"/>
  </si>
  <si>
    <t xml:space="preserve">1、HMI上可查询电表的运行时间T1
2、HMI上运行时间为T2
3、HMI上运行时间为T2(未发生变化)
5、上位机和HMI上运行时间单位为h，两位小数
</t>
    <phoneticPr fontId="10" type="noConversion"/>
  </si>
  <si>
    <t>1、上位机上可查询电表的运行时间T1
2、上位机上运行时间为T2
3、上位机上运行时间为T2(未发生变化)
5、上位机和HMI上运行时间单位为h，两位小数</t>
    <phoneticPr fontId="10" type="noConversion"/>
  </si>
  <si>
    <r>
      <t>1、分别通过Tcp/Rtu连接AcuRev1320电表到Acuview2上，链接状态为connected
2、Acuview2上进行恢复出厂设置并重启 (factory reset and reboot)操作
3、检查电表是否恢复出厂设置并重启 (factory reset and reboot)，重启后电表功能是否正常
【出厂设置】基本配置信息
Password:</t>
    </r>
    <r>
      <rPr>
        <strike/>
        <sz val="8"/>
        <color theme="1"/>
        <rFont val="微软雅黑"/>
        <family val="2"/>
        <charset val="134"/>
      </rPr>
      <t>9999</t>
    </r>
    <r>
      <rPr>
        <sz val="8"/>
        <color theme="1"/>
        <rFont val="微软雅黑"/>
        <family val="2"/>
        <charset val="134"/>
      </rPr>
      <t>0000
RS485 baud rate:19200
RS485 parity:3 None1
DHCP enable:0
IP address:192.168.1.254
Subnet mask:255 255 255 0
Gateway:192 168 1 1
DNS primary server:8 8 8 8
DNS secondary server: 8.8.4.4
Modbus Slave ID:1          ---范围1~247， 默认1
RS485 protocol:1        ---使能ModbusRTU
Modbus TCP Enable:1        ---使能Modbus TCP
Modbus TCP port:502        ----TCP PORT，范围1~65534，默认值502
BACnet  MS/TP Maximum number of message frames：255
BACnet  MS/TP ID high byte 0
BACnet  MS/TP ID low byte 1
BACnet MS/TP Database Revision 0
LCD Backlight Time： 1
Device run time ： 0
Device load time ： 0
默认时间:2024.1.1 00:00:00 week:1
Frequency selection 1（60）
Service Configuration 4
PT1(High 16 bit) 0
PT1(Low 16 bit)  400
PT2 400
Demand Method 1   ——0: Fixed block, 1: Sliding block
Demand Interval 15
Demand update rate 1
VAR/PF Convention 0   ——0: IEC; 1: IEEE
Energy Calculation Method 1
Reactive Power Calculation Method 0
Phase Order 0
Energy Reading Display format 0  ——0: Primary in 0.1 kWh;1:0.01kWh; 2: Primary in 0.001kWh
Basic Reading Display format 1   ——0: Secondary 1: Primary
Energy pulse constant uint32_t（DC300修改为整数，由上位机乘1000）
Pulse LED  width 100
Pulse LED parameter selection 0  ——not in use
【出厂设置】电气参数:
能量 (clear energy)：0
需量 (clear demand)：0
DI counter(clear DI Counter)：0
【出厂设置】最大最小值:0
日志配置及日志全部删除</t>
    </r>
    <phoneticPr fontId="10" type="noConversion"/>
  </si>
  <si>
    <r>
      <t>2、报文发送成功，响应数据帧正确
3、Yabe上所有参数的ID、Name、Description、Object Type、Data Type、RW、Unit 均与地址表要求配置一致，返回的值vlaue</t>
    </r>
    <r>
      <rPr>
        <strike/>
        <sz val="8"/>
        <color theme="1"/>
        <rFont val="微软雅黑"/>
        <family val="2"/>
        <charset val="134"/>
      </rPr>
      <t>1</t>
    </r>
    <r>
      <rPr>
        <sz val="8"/>
        <color theme="1"/>
        <rFont val="微软雅黑"/>
        <family val="2"/>
        <charset val="134"/>
      </rPr>
      <t>正确。与HMI或上位机展示的读取实时值数据一致（数据实时刷新，存在一定波动，此处满足精度范围即可接受）</t>
    </r>
    <phoneticPr fontId="10" type="noConversion"/>
  </si>
  <si>
    <r>
      <t xml:space="preserve">1、上位机上设置BACNet开关 ON，上位机通过TCP连接电表
2、在上位机和HMI界面上，修改MS/TP Meter Address、MS/TP Meter ID、MS/TP Max Msg Frames 参数
3、检查MS/TP Database Revision 
4、电表上下点后检查MS/TP Database Revision 
</t>
    </r>
    <r>
      <rPr>
        <sz val="8"/>
        <color theme="1"/>
        <rFont val="微软雅黑"/>
        <family val="2"/>
        <charset val="134"/>
      </rPr>
      <t xml:space="preserve">2026/4/13：唐工确认，修改MS/TP Meter ID、device Dsprcition、device instance修改，会增加MS/TP Database Revision </t>
    </r>
    <phoneticPr fontId="10" type="noConversion"/>
  </si>
  <si>
    <t>1、通过RTU方式连接AcuRev-1320电表
2、AcuRev1320电表上电后立即按OK键
2.1 波特率选择9600
3、检查电表是否进入boot模式
4、上位机升级界面, 选择 "Is the device running?" ："NO”, “Button pressed in boot?" ： "YES"，开始升级，并等待升级完成。
5、观测升级过程是否有错误出现</t>
  </si>
  <si>
    <t>2、 可以修改成功
2026/3/3：产品确认和4100保持一致，不可修改</t>
    <phoneticPr fontId="10" type="noConversion"/>
  </si>
  <si>
    <t>1、 修改成功，清除成功
2、修改失败，清除失败【按键置灰或调用后提示铅封状态】
2026/3/3:目前上位机会弹窗提示更新失败，4100也是此现象</t>
    <phoneticPr fontId="10" type="noConversion"/>
  </si>
  <si>
    <t>1、电表CT选型5A/333mV，配置频率为50HZ，重启电表
2、源输入三路电压幅值均为120V，相位(0°,  240°, 120°)，四路电流幅值为2.5A，相位均为60°，源频率为50HZ
3、通过串口工具下发全通路的校准指令，等待1min（1320等待3min，上位机观察到电压从118校准到120V，并稳定119.88V-120.12V）， 然后重启电表(电表写入校准系数)
校准命令：01 6A F2 04 00 02 04 00 0C 00 07
4、源输入三路电压幅值均为120V，相位(0°,  240°, 120°)，四路电流幅值为2.5A，相位均为60°，源频率为50HZ
5、上位机检查ABC三相电压幅值和角度，三路电流幅值和角度(119.88V-120.12V, 0.1°)
6、电表CT选型5A/333mV，配置频率为60HZ，重启电表
7、源输入三路电压幅值均为120V，相位(0°,  240°, 120°)，四路电流幅值为2.5A，相位均为60°，频率为60HZ
8、通过串口工具下发全通路的校准指令，等待1min（1320等待3min，上位机观察到电压从118校准到120V，并稳定119.88V-120.12V），然后重启电表(电表写入校准系数) 
校准命令：01 6A F2 04 00 02 04 00 0C 00 07, 
9、源输入三路电压幅值均为120V，相位(0°,  240°, 120°)，四路电流幅值为2.5A，相位均为60°，源频率为60HZ
10、上位机检查ABC三相电压幅值和角度，三路电流幅值和角度</t>
    <phoneticPr fontId="10" type="noConversion"/>
  </si>
  <si>
    <t>1、电表CT选型20A/100mA，配置频率为50HZ，重启电表
2、源输入三路电压幅值均为120V，相位(0°,  240°, 120°)，四路电流幅值为10A，相位均为60°，频率为50HZ
3、通过串口工具下发全通路的校准指令，等待1min（1320等待3min，上位机观察到电压从118校准到120V，并稳定119.88V-120.12V）， 然后重启电表(电表写入校准系数)
校准命令：01 6A F2 04 00 02 04 00 0C 00 07
4、源输入三路电压幅值均为120V，相位(0°,  240°, 120°)，四路电流幅值为10A，相位均为60°，频率为50HZ
5、上位机检查ABC三相电压幅值和角度，三路电流幅值和角度
6、电表CT选型20A/100mA，配置频率为60HZ，重启电表
7、源输入三路电压幅值均为120V，相位(0°,  240°, 120°)，四路电流幅值为10A，相位均为60°，频率为60HZ
8、通过串口工具下发全通路的校准指令，等待1min（1320等待3min，上位机观察到电压从118校准到120V，并稳定119.88V-120.12V）， 然后重启电表(电表写入校准系数)
校准命令：01 6A F2 04 00 02 04 00 0C 00 07
9、源输入三路电压幅值均为120V，相位(0°,  240°, 120°)，四路电流幅值为10A，相位均为60°，频率为60HZ
10、上位机检查ABC三相电压幅值和角度，三路电流幅值和角度</t>
    <phoneticPr fontId="10" type="noConversion"/>
  </si>
  <si>
    <t>1、电表CT选型5A/RCT，配置频率为50HZ，重启电表
2、源输入三路电压幅值均为120V，相位(0°,  240°, 120°)，四路电流幅值为0.75075A，相位均为150°，频率为50HZ
3、通过串口工具下发全通路的校准指令，等待1min（1320等待3min，上位机观察到电压从118校准到120V，并稳定119.88V-120.12V）， 然后重启电表(电表写入校准系数)
校准命令：01 6A F2 04 00 02 04 00 0C 00 07
4、源输入三路电压幅值均为120V，相位(0°,  240°, 120°)，四路电流幅值为0.75075A，相位均为150°，频率为50HZ
5、上位机检查ABC三相电压幅值和角度，三路电流幅值（2.5A）和角度(60°)
6、电表CT选型20A/100mA，配置频率为60HZ，重启电表
7、源输入三路电压幅值均为120V，相位(0°,  240°, 120°)，四路电流幅值为0.9009A，相位均为150°，频率为60HZ
8、通过串口工具下发全通路的校准指令，等待1min（1320等待3min，上位机观察到电压从118校准到120V，并稳定119.88V-120.12V）， 然后重启电表(电表写入校准系数)
校准命令：01 6A F2 04 00 02 04 00 0C 00 07
9、源输入三路电压幅值均为120V，相位(0°,  240°, 120°)，四路电流幅值为0.9009A，相位均为150°，频率为60HZ
10、上位机检查ABC三相电压幅值和角度，三路电流幅值（2.5A）和角度(60°)</t>
    <phoneticPr fontId="10" type="noConversion"/>
  </si>
  <si>
    <r>
      <t>1、HMI上进行能量脉冲参数设置如下：（setting—basic setting页面）
Pulse LED parameter selection：</t>
    </r>
    <r>
      <rPr>
        <strike/>
        <sz val="8"/>
        <color theme="1"/>
        <rFont val="微软雅黑"/>
        <family val="2"/>
        <charset val="134"/>
      </rPr>
      <t>360</t>
    </r>
    <r>
      <rPr>
        <sz val="8"/>
        <color theme="1"/>
        <rFont val="微软雅黑"/>
        <family val="2"/>
        <charset val="134"/>
      </rPr>
      <t xml:space="preserve"> 54
Energy pulse constant：100000.000
Pulse LED width：100
2、连接AcuRev1320电表到Acuview2上，查看能量脉冲参数
注：脉冲精度在脉冲章节覆盖</t>
    </r>
    <phoneticPr fontId="10" type="noConversion"/>
  </si>
  <si>
    <r>
      <t>1、能量脉冲参数设置成功
2、上位机和HMI页面更新显示
Pulse LED parameter selection：</t>
    </r>
    <r>
      <rPr>
        <strike/>
        <sz val="8"/>
        <color theme="1"/>
        <rFont val="微软雅黑"/>
        <family val="2"/>
        <charset val="134"/>
      </rPr>
      <t xml:space="preserve">360 </t>
    </r>
    <r>
      <rPr>
        <sz val="8"/>
        <color theme="1"/>
        <rFont val="微软雅黑"/>
        <family val="2"/>
        <charset val="134"/>
      </rPr>
      <t>54
Energy pulse constant：100000.000
Pulse LED width：100</t>
    </r>
  </si>
  <si>
    <t>1、能量脉冲参数设置失败
Pulse LED parameter selection：361   ——非法值无法输入
2026/2/11：参数最多48个。建议用例更改设置parameter 49</t>
  </si>
  <si>
    <r>
      <t xml:space="preserve">HMI上设置PT2为50、51、690参数设置成功, </t>
    </r>
    <r>
      <rPr>
        <b/>
        <sz val="8"/>
        <color theme="1"/>
        <rFont val="微软雅黑"/>
        <family val="2"/>
        <charset val="134"/>
      </rPr>
      <t>上位机排版正确</t>
    </r>
    <phoneticPr fontId="10" type="noConversion"/>
  </si>
  <si>
    <r>
      <t>1、HMI上</t>
    </r>
    <r>
      <rPr>
        <strike/>
        <sz val="8"/>
        <color theme="1"/>
        <rFont val="微软雅黑"/>
        <family val="2"/>
        <charset val="134"/>
      </rPr>
      <t>进行</t>
    </r>
    <r>
      <rPr>
        <sz val="8"/>
        <color theme="1"/>
        <rFont val="微软雅黑"/>
        <family val="2"/>
        <charset val="134"/>
      </rPr>
      <t>检查Energy Reading Display format 参数</t>
    </r>
  </si>
  <si>
    <t>首次连接上位机进入User and CT，修改参数
2026/2/6：这里是否修改用例为上位机进入Independent Wiring</t>
    <phoneticPr fontId="10" type="noConversion"/>
  </si>
  <si>
    <t>1、通过RTU方式连接AcuRev1320电表到Acuview2上，链接状态为connected
2、进入User and CT界面，随意修改参数后，点击update
3、输入错误的密码
4、输入正确的密码
5、切换reading界面，再次进入general界面，修改参数，点击update
2026/2/6：这里是否修改用例为上位机进入Independent Wiring</t>
    <phoneticPr fontId="10" type="noConversion"/>
  </si>
  <si>
    <r>
      <t xml:space="preserve">3、 检查报文响应时间满足超过静默时间，标准如下：
</t>
    </r>
    <r>
      <rPr>
        <strike/>
        <sz val="8"/>
        <color theme="1"/>
        <rFont val="微软雅黑"/>
        <family val="2"/>
        <charset val="134"/>
      </rPr>
      <t xml:space="preserve">2400bps:20ms
4800bps:10ms
</t>
    </r>
    <r>
      <rPr>
        <sz val="8"/>
        <color theme="1"/>
        <rFont val="微软雅黑"/>
        <family val="2"/>
        <charset val="134"/>
      </rPr>
      <t>9600bps:5ms
19200bps:2.5ms
38400bps:2ms
57600bps:2ms
115200bps:1.0~2.0ms
2026/4/16：删除2400/4800波特率</t>
    </r>
    <phoneticPr fontId="10" type="noConversion"/>
  </si>
  <si>
    <r>
      <t>mA型单板2块，1 Element 2 Wire 接线方式，（不）带灯泡负载，</t>
    </r>
    <r>
      <rPr>
        <strike/>
        <sz val="8"/>
        <color theme="1"/>
        <rFont val="微软雅黑"/>
        <family val="2"/>
        <charset val="134"/>
      </rPr>
      <t>串联12路电流，</t>
    </r>
    <r>
      <rPr>
        <sz val="8"/>
        <color theme="1"/>
        <rFont val="微软雅黑"/>
        <family val="2"/>
        <charset val="134"/>
      </rPr>
      <t>挂测一周</t>
    </r>
  </si>
  <si>
    <t>上边栏Setting的Data Log Setting中，选择已经连接的设备，选中所有模块的全部参数，勾选Split Fileds By Category，配置Logging Interval 为30s，Test 成功，生成9个日志文件，参数内容与时间间隔符合预期</t>
  </si>
  <si>
    <t>5、 Test通过，Action 模块显示Passed
8、 停止生成日志成功，
9、 在对应连接设备下，可以找到最新生成的9个日志文件，文件名关键词分别对应不同的模块；对应文件中参数与配置保持一致，每隔30s中生成1条日志</t>
  </si>
  <si>
    <r>
      <t xml:space="preserve">3.表计TCP连接成功，通讯正常
</t>
    </r>
    <r>
      <rPr>
        <strike/>
        <sz val="8"/>
        <color theme="1"/>
        <rFont val="微软雅黑"/>
        <family val="2"/>
        <charset val="134"/>
      </rPr>
      <t>5.表计TCP连接成功，通讯正常</t>
    </r>
    <phoneticPr fontId="10" type="noConversion"/>
  </si>
  <si>
    <r>
      <t>1、Flicker Settings使能重置为120V-50Hz-60W Incandescent</t>
    </r>
    <r>
      <rPr>
        <sz val="8"/>
        <color theme="1"/>
        <rFont val="微软雅黑"/>
        <family val="2"/>
        <charset val="134"/>
      </rPr>
      <t xml:space="preserve">，源输入三相电压为120V，频率为50HZ
2、使用闪变标准信号源输入以下闪变信号：
CPM(频度)：1；波动量：3.178；波形：方波；占空比：50
3、 等待到当前电表时间的第二个10min整时刻时，检查Pst(10mins)
4、 等待当前电表时间的第一个10min整时刻的2hr后，检查Plt(2hr)
5、使用闪变标准信号源输入以下闪变信号：
频率：0.5；波动量：0.579；波形：方波；占空比：50
6、 等待大约5min轴，检查pinst(3s)
</t>
    </r>
    <r>
      <rPr>
        <strike/>
        <sz val="8"/>
        <color theme="1"/>
        <rFont val="微软雅黑"/>
        <family val="2"/>
        <charset val="134"/>
      </rPr>
      <t>3、检查UaUbUc的Pinst(3s) , Pst(10mins) , Plt(2hours)是否均正确</t>
    </r>
    <phoneticPr fontId="10" type="noConversion"/>
  </si>
  <si>
    <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t>
    </r>
    <r>
      <rPr>
        <strike/>
        <sz val="8"/>
        <color theme="1"/>
        <rFont val="微软雅黑"/>
        <family val="2"/>
      </rPr>
      <t xml:space="preserve">
</t>
    </r>
    <r>
      <rPr>
        <sz val="8"/>
        <color theme="1"/>
        <rFont val="微软雅黑"/>
        <family val="2"/>
        <charset val="134"/>
      </rPr>
      <t>2026/4/15：武工确认：此处更新配置后下电在上电测试。</t>
    </r>
    <phoneticPr fontId="10" type="noConversion"/>
  </si>
  <si>
    <r>
      <t xml:space="preserve">1、Flicker Settings使能重置为230V-50Hz-60W Incandescent，源输入三相电压为230V，频率为50HZ
2、使用闪变标准信号源输入步骤一中输入闪变信号：
CPM(频度)：2；波动量：2.191；波形：方波；占空比：50
3、 等待到当前电表时间的第二10min整时刻时，检查Pst(10mins)
4、 等待当前电表时间的第一个10min整时刻的2hr后，检查Plt(2hr)
5、使用闪变标准信号源输入以下闪变信号：
频率：1；波动量：0.467；波形：方波；占空比：50
6、 等待大约5min轴，检查pinst(3s)
</t>
    </r>
    <r>
      <rPr>
        <strike/>
        <sz val="8"/>
        <color theme="1"/>
        <rFont val="微软雅黑"/>
        <family val="2"/>
        <charset val="134"/>
      </rPr>
      <t xml:space="preserve">
3、检查UaUbUc的Pinst(3s) , Pst(10mins) , Plt(2hours)是否均正确</t>
    </r>
    <phoneticPr fontId="10" type="noConversion"/>
  </si>
  <si>
    <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t>
    </r>
    <r>
      <rPr>
        <strike/>
        <sz val="8"/>
        <color theme="1"/>
        <rFont val="微软雅黑"/>
        <family val="2"/>
        <charset val="134"/>
      </rPr>
      <t xml:space="preserve">
</t>
    </r>
    <r>
      <rPr>
        <sz val="8"/>
        <color theme="1"/>
        <rFont val="微软雅黑"/>
        <family val="2"/>
        <charset val="134"/>
      </rPr>
      <t xml:space="preserve">
2026/4/15：武工确认：此处更新配置后下电在上电测试。</t>
    </r>
    <phoneticPr fontId="10" type="noConversion"/>
  </si>
  <si>
    <r>
      <t>1、Flicker Settings使能重置为120V-60Hz-60W Incandescent</t>
    </r>
    <r>
      <rPr>
        <sz val="8"/>
        <color theme="1"/>
        <rFont val="微软雅黑"/>
        <family val="2"/>
        <charset val="134"/>
      </rPr>
      <t>，源输入三相电压为120V，频率为60HZ
2、使用闪变标准信号源输入步骤一中输入闪变信号：
CPM(频度)：7；波动量：1.694；波形：方波；占空比：50
3、 等待到当前电表时间的第二10min整时刻时，检查Pst(10mins)
4、 等待当前电表时间的第一个10min整时刻的2hr后，检查Plt(2hr)
5、使用闪变标准信号源输入以下闪变信号：
频率：1.5；波动量：0.503；波形：方波；占空比：50
6、 等待大约5min轴，检查pinst(3s)</t>
    </r>
    <r>
      <rPr>
        <strike/>
        <sz val="8"/>
        <color theme="1"/>
        <rFont val="微软雅黑"/>
        <family val="2"/>
        <charset val="134"/>
      </rPr>
      <t xml:space="preserve">
3、检查UaUbUc的Pinst(3s) , Pst(10mins) , Plt(2hours)是否均正确</t>
    </r>
    <phoneticPr fontId="10" type="noConversion"/>
  </si>
  <si>
    <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t>
    </r>
    <r>
      <rPr>
        <strike/>
        <sz val="8"/>
        <color theme="1"/>
        <rFont val="微软雅黑"/>
        <family val="2"/>
      </rPr>
      <t xml:space="preserve">
</t>
    </r>
    <r>
      <rPr>
        <sz val="8"/>
        <color theme="1"/>
        <rFont val="微软雅黑"/>
        <family val="2"/>
        <charset val="134"/>
      </rPr>
      <t xml:space="preserve">
2026/4/15：武工确认：此处更新配置后下电在上电测试。</t>
    </r>
    <phoneticPr fontId="10" type="noConversion"/>
  </si>
  <si>
    <r>
      <t>1、Flicker Settings使能重置为230V-60Hz-60W Incandescent</t>
    </r>
    <r>
      <rPr>
        <sz val="8"/>
        <color theme="1"/>
        <rFont val="微软雅黑"/>
        <family val="2"/>
        <charset val="134"/>
      </rPr>
      <t xml:space="preserve">，源输入三相电压为230V，频率为60HZ
2、使用闪变标准信号源输入步骤一中输入闪变信号：
CPM(频度)：39；波动量：0.895；波形：方波；占空比：50
3、 等待到当前电表时间的第二10min整时刻时，检查Pst(10mins)
4、 等待当前电表时间的第一个10min整时刻的2hr后，检查Plt(2hr)
5、使用闪变标准信号源输入以下闪变信号：
频率：2；波动量：0.399；波形：方波；占空比：50
6、 等待大约5min轴，检查pinst(3s)
</t>
    </r>
    <r>
      <rPr>
        <strike/>
        <sz val="8"/>
        <color theme="1"/>
        <rFont val="微软雅黑"/>
        <family val="2"/>
        <charset val="134"/>
      </rPr>
      <t xml:space="preserve">
3、检查UaUbUc的Pinst(3s) , Pst(10mins) , Plt(2hours)是否均正确</t>
    </r>
    <phoneticPr fontId="10" type="noConversion"/>
  </si>
  <si>
    <r>
      <rPr>
        <strike/>
        <sz val="8"/>
        <color theme="1"/>
        <rFont val="微软雅黑"/>
        <family val="2"/>
        <charset val="134"/>
      </rP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t>
    </r>
  </si>
  <si>
    <r>
      <t>1、Flicker Settings使能重置为Automatic</t>
    </r>
    <r>
      <rPr>
        <sz val="8"/>
        <color theme="1"/>
        <rFont val="微软雅黑"/>
        <family val="2"/>
        <charset val="134"/>
      </rPr>
      <t xml:space="preserve">，源输入三相电压为120V，频率为50HZ
2、使用闪变标准信号源输入闪变信号：
CPM(频度)：110；波动量：0.844；波形：方波；占空比：50
3、 等待到当前电表时间的第二10min整时刻时，检查Pst(10mins)
4、 等待当前电表时间的第一个10min整时刻的2hr后，检查Plt(2hr)
5、使用闪变标准信号源输入以下闪变信号：
频率：2.5；波动量：0.438；波形：方波；占空比：50
6、 等待大约5min轴，检查pinst(3s)
</t>
    </r>
    <r>
      <rPr>
        <strike/>
        <sz val="8"/>
        <color theme="1"/>
        <rFont val="微软雅黑"/>
        <family val="2"/>
        <charset val="134"/>
      </rPr>
      <t xml:space="preserve">
3、检查UaUbUc的Pinst(3s) , Pst(10mins) , Plt(2hours)是否均正确</t>
    </r>
    <phoneticPr fontId="10" type="noConversion"/>
  </si>
  <si>
    <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
2026/4/15：</t>
    </r>
    <r>
      <rPr>
        <b/>
        <sz val="8"/>
        <color theme="1"/>
        <rFont val="微软雅黑"/>
        <family val="2"/>
        <charset val="134"/>
      </rPr>
      <t>武工确认：上位机这里的Flick页面配置修改，或者automatic模式，改变电压和频率，电表都是需要重启再测试</t>
    </r>
    <phoneticPr fontId="10" type="noConversion"/>
  </si>
  <si>
    <r>
      <rPr>
        <sz val="8"/>
        <color theme="1"/>
        <rFont val="微软雅黑"/>
        <family val="2"/>
        <charset val="134"/>
      </rPr>
      <t xml:space="preserve">1、Flicker Settings使能重置为Automatic，源输入三相电压为230V，频率为50HZ
2、使用闪变标准信号源输入  闪变信号：
CPM(频度)：1620；波动量：0.407；波形：方波；占空比：50
3、 等待到当前电表时间的第二10min整时刻时，检查Pst(10mins)
4、 等待当前电表时间的第一个10min整时刻的2hr后，检查Plt(2hr)
5、使用闪变标准信号源输入以下闪变信号：
频率：3；波动量：0.352；波形：方波；占空比：50
6、 等待大约5min轴，检查pinst(3s)
</t>
    </r>
    <r>
      <rPr>
        <strike/>
        <sz val="8"/>
        <color theme="1"/>
        <rFont val="微软雅黑"/>
        <family val="2"/>
        <charset val="134"/>
      </rPr>
      <t xml:space="preserve">
3、检查UaUbUc的Pinst(3s) , Pst(10mins) , Plt(2hours)是否均正确</t>
    </r>
  </si>
  <si>
    <r>
      <t xml:space="preserve">3、UaUbUc的Pinst(3s) , Pst(10mins) , Plt(2hours)均正确
</t>
    </r>
    <r>
      <rPr>
        <sz val="8"/>
        <color theme="1"/>
        <rFont val="微软雅黑"/>
        <family val="2"/>
        <charset val="134"/>
      </rPr>
      <t xml:space="preserve">
3、 Pst 刷新为1，满足精度要求5%
4、 plt刷新为1，没有精度要求，但不能离太远
6、 Pinst 刷新为1，精度满足8%</t>
    </r>
    <r>
      <rPr>
        <strike/>
        <sz val="8"/>
        <color theme="1"/>
        <rFont val="微软雅黑"/>
        <family val="2"/>
      </rPr>
      <t xml:space="preserve">
</t>
    </r>
    <r>
      <rPr>
        <sz val="8"/>
        <color theme="1"/>
        <rFont val="微软雅黑"/>
        <family val="2"/>
        <charset val="134"/>
      </rPr>
      <t xml:space="preserve">
2026/4/15：武工确认：上位机这里的Flick页面配置修改，或者automatic模式，改变电压和频率，电表都是需要重启再测试</t>
    </r>
    <phoneticPr fontId="10" type="noConversion"/>
  </si>
  <si>
    <r>
      <rPr>
        <sz val="8"/>
        <color theme="1"/>
        <rFont val="微软雅黑"/>
        <family val="2"/>
        <charset val="134"/>
      </rPr>
      <t xml:space="preserve">1、Flicker Settings使能重置为Automatic，源输入三相电压为120V，频率为60HZ
2、使用闪变标准信号源输入闪变信号：
CPM(频度)：4880；波动量：4.837；波形：方波；占空比：50
3、 等待到当前电表时间的第二10min整时刻时，检查Pst(10mins)
4、 等待当前电表时间的第一个10min整时刻的2hr后，检查Plt(2hr)
5、使用闪变标准信号源输入以下闪变信号：
频率：3.5；波动量：0.408；波形：方波；占空比：50
6、 等待大约5min轴，检查pinst(3s)
</t>
    </r>
    <r>
      <rPr>
        <strike/>
        <sz val="8"/>
        <color theme="1"/>
        <rFont val="微软雅黑"/>
        <family val="2"/>
        <charset val="134"/>
      </rPr>
      <t xml:space="preserve">
3、检查UaUbUc的Pinst(3s) , Pst(10mins) , Plt(2hours)是否均正确</t>
    </r>
  </si>
  <si>
    <r>
      <rPr>
        <sz val="8"/>
        <color theme="1"/>
        <rFont val="微软雅黑"/>
        <family val="2"/>
        <charset val="134"/>
      </rPr>
      <t xml:space="preserve">1、Flicker Settings使能重置为Automatic，源输入三相电压为230V，频率为60HZ
2、使用闪变标准信号源输入闪变信号：
CPM(频度)：1；波动量：2.194；波形：方波；占空比：50
3、 等待到当前电表时间的第二10min整时刻时，检查Pst(10mins)
4、 等待当前电表时间的第一个10min整时刻的2hr后，检查Plt(2hr)
5、使用闪变标准信号源输入以下闪变信号：
频率：4；波动量：0.331；波形：方波；占空比：50
6、 等待大约5min轴，检查pinst(3s)
</t>
    </r>
    <r>
      <rPr>
        <strike/>
        <sz val="8"/>
        <color theme="1"/>
        <rFont val="微软雅黑"/>
        <family val="2"/>
        <charset val="134"/>
      </rPr>
      <t xml:space="preserve">
3、检查UaUbUc的Pinst(3s) , Pst(10mins) , Plt(2hours)是否均正确</t>
    </r>
  </si>
  <si>
    <r>
      <rPr>
        <sz val="8"/>
        <color theme="1"/>
        <rFont val="微软雅黑"/>
        <family val="2"/>
        <charset val="134"/>
      </rPr>
      <t xml:space="preserve">1、datalogger1选择(实时参数、电压电流需量、电能、THD、谐波、序列分量、相角、DI、双源电能参数)
</t>
    </r>
    <r>
      <rPr>
        <b/>
        <sz val="8"/>
        <color theme="1"/>
        <rFont val="微软雅黑"/>
        <family val="2"/>
        <charset val="134"/>
      </rPr>
      <t xml:space="preserve">1.1  导入填写正确服务token (测试http服务器需要校验token)
</t>
    </r>
    <r>
      <rPr>
        <sz val="8"/>
        <color theme="1"/>
        <rFont val="微软雅黑"/>
        <family val="2"/>
        <charset val="134"/>
      </rPr>
      <t>2、选择通道参数组合1(上报频率1 min)
参数组合1: 
EnableDatalogpost:"enable"，
PostProtocol:"http"，URL:"http:xxx", 
LogFileFormat:"JSON",
TimestampFormat:"</t>
    </r>
    <r>
      <rPr>
        <b/>
        <sz val="8"/>
        <color theme="1"/>
        <rFont val="微软雅黑"/>
        <family val="2"/>
        <charset val="134"/>
      </rPr>
      <t>ISO8601 Format</t>
    </r>
    <r>
      <rPr>
        <sz val="8"/>
        <color theme="1"/>
        <rFont val="微软雅黑"/>
        <family val="2"/>
        <charset val="134"/>
      </rPr>
      <t>" ， 例如:2026-03-11T11:28:00+08:00,
LogFileNameFormat:"</t>
    </r>
    <r>
      <rPr>
        <b/>
        <sz val="8"/>
        <color theme="1"/>
        <rFont val="微软雅黑"/>
        <family val="2"/>
        <charset val="134"/>
      </rPr>
      <t>UTC timestamp"</t>
    </r>
    <r>
      <rPr>
        <sz val="8"/>
        <color theme="1"/>
        <rFont val="微软雅黑"/>
        <family val="2"/>
        <charset val="134"/>
      </rPr>
      <t xml:space="preserve">,      </t>
    </r>
    <r>
      <rPr>
        <b/>
        <sz val="8"/>
        <color theme="1"/>
        <rFont val="微软雅黑"/>
        <family val="2"/>
        <charset val="134"/>
      </rPr>
      <t xml:space="preserve">例如: AN53050387--1484578000_intervaltime.json
</t>
    </r>
    <r>
      <rPr>
        <sz val="8"/>
        <color theme="1"/>
        <rFont val="微软雅黑"/>
        <family val="2"/>
        <charset val="134"/>
      </rPr>
      <t>LogInterval:"1 mins",
PostFileLength:"1 mins",
datalog中logging Interval设置1mins，sectors 配置100
3、检查是否1mins上传一个文件 ，且文件推送数据格式及内容正常，</t>
    </r>
  </si>
  <si>
    <r>
      <t xml:space="preserve">1、datalogger1选择(实时参数、电压电流需量、电能、THD、谐波、序列分量、相角、DI、双源电能参数)
</t>
    </r>
    <r>
      <rPr>
        <b/>
        <sz val="8"/>
        <color theme="1"/>
        <rFont val="微软雅黑"/>
        <family val="2"/>
        <charset val="134"/>
      </rPr>
      <t xml:space="preserve">1.1  导入填写正确服务token (测试http服务器需要校验token)
</t>
    </r>
    <r>
      <rPr>
        <sz val="8"/>
        <color theme="1"/>
        <rFont val="微软雅黑"/>
        <family val="2"/>
        <charset val="134"/>
      </rPr>
      <t xml:space="preserve">2、选择通道参数组合 (上报频率  60s)
参数组合2:
EnableDatalogpost:"enable"，
PostProtocol:"https"，URL:"https:xxx", 
LogFileFormat:"JSON",
TimestampFormat:"UTC seconds， </t>
    </r>
    <r>
      <rPr>
        <b/>
        <sz val="8"/>
        <color theme="1"/>
        <rFont val="微软雅黑"/>
        <family val="2"/>
        <charset val="134"/>
      </rPr>
      <t>也叫Unix timestamp， 例如:1770818304</t>
    </r>
    <r>
      <rPr>
        <sz val="8"/>
        <color theme="1"/>
        <rFont val="微软雅黑"/>
        <family val="2"/>
        <charset val="134"/>
      </rPr>
      <t>",
LogFileNameFormat:"</t>
    </r>
    <r>
      <rPr>
        <b/>
        <sz val="8"/>
        <color theme="1"/>
        <rFont val="微软雅黑"/>
        <family val="2"/>
        <charset val="134"/>
      </rPr>
      <t xml:space="preserve">"UTC timestamp",      例如: AN53050387--1484578000_intervaltime.json
</t>
    </r>
    <r>
      <rPr>
        <sz val="8"/>
        <color theme="1"/>
        <rFont val="微软雅黑"/>
        <family val="2"/>
        <charset val="134"/>
      </rPr>
      <t>LogInterval:"60 s",
PostFileLength:"4 mins",
datalog中logging Interval设置2mins，sectors 配置100
3、检查是否4mins上传2个文件 ，且文件推送数据格式及内容正常，</t>
    </r>
  </si>
  <si>
    <t>3、间隔 4mins上传1个文件，包含两条数据 ，且文件推送数据格式及内容正常。</t>
  </si>
  <si>
    <r>
      <t xml:space="preserve">1、datalogger1选择(实时参数、电压电流需量、电能、THD、谐波、序列分量、相角、DI、双源电能参数)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  300s)
参数组合3:
EnableDatalogpost:"enable"，
PostProtocol:"http"，URL:"http:xxx", 
LogFileFormat:"CSV",
TimestampFormat:"</t>
    </r>
    <r>
      <rPr>
        <b/>
        <sz val="8"/>
        <color theme="1"/>
        <rFont val="微软雅黑"/>
        <family val="2"/>
        <charset val="134"/>
      </rPr>
      <t>UTC Seconds</t>
    </r>
    <r>
      <rPr>
        <sz val="8"/>
        <color theme="1"/>
        <rFont val="微软雅黑"/>
        <family val="2"/>
        <charset val="134"/>
      </rPr>
      <t>，</t>
    </r>
    <r>
      <rPr>
        <b/>
        <sz val="8"/>
        <color theme="1"/>
        <rFont val="微软雅黑"/>
        <family val="2"/>
        <charset val="134"/>
      </rPr>
      <t xml:space="preserve"> 也叫Unix timestamp， 例如:1770818304",</t>
    </r>
    <r>
      <rPr>
        <sz val="8"/>
        <color theme="1"/>
        <rFont val="微软雅黑"/>
        <family val="2"/>
        <charset val="134"/>
      </rPr>
      <t xml:space="preserve">
LogFileNameFormat: </t>
    </r>
    <r>
      <rPr>
        <b/>
        <sz val="8"/>
        <color theme="1"/>
        <rFont val="微软雅黑"/>
        <family val="2"/>
        <charset val="134"/>
      </rPr>
      <t>“Time interval based, 例如: AN53050387-2017-01-10T12-00-3day.csv“</t>
    </r>
    <r>
      <rPr>
        <sz val="8"/>
        <color theme="1"/>
        <rFont val="微软雅黑"/>
        <family val="2"/>
        <charset val="134"/>
      </rPr>
      <t xml:space="preserve">
LogInterval:"300 s",
PostFileLength:"10 mins",
datalog中logging Interval设置2mins
3、检查是否10mins上传一个文件 ，且文件推送数据格式及内容正常，</t>
    </r>
    <phoneticPr fontId="10" type="noConversion"/>
  </si>
  <si>
    <r>
      <t xml:space="preserve">1、datalogger1选择(实时参数、电压电流需量、电能、THD、谐波、序列分量、相角、DI、双源电能参数)
</t>
    </r>
    <r>
      <rPr>
        <b/>
        <sz val="8"/>
        <color theme="1"/>
        <rFont val="微软雅黑"/>
        <family val="2"/>
        <charset val="134"/>
      </rPr>
      <t xml:space="preserve">1.1  导入填写正确服务token (测试http服务器需要校验token)
</t>
    </r>
    <r>
      <rPr>
        <sz val="8"/>
        <color theme="1"/>
        <rFont val="微软雅黑"/>
        <family val="2"/>
        <charset val="134"/>
      </rPr>
      <t>2、选择通道参数组合 (上报频率600  s)
参数组合4:
EnableDatalogpost:"enable"，
PostProtocol:"https"，URL:"https:xxx", 
LogFileFormat:"CSV",
TimestampFormat:</t>
    </r>
    <r>
      <rPr>
        <b/>
        <sz val="8"/>
        <color theme="1"/>
        <rFont val="微软雅黑"/>
        <family val="2"/>
        <charset val="134"/>
      </rPr>
      <t xml:space="preserve">"ISO8601 Format" ， 例如:2026-03-11T11:28:00+08:00,
</t>
    </r>
    <r>
      <rPr>
        <sz val="8"/>
        <color theme="1"/>
        <rFont val="微软雅黑"/>
        <family val="2"/>
        <charset val="134"/>
      </rPr>
      <t>LogFileNameFormat:</t>
    </r>
    <r>
      <rPr>
        <b/>
        <sz val="8"/>
        <color theme="1"/>
        <rFont val="微软雅黑"/>
        <family val="2"/>
        <charset val="134"/>
      </rPr>
      <t xml:space="preserve">“Time interval based, 例如: AN53050387-2017-01-10T12-00-3day.csv“
</t>
    </r>
    <r>
      <rPr>
        <sz val="8"/>
        <color theme="1"/>
        <rFont val="微软雅黑"/>
        <family val="2"/>
        <charset val="134"/>
      </rPr>
      <t>LogInterval:"600 s",
PostFileLength:"6 mins",
datalog中logging Interval设置4mins，sectors 配置100
3、检查是否10mins上传一个文件 ，，文件中记录一条数据 ，且文件推送数据格式及内容正常，</t>
    </r>
  </si>
  <si>
    <r>
      <t xml:space="preserve">
1、datalogger1选择(实时参数、电压电流需量、电能、THD、谐波、序列分量、相角、DI、双源电能参数)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(上报频率1800  s)
参数组合5:
EnableDatalogpost:"enable"，
PostProtocol:"http"，URL:"http:xxx", 
LogFileFormat:"JSON",
TimestampFormat:"ISO8601 Format" ， 例如:2026-03-11T11:28:00+08:00,,
LogFileNameFormat:““Time interval based, 例如: AN53050387-2017-01-10T12-00-3day.csv“, 
LogInterval:"1800 s",
PostFileLength:"1 hour",
datalog中logging Interval设置2mins
3、检查是否30mins上传30个文件 ，且文件推送数据格式及内容正常，</t>
    </r>
    <phoneticPr fontId="10" type="noConversion"/>
  </si>
  <si>
    <r>
      <t xml:space="preserve">
1、datalogger1选择(实时参数、电压电流需量、电能、THD、谐波、序列分量、相角、DI、双源电能参数)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 86400 s)
参数组合6:
EnableDatalogpost:"enable"，PostProtocol:"http"，
URL:"http:xxx", 
LogFileFormat:"JSON",
TimestampFormat:"UTC seconds， 也叫Unix timestamp， 例如:1770818304",,
LogFileNameFormat:</t>
    </r>
    <r>
      <rPr>
        <b/>
        <sz val="8"/>
        <color theme="1"/>
        <rFont val="微软雅黑"/>
        <family val="2"/>
        <charset val="134"/>
      </rPr>
      <t xml:space="preserve">“Time interval based, 例如: AN53050387-2017-01-10T12-00-3day.csv“, </t>
    </r>
    <r>
      <rPr>
        <sz val="8"/>
        <color theme="1"/>
        <rFont val="微软雅黑"/>
        <family val="2"/>
        <charset val="134"/>
      </rPr>
      <t xml:space="preserve">
LogInterval:"24 hours",
PostFileLength:"1 day",
datalog中logging Interval设置2mins，sectors 配置100
3、检查是否86400 s上传720个文件 ，且文件推送数据格式及内容正常，</t>
    </r>
    <phoneticPr fontId="10" type="noConversion"/>
  </si>
  <si>
    <r>
      <t xml:space="preserve">1、datalogger1选择(实时参数、电压电流需量、电能、THD、谐波、序列分量、相角、DI、双源电能参数)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 604800 s)
参数组合7:
EnableDatalogpost:"enable"，
PostProtocol:"http"，URL:"http:xxx", 
LogFileFormat:"JSON",
TimestampFormat:"ISO8601 Format" ， 例如:2026-03-11T11:28:00+08:00,,
LogFileNameFormat:““Time interval based, 例如: AN53050387-2017-01-10T12-00-3day.csv“
LogInterval:"7 day",
PostFileLength:"1 mount",
datalog中logging Interval设置2mins，sectors 配置100
3、检查是否1mins上传一个文件 ，且文件推送数据格式及内容正常，</t>
    </r>
    <phoneticPr fontId="10" type="noConversion"/>
  </si>
  <si>
    <r>
      <t>1、datalogger1选择(实时参数、电压电流需量、电能、THD、谐波、序列分量、相角、DI、双源电能参数)
1.1  导入填写正确服务token (测试http服务器需要校验token)
2、选择通道参数组合 (上报频率  60s)
参数组合2:
EnableDatalogpost:"enable"，
PostProtocol:"http"，URL:"http:xxx", 
LogFileFormat:"JSON",
TimestampFormat:"ISO8601 Format" ， 例如:2026-03-11T11:28:00+08:00,,
LogFileNameFormat:</t>
    </r>
    <r>
      <rPr>
        <b/>
        <sz val="8"/>
        <color theme="1"/>
        <rFont val="微软雅黑"/>
        <family val="2"/>
        <charset val="134"/>
      </rPr>
      <t>":"UTC timestamp",      例如: AN53050387--1484578000_intervaltime.json</t>
    </r>
    <r>
      <rPr>
        <sz val="8"/>
        <color theme="1"/>
        <rFont val="微软雅黑"/>
        <family val="2"/>
        <charset val="134"/>
      </rPr>
      <t xml:space="preserve">
LogInterval:"60 s",
PostFileLength:"4 mins",
datalog中logging Interval设置2mins
3、配置错误Token
4、使能DataLog开关
5、等待10mins， 掉电重启电表
6、观察过去10分钟，datalogger1的数据是否上传到http server上
7、配置正确Token， 等待5mins
8、检查T1时间错过的文件是否在通信恢复后，补充推送数据到http server上。</t>
    </r>
    <phoneticPr fontId="10" type="noConversion"/>
  </si>
  <si>
    <t>1、datalogger2选择(实时参数、电压电流需量、电能、THD、谐波、序列分量、相角、DI、双源电能参数)
1.1  导入填写正确服务token (测试http服务器需要校验token)
2、选择通道参数组合1(上报频率1 s)
参数组合1: 
EnableDatalogpost:"enable"，
PostProtocol:"http"，URL:"http:xxx", 
LogFileFormat:"JSON",
TimestampFormat:"ISO8601 Format" ， 例如:2026-03-11T11:28:00+08:00,,
LogFileNameFormat::"UTC timestamp",      例如: AN53050387--1484578000_intervaltime.json, 
LogInterval:"60 s",
PostFileLength:"1 mins",
datalog中logging Interval设置1mins，sectors 配置100
3、检查是否1mins上传一个文件 ，且文件推送数据格式及内容正常</t>
    <phoneticPr fontId="10" type="noConversion"/>
  </si>
  <si>
    <r>
      <t xml:space="preserve">1、datalogger2选择(实时参数、电压电流需量、电能、THD、谐波、序列分量、相角、DI、双源电能参数)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  60s)
参数组合2:
EnableDatalogpost:"enable"，
PostProtocol:"https"，URL:"https:xxx", 
LogFileFormat:"JSON",
TimestampFormat:"ISO8601 Format" ， 例如:2026-03-11T11:28:00+08:00,,
LogFileNameFormat:</t>
    </r>
    <r>
      <rPr>
        <b/>
        <sz val="8"/>
        <color theme="1"/>
        <rFont val="微软雅黑"/>
        <family val="2"/>
        <charset val="134"/>
      </rPr>
      <t xml:space="preserve">"UTC timestamp",      例如: AN53050387-2026-02-06T15-29-51-0500-1sec.json </t>
    </r>
    <r>
      <rPr>
        <sz val="8"/>
        <color theme="1"/>
        <rFont val="微软雅黑"/>
        <family val="2"/>
        <charset val="134"/>
      </rPr>
      <t xml:space="preserve">
LogInterval:"60 s",
PostFileLength:"4 mins",
datalog中logging Interval设置2mins，sectors 配置100
3、检查是否4mins上传2个文件 ，且文件推送数据格式及内容正常</t>
    </r>
    <phoneticPr fontId="10" type="noConversion"/>
  </si>
  <si>
    <t>3、间隔 4mins上传1个文件，包含两条数据 ，且文件推送数据格式及内容正常。</t>
    <phoneticPr fontId="10" type="noConversion"/>
  </si>
  <si>
    <t xml:space="preserve">
1、datalogger3选择(实时参数、电压电流需量、电能、THD、谐波、序列分量、相角、DI、双源电能参数)
1.1  导入填写正确服务token (测试http服务器需要校验token)
2、选择通道参数组合 (上报频率  300s)
参数组合3:
EnableDatalogpost:"enable"，
PostProtocol:"http"，URL:"http:xxx", 
LogFileFormat:"CSV",
TimestampFormat:"UTC seconds， 也叫Unix timestamp， 例如:1770818304",,
LogFileNameFormat:“Time interval based, 例如: AN53050387-2017-01-10T12-00-3day.csv“
LogInterval:"300 s",
PostFileLength:"10 mins",
datalog中logging Interval设置2mins，sectors 配置100
3、检查是否10mins上传一个文件 ，且文件推送数据格式及内容正常
4、检查文件格式是否符合要求
备注:  更新的需求如下
 Time Interval Format
 公式： fileName = serialNumber + "-" + optionalPrefix + "-" + nameStr + "-" + intervalName+ ".json/.csv";
 nameStr 在UTC Seconds模式下就是time_t转string， 类似“1770818304”，在time interval模式下是Y-%m-%dT%H-%M-%S%Timezone
intervalName是指log interval，数据多久记录一次。
例如：
AN53050387-2026-02-06T15-29-51-0500-1sec.json，
AN53050387-1770818304-1sec.csv。</t>
    <phoneticPr fontId="10" type="noConversion"/>
  </si>
  <si>
    <r>
      <t>1、datalogger3选择(实时参数、电压电流需量、电能、THD、谐波、序列分量、相角、DI、双源电能参数)
2、选择通道参数组合 (上报频率600  s)
参数组合4:
EnableDatalogpost:"enable"，
PostProtocol:"https"，URL:"https:xxx", 
LogFileFormat:"CSV",
TimestampFormat:"ISO8601 Format" ， 例如:2026-03-11T11:28:00+08:00,
LogFileNameFormat:</t>
    </r>
    <r>
      <rPr>
        <b/>
        <sz val="8"/>
        <color theme="1"/>
        <rFont val="微软雅黑"/>
        <family val="2"/>
        <charset val="134"/>
      </rPr>
      <t>“Time interval based, 例如: AN53050387-2017-01-10T12-00-3day.csv“</t>
    </r>
    <r>
      <rPr>
        <sz val="8"/>
        <color theme="1"/>
        <rFont val="微软雅黑"/>
        <family val="2"/>
        <charset val="134"/>
      </rPr>
      <t xml:space="preserve"> 
LogInterval:"600 s",
PostFileLength:"6 mins",
datalog中logging Interval设置4mins，sectors 配置100
3、检查是否10mins上传一个文件 ，且文件推送数据格式及内容正常</t>
    </r>
    <phoneticPr fontId="10" type="noConversion"/>
  </si>
  <si>
    <r>
      <t>1、Trendlog选择(实时参数、电压电流需量、电能、THD、谐波、序列分量、相角、DI、双源电能参数)
1.1  导入填写正确服务token (测试http服务器需要校验token)
2、选择通道参数组合 (上报频率  60s)
参数组合2:
EnableDatalogpost:"enable"，
PostProtocol:"https"，URL:"https:xxx", 
LogFileFormat:"JSON",
TimestampFormat:"ISO8601 Format" ， 例如:2026-03-11T11:28:00+08:00,
LogFileNameFormat:</t>
    </r>
    <r>
      <rPr>
        <b/>
        <sz val="8"/>
        <color theme="1"/>
        <rFont val="微软雅黑"/>
        <family val="2"/>
        <charset val="134"/>
      </rPr>
      <t xml:space="preserve">":"UTC timestamp",      例如: AN53050387--1484578000_intervaltime.json
</t>
    </r>
    <r>
      <rPr>
        <sz val="8"/>
        <color theme="1"/>
        <rFont val="微软雅黑"/>
        <family val="2"/>
        <charset val="134"/>
      </rPr>
      <t>LogInterval:"60 s",
PostFileLength:"4 mins",
datalog中logging Interval设置2mins，sectors 配置100
3、检查是否4mins上传2个文件 ，且文件推送数据格式及内容正常</t>
    </r>
  </si>
  <si>
    <r>
      <t xml:space="preserve">1、Trendlog选择(实时参数、电压电流需量、电能、THD、谐波、序列分量、相角、DI、双源电能参数)
</t>
    </r>
    <r>
      <rPr>
        <b/>
        <sz val="8"/>
        <color theme="1"/>
        <rFont val="微软雅黑"/>
        <family val="2"/>
        <charset val="134"/>
      </rPr>
      <t>1.1  导入填写正确服务token (测试http服务器需要校验token)</t>
    </r>
    <r>
      <rPr>
        <sz val="8"/>
        <color theme="1"/>
        <rFont val="微软雅黑"/>
        <family val="2"/>
        <charset val="134"/>
      </rPr>
      <t xml:space="preserve">
2、选择通道参数组合 (上报频率  300s)
参数组合3:
EnableDatalogpost:"enable"，
PostProtocol:"http"，URL:"http:xxx", 
LogFileFormat:"CSV",
TimestampFormat:"UTC seconds， 也叫Unix timestamp， 例如:1770818304",,
LogFileNameFormat:“Time interval based, 例如: AN53050387-2017-01-10T12-00-3day.csv“ 
LogInterval:"300 s",
PostFileLength:"10 mins",
datalog中logging Interval设置2mins，sectors 配置100
3、检查是否10mins上传一个文件 ，且文件推送数据格式及内容正常</t>
    </r>
    <phoneticPr fontId="10" type="noConversion"/>
  </si>
  <si>
    <r>
      <t xml:space="preserve">1、切换模式comm
2、Direction为Grid
2.2、 输入均为400V 5A 压流角30°
3、Energy1&amp;2&amp;3设置EP_A,&amp;EP_B&amp;EP_C
4、等待5分钟，
5、检查Energy1&amp;2&amp;3的Grid计算是否正确， Energy1&amp;2&amp;3General增加为0
</t>
    </r>
    <r>
      <rPr>
        <b/>
        <sz val="8"/>
        <color theme="1"/>
        <rFont val="微软雅黑"/>
        <family val="2"/>
        <charset val="134"/>
      </rPr>
      <t>6、检查HMI界面Dual Source Energy的Reading 数据是否正确</t>
    </r>
    <phoneticPr fontId="10" type="noConversion"/>
  </si>
  <si>
    <r>
      <t xml:space="preserve">5、Energy1&amp;2&amp;3的Grid计算正确， Energy1&amp;2&amp;3 General增加为0
</t>
    </r>
    <r>
      <rPr>
        <b/>
        <sz val="8"/>
        <color theme="1"/>
        <rFont val="微软雅黑"/>
        <family val="2"/>
        <charset val="134"/>
      </rPr>
      <t>6、HMI界面Dual Source Energy的Reading 数据正确</t>
    </r>
    <phoneticPr fontId="10" type="noConversion"/>
  </si>
  <si>
    <r>
      <t xml:space="preserve">1、切换模式comm
2、Direction为Grid
3、Energy1&amp;2&amp;3设置Eq_A,&amp;Eq_B&amp;Eq_C
4、等待5分钟，
5、检查Energy1&amp;2&amp;3的Grid计算是否正确， Energy1&amp;2&amp;3General增加为0
</t>
    </r>
    <r>
      <rPr>
        <b/>
        <sz val="8"/>
        <color theme="1"/>
        <rFont val="微软雅黑"/>
        <family val="2"/>
        <charset val="134"/>
      </rPr>
      <t>6、检查HMI界面Dual Source Energy的Reading 数据是否正确</t>
    </r>
    <phoneticPr fontId="10" type="noConversion"/>
  </si>
  <si>
    <r>
      <t xml:space="preserve">1、切换模式comm
2、Direction为Grid
2.2、 输入均为400V 5A 压流角30°
3、Energy1&amp;2&amp;3设置Es_A,&amp;Es_B&amp;Es_C
4、等待5分钟，
5、检查Energy1&amp;2&amp;3的Grid计算是否正确， Energy1&amp;2&amp;3General增加为0
</t>
    </r>
    <r>
      <rPr>
        <b/>
        <sz val="8"/>
        <color theme="1"/>
        <rFont val="微软雅黑"/>
        <family val="2"/>
        <charset val="134"/>
      </rPr>
      <t>6、检查HMI界面Dual Source Energy的Reading 数据是否正确</t>
    </r>
    <phoneticPr fontId="10" type="noConversion"/>
  </si>
  <si>
    <t>1、切换模式comm
2、Direction为Grid
2.2、 输入均为400V 5A 压流角30°
3、Energy1&amp;2&amp;3设置Ep,&amp;Eq&amp;Es
4、等待5分钟，
5、检查Energy1&amp;2&amp;3的Grid计算是否正确， Energy1&amp;2&amp;3General增加为0</t>
    <phoneticPr fontId="10" type="noConversion"/>
  </si>
  <si>
    <t>1、切换模式comm
2、Direction为Grid
2.2、 输入均为400V 5A 压流角30°
3、Energy1&amp;2&amp;3设置EP_B,&amp;EP_B&amp;EP_B
4、等待5分钟，
5、检查Energy1&amp;2&amp;3的Grid计算是否正确， Energy1&amp;2&amp;3General增加为0</t>
    <phoneticPr fontId="10" type="noConversion"/>
  </si>
  <si>
    <t>1、切换模式comm
2、Direction为Grid
2.2、 输入均为400V 5A 压流角30°
3、Energy1&amp;2&amp;3设置Es,&amp;Es&amp;Es
4、等待5分钟，
5、检查Energy1&amp;2&amp;3的Grid计算是否正确， Energy1&amp;2&amp;3General增加为0</t>
    <phoneticPr fontId="10" type="noConversion"/>
  </si>
  <si>
    <t>1、切换模式comm
2、Direction为Grid
2.2、 输入均为400V 5A 压流角30°
3、Energy1&amp;2&amp;3设置undefined
4、等待5分钟，
5、检查Energy1&amp;2&amp;3的Grid计算是否正确， Energy1&amp;2&amp;3General增加为0</t>
    <phoneticPr fontId="10" type="noConversion"/>
  </si>
  <si>
    <t>1、切换模式comm
2、Direction为Grid
2.2、 输入均为400V 5A 压流角30°
3、Energy1&amp;2&amp;3设置Ep_B,&amp;Eq_A&amp;Es_C
4、等待5分钟，
5、检查Energy1&amp;2&amp;3的Grid计算是否正确， Energy1&amp;2&amp;3General增加为0</t>
    <phoneticPr fontId="10" type="noConversion"/>
  </si>
  <si>
    <t>1、切换模式comm
2、Direction为Grid
2.2、 输入均为400V 5A 压流角30°
3、Energy1&amp;2&amp;3设置Ep_C,&amp;Ep_B&amp;Es_A
4、等待5分钟，
5、检查Energy1&amp;2&amp;3的Grid计算是否正确， Energy1&amp;2&amp;3General增加为0</t>
    <phoneticPr fontId="10" type="noConversion"/>
  </si>
  <si>
    <t>1、HMI界面上设置，切换模式comm
2、HMI界面上设置，Direction为Grid
2.2、 输入均为400V 5A 压流角30°
3、HMI界面上设置，Energy1&amp;2&amp;3设置Es_C,&amp;Ep_B&amp;Es
4、等待5分钟，
5、检查Energy1&amp;2&amp;3的Grid计算是否正确， Energy1&amp;2&amp;3General增加为0</t>
    <phoneticPr fontId="10" type="noConversion"/>
  </si>
  <si>
    <t>1、切换模式comm
2、Direction为Grid
2.2、 输入均为400V 5A 压流角30°
3、Energy1&amp;2&amp;3设置Ep,&amp;Ep_B&amp;Es
4、等待5分钟，
5、检查Energy1&amp;2&amp;3的Grid计算是否正确， Energy1&amp;2&amp;3General增加为0</t>
    <phoneticPr fontId="10" type="noConversion"/>
  </si>
  <si>
    <t>1、切换模式comm
2、Direction为Grid
2.2、 输入均为400V 5A 压流角30°
3、Energy1&amp;2&amp;3设置Ep,&amp;undefined&amp;Es
4、等待5分钟，
5、检查Energy1&amp;2&amp;3的Grid计算是否正确， Energy1&amp;2&amp;3General增加为0</t>
    <phoneticPr fontId="10" type="noConversion"/>
  </si>
  <si>
    <t>1、DualSource使能状态为Disable
1.1 接入负载， 等待5mins
2、检查Grid功能是否失效，上位机继续展示Grid内容， 且内瓤不变</t>
    <phoneticPr fontId="10" type="noConversion"/>
  </si>
  <si>
    <t>2、Grid功能失效，上位机继续展示Grid内容， 且内瓤不变
备注： 失效即是能量不再累计，上位机显示没有其他变化</t>
    <phoneticPr fontId="10" type="noConversion"/>
  </si>
  <si>
    <t>1、切换模式comm
2、Direction为Generator
2.2、 输入均为400V 5A 压流角30°
3、Energy1&amp;2&amp;3设置EP_A,&amp;EP_B&amp;EP_C
4、等待5分钟，
5、检查Energy1&amp;2&amp;3的Generator计算是否正确， Energy1&amp;2&amp;3 Grid增加为0</t>
    <phoneticPr fontId="10" type="noConversion"/>
  </si>
  <si>
    <t>1、切换模式comm
2、Direction为Generator
2.2、 输入均为400V 5A 压流角30°
3、Energy1&amp;2&amp;3设置Eq_A,&amp;Eq_B&amp;Eq_C
4、等待5分钟，
5、检查Energy1&amp;2&amp;3的Generator计算是否正确， Energy1&amp;2&amp;3 Grid增加为0</t>
    <phoneticPr fontId="10" type="noConversion"/>
  </si>
  <si>
    <t>1、切换模式comm
2、Direction为Generator
2.2、 输入均为400V 5A 压流角30°
3、Energy1&amp;2&amp;3设置Es_A,&amp;Es_B&amp;Es_C
4、等待5分钟，
5、检查Energy1&amp;2&amp;3的Generator计算是否正确， Energy1&amp;2&amp;3 Grid增加为0</t>
    <phoneticPr fontId="10" type="noConversion"/>
  </si>
  <si>
    <t>1、切换模式comm
2、Direction为Generator
2.2、 输入均为400V 5A 压流角30°
3、Energy1&amp;2&amp;3设置Ep,&amp;Eq&amp;Es
4、等待5分钟，
5、检查Energy1&amp;2&amp;3的Generator计算是否正确， Energy1&amp;2&amp;3 Grid增加为0</t>
    <phoneticPr fontId="10" type="noConversion"/>
  </si>
  <si>
    <t>1、切换模式comm
2、Direction为Generator
2.2、 输入均为400V 5A 压流角30°
3、Energy1&amp;2&amp;3设置EP_A,&amp;EP_A&amp;EP_A
4、等待5分钟，
5、检查Energy1&amp;2&amp;3的Generator计算是否正确， Energy1&amp;2&amp;3 Grid增加为0</t>
    <phoneticPr fontId="10" type="noConversion"/>
  </si>
  <si>
    <t>1、切换模式comm
2、Direction为Generator
2.2、 输入均为400V 5A 压流角30°
3、Energy1&amp;2&amp;3设置Ep,&amp;Ep&amp;Ep
4、等待5分钟，
5、检查Energy1&amp;2&amp;3的Generator计算是否正确， Energy1&amp;2&amp;3 Grid增加为0</t>
    <phoneticPr fontId="10" type="noConversion"/>
  </si>
  <si>
    <t>1、切换模式comm
2、Direction为Generator
2.2、 输入均为400V 5A 压流角30°
3、Energy1&amp;2&amp;3设置Es,&amp;Es&amp;Es
4、等待5分钟，
5、检查Energy1&amp;2&amp;3的Generator计算是否正确， Energy1&amp;2&amp;3 Grid增加为0</t>
    <phoneticPr fontId="10" type="noConversion"/>
  </si>
  <si>
    <t>1、切换模式comm
2、Direction为Generator
2.2、 输入均为400V 5A 压流角30°
3、Energy1&amp;2&amp;3设置undefined
4、等待5分钟，
5、检查Energy1&amp;2&amp;3的Generator计算是否正确， Energy1&amp;2&amp;3 Grid增加为0</t>
    <phoneticPr fontId="10" type="noConversion"/>
  </si>
  <si>
    <t>1、切换模式comm
2、Direction为Generator
2.2、 输入均为400V 5A 压流角30°
3、Energy1&amp;2&amp;3设置Ep_B,&amp;Eq_A&amp;Es_C
4、等待5分钟，
5、检查Energy1&amp;2&amp;3的Generator计算是否正确， Energy1&amp;2&amp;3 Grid增加为0</t>
    <phoneticPr fontId="10" type="noConversion"/>
  </si>
  <si>
    <t>1、切换模式comm
2、Direction为Generator
2.2、 输入均为400V 5A 压流角30°
3、Energy1&amp;2&amp;3设置Ep_C,&amp;Ep_B&amp;Es_A
4、等待5分钟，
5、检查Energy1&amp;2&amp;3的Generator计算是否正确， Energy1&amp;2&amp;3 Grid增加为0</t>
    <phoneticPr fontId="10" type="noConversion"/>
  </si>
  <si>
    <t>1、切换模式comm
2、Direction为Generator
2.2、 输入均为400V 5A 压流角30°
3、Energy1&amp;2&amp;3设置Eq_B,&amp;Ep_C&amp;Es
4、等待5分钟，
5、检查Energy1&amp;2&amp;3的Generator计算是否正确， Energy1&amp;2&amp;3 Grid增加为0</t>
    <phoneticPr fontId="10" type="noConversion"/>
  </si>
  <si>
    <t>1、切换模式comm
2、Direction为Generator
2.2、 输入均为400V 5A 压流角30°
3、Energy1&amp;2&amp;3设置Ep&amp;Ep_B&amp;Es
4、等待5分钟，
5、检查Energy1&amp;2&amp;3的Generator计算是否正确， Energy1&amp;2&amp;3 Grid增加为0</t>
    <phoneticPr fontId="10" type="noConversion"/>
  </si>
  <si>
    <t>1、切换模式comm
2、Direction为Generator
2.2、 输入均为400V 5A 压流角30°
3、Energy1&amp;2&amp;3设置Ep&amp;undefined&amp;Es
4、等待5分钟，
5、检查Energy1&amp;2&amp;3的Generator计算是否正确， Energy1&amp;2&amp;3 Grid增加为0</t>
    <phoneticPr fontId="10" type="noConversion"/>
  </si>
  <si>
    <t>1、DI1模式
2、Energy1&amp;2&amp;3设置EP_A,&amp;EP_B&amp;EP_C
2.1 检查Direction选项框是否禁止用户编辑(灰色Grid)，DI高电平触发Direction选项框是否禁止用户编辑(灰色generation) -HMI和上位机均需要检查。
3、DI1触发高电平
4、等待5分钟
5、检查generator能量增加是否正确，Grid能量不变</t>
    <phoneticPr fontId="10" type="noConversion"/>
  </si>
  <si>
    <t>1、设置3e4W_Y, input1~4配Va&amp;Vb&amp;Vc&amp;Vb
2、Summation1配input1&amp;2&amp;3&amp;4, Summation2配input4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</si>
  <si>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 xml:space="preserve">3、sys(PhaseABC相电压&amp;先电压、频率 )读数正确
4、real-time(input1~4&amp;summation的电流、功率、PF、负载特性)读数正确(每个summation的电流为平均值，功率为累计和。)
</t>
    <phoneticPr fontId="10" type="noConversion"/>
  </si>
  <si>
    <t>1、设置 3e4W_Y, input1~4配Vb&amp;Vc&amp;Va&amp;Vb
2、Summation1&amp;2配input1&amp;2&amp;3&amp;4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</si>
  <si>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1、设置3e4W_Y , input1~4配Vab&amp;Vbc&amp;Vca&amp;Vca
2、Summation1配input1&amp;2&amp;3, Summation2配input1&amp;2&amp;3&amp;4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</si>
  <si>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1、设置3e4W_Y , input1~4配Vab&amp;Vbc&amp;Vb&amp;Va
2、Summation1配input1&amp;2&amp;3&amp;4, Summation2配input1&amp;2&amp;3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</si>
  <si>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1、设置1e2W , input1~4配Va&amp;Va&amp;Va&amp;Va
2、Summation1配input1,Summation2配input4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</si>
  <si>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1、设置 2e3W_PHASE1
2、检查上位机和WEB页面input1~4是否仅能选择Va,Vc,Vac</t>
    <phoneticPr fontId="10" type="noConversion"/>
  </si>
  <si>
    <t>2、检查上位机和WEB页面input1~4是否仅能选择Va,Vc,Vac</t>
    <phoneticPr fontId="10" type="noConversion"/>
  </si>
  <si>
    <t>1、设置2e3W_PHASE1 , input1~4配Va&amp;Va&amp;Vc&amp;Vc,
2、Summation1&amp;2配input1&amp;3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</si>
  <si>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r>
      <t>2e3W_PHASE1,input1~4配</t>
    </r>
    <r>
      <rPr>
        <b/>
        <sz val="8"/>
        <color theme="1"/>
        <rFont val="微软雅黑"/>
        <family val="2"/>
        <charset val="134"/>
      </rPr>
      <t>Vca</t>
    </r>
    <r>
      <rPr>
        <sz val="8"/>
        <color theme="1"/>
        <rFont val="微软雅黑"/>
        <family val="2"/>
        <charset val="134"/>
      </rPr>
      <t>&amp;Vc&amp;Va&amp;Va,Summation1配input4,Summation2配input1&amp;2&amp;3&amp;4,则sys(PhaseABC相电压&amp;先电压、频率 )读数正确。</t>
    </r>
    <phoneticPr fontId="10" type="noConversion"/>
  </si>
  <si>
    <r>
      <t>1、设置2e3W_PHASE1 , input1~4配</t>
    </r>
    <r>
      <rPr>
        <b/>
        <sz val="8"/>
        <color theme="1"/>
        <rFont val="微软雅黑"/>
        <family val="2"/>
        <charset val="134"/>
      </rPr>
      <t>Vca</t>
    </r>
    <r>
      <rPr>
        <sz val="8"/>
        <color theme="1"/>
        <rFont val="微软雅黑"/>
        <family val="2"/>
        <charset val="134"/>
      </rPr>
      <t>&amp;Vc&amp;Va&amp;Va
2、Summation1配input4, Summation2配input1&amp;2&amp;3&amp;4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r>
    <phoneticPr fontId="10" type="noConversion"/>
  </si>
  <si>
    <r>
      <t>2e3W_DELTA,上位机和WEB页面input1~4仅能选择Vab,Vbc</t>
    </r>
    <r>
      <rPr>
        <b/>
        <sz val="8"/>
        <color theme="1"/>
        <rFont val="微软雅黑"/>
        <family val="2"/>
        <charset val="134"/>
      </rPr>
      <t>, Vca</t>
    </r>
    <phoneticPr fontId="10" type="noConversion"/>
  </si>
  <si>
    <r>
      <t xml:space="preserve">1、设置 2e3W_DELTA
2、检查上位机和WEB页面input1~4是否仅能选择Vab,Vbc, </t>
    </r>
    <r>
      <rPr>
        <b/>
        <sz val="8"/>
        <color theme="1"/>
        <rFont val="微软雅黑"/>
        <family val="2"/>
        <charset val="134"/>
      </rPr>
      <t>Vca</t>
    </r>
    <phoneticPr fontId="10" type="noConversion"/>
  </si>
  <si>
    <r>
      <t xml:space="preserve">1、设置2e3W_DELTA , input1~4配Vab&amp;Vbc&amp;Vbc&amp;Vbc
2、Summation1&amp;2配input1&amp;2&amp;3&amp;4
3、检查sys(PhaseABC相电压&amp;先电压、频率 )读数是否正确
4、检查覆盖20ms、200ms、3s、10mins、2hours聚合数据的real-time(input1~4&amp;summation的电流、功率、PF、负载特性)读数是否正确。
</t>
    </r>
    <r>
      <rPr>
        <b/>
        <sz val="8"/>
        <color theme="1"/>
        <rFont val="微软雅黑"/>
        <family val="2"/>
        <charset val="134"/>
      </rPr>
      <t>备注: 产品设计有变更，不再区分独立模式增加20ms、200ms、3s、10mins、2hours聚合数据展示。</t>
    </r>
    <phoneticPr fontId="10" type="noConversion"/>
  </si>
  <si>
    <r>
      <t>3、sys(PhaseABC相电压&amp;先电压、频率 )读数正确
4、real-time(input1~4&amp;summation的电流、功率、PF、负载特性)读数正确。</t>
    </r>
    <r>
      <rPr>
        <b/>
        <sz val="8"/>
        <color theme="1"/>
        <rFont val="微软雅黑"/>
        <family val="2"/>
        <charset val="134"/>
      </rPr>
      <t>(每个summation的电流为平均值，功率为累计和。)
 备注:源引出的B项电压接电表地端，输入电压电流信后不变， 可以使用总结excel表格计算。</t>
    </r>
    <phoneticPr fontId="10" type="noConversion"/>
  </si>
  <si>
    <t>1、设置2e3W_DELTA , input1~4配Vab&amp;Vab&amp;Vab&amp;Vab
2、Summation1配input1&amp;4, Summation2配input4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</si>
  <si>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3、sys(PhaseABC相电压&amp;先电压、频率 )读数正确
4、real-time(input1~4&amp;summation的电流、功率、PF、负载特性)读数正确。(每个summation的电流为平均值，功率为累计和。)
 备注:源引出的B项电压接电表地端，输入电压电流信后不变， 可以使用总结excel表格计算。</t>
    <phoneticPr fontId="10" type="noConversion"/>
  </si>
  <si>
    <t>1、设置3e4W_DELTA , input1~4配Vab&amp;Vbc&amp;Vca&amp;Vca
2、Summation1&amp;2配input1&amp;2&amp;3&amp;4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</si>
  <si>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1、设置3e4W_DELTA , input1~4配Vab&amp;Vca&amp;Vbc&amp;Vab
2、Summation1&amp;2配input1&amp;2&amp;4
3、检查sys(PhaseABC相电压&amp;先电压、频率 )读数是否正确
4、检查覆盖20ms、200ms、3s、10mins、2hours聚合数据的real-time(input1~4&amp;summation的电流、功率、PF、负载特性)读数是否正确。
备注: 产品设计有变更，不再区分独立模式增加20ms、200ms、3s、10mins、2hours聚合数据展示。</t>
    <phoneticPr fontId="10" type="noConversion"/>
  </si>
  <si>
    <t xml:space="preserve">1、设置3e4W_Y , input1~4配Va&amp;Vb&amp;Vc&amp;Vb
2、Summation1配input1&amp;2&amp;3&amp;4,Summation2配input4
3、检查上位机和Web界面Demand读数是否正确
备注: sliding，internal:5 update rate：5 </t>
    <phoneticPr fontId="10" type="noConversion"/>
  </si>
  <si>
    <r>
      <t xml:space="preserve">1、设置3e4W_Y , input1~4配Vca&amp;Vab&amp;Vbc&amp;Vbc
2、Summation1&amp;2配input1&amp;2&amp;3
3、检查上位机和Web界面Demand读数是否正确
</t>
    </r>
    <r>
      <rPr>
        <b/>
        <sz val="8"/>
        <color theme="1"/>
        <rFont val="微软雅黑"/>
        <family val="2"/>
        <charset val="134"/>
      </rPr>
      <t xml:space="preserve">备注: sliding，internal:5 update rate：5 </t>
    </r>
    <phoneticPr fontId="10" type="noConversion"/>
  </si>
  <si>
    <r>
      <t xml:space="preserve">1、设置 1e2W, input1~4配Va&amp;Va&amp;Va&amp;Va
2、Summation1配input1&amp;2&amp;3&amp;4,Summation2配input4
3、检查上位机和Web界面Demand读数是否正确
</t>
    </r>
    <r>
      <rPr>
        <b/>
        <sz val="8"/>
        <color theme="1"/>
        <rFont val="微软雅黑"/>
        <family val="2"/>
        <charset val="134"/>
      </rPr>
      <t xml:space="preserve">备注: sliding，internal:5 update rate：5 </t>
    </r>
    <phoneticPr fontId="10" type="noConversion"/>
  </si>
  <si>
    <r>
      <t xml:space="preserve">1、设置2e3W_PHASE1 , input1~4配Va&amp;Va&amp;Vc&amp;Vc
2、Summation1&amp;2配input1&amp;3,Summation2配input1&amp;2&amp;3&amp;4
3、检查上位机和Web界面Demand读数是否正确
</t>
    </r>
    <r>
      <rPr>
        <b/>
        <sz val="8"/>
        <color theme="1"/>
        <rFont val="微软雅黑"/>
        <family val="2"/>
        <charset val="134"/>
      </rPr>
      <t xml:space="preserve">备注: sliding，internal:5 update rate：5 </t>
    </r>
    <phoneticPr fontId="10" type="noConversion"/>
  </si>
  <si>
    <r>
      <t xml:space="preserve">1、设置2e3W_DELTA , input1~4配Vab&amp;Vbc&amp;Vbc&amp;Vbc
2、Summation1&amp;2配input1&amp;2&amp;3&amp;4, Summation2配input1&amp;4
3、检查上位机和Web界面Demand读数是否正确
</t>
    </r>
    <r>
      <rPr>
        <b/>
        <sz val="8"/>
        <color theme="1"/>
        <rFont val="微软雅黑"/>
        <family val="2"/>
        <charset val="134"/>
      </rPr>
      <t xml:space="preserve">备注: sliding，internal:5 update rate：5 </t>
    </r>
    <phoneticPr fontId="10" type="noConversion"/>
  </si>
  <si>
    <r>
      <t xml:space="preserve">1、设置3e4W_Y , input1~4配Va&amp;Vb&amp;Vc&amp;Vb
2、Summation1配input1&amp;2&amp;3&amp;4,Summation2配input4
3、检查上位机和Web界面Total&amp;PhaseABC的Energy读数是否正确。
</t>
    </r>
    <r>
      <rPr>
        <b/>
        <sz val="8"/>
        <color theme="1"/>
        <rFont val="微软雅黑"/>
        <family val="2"/>
        <charset val="134"/>
      </rPr>
      <t>备注:  “energy reading display Format”设置为0.1kwh， 0.01kwh，0.001kwh</t>
    </r>
    <phoneticPr fontId="10" type="noConversion"/>
  </si>
  <si>
    <r>
      <t xml:space="preserve">1、设置3e4W_Y , input1~4配Vca&amp;Vab&amp;Vbc&amp;Vbc
2、Summation1&amp;2配input1&amp;2&amp;3&amp;4
2.1 相电压均输入400V， 电流输入5A， 等待10mins
3、检查上位机和Web界面Total&amp;PhaseABC的Energy读数是否正确。
</t>
    </r>
    <r>
      <rPr>
        <b/>
        <sz val="8"/>
        <color theme="1"/>
        <rFont val="微软雅黑"/>
        <family val="2"/>
        <charset val="134"/>
      </rPr>
      <t>备注:  “energy reading display Format”设置为0.1kwh， 0.01kwh，0.001kwh
备注:  独立energy 和非独立模式， 有部分能量地址是复用的。</t>
    </r>
    <phoneticPr fontId="10" type="noConversion"/>
  </si>
  <si>
    <r>
      <t>2、上位机和Web界面Demand读数被清除
4、电表Real-Time中的需量</t>
    </r>
    <r>
      <rPr>
        <b/>
        <sz val="8"/>
        <color theme="1"/>
        <rFont val="微软雅黑"/>
        <family val="2"/>
        <charset val="134"/>
      </rPr>
      <t>被清除。</t>
    </r>
    <phoneticPr fontId="10" type="noConversion"/>
  </si>
  <si>
    <t xml:space="preserve">1、设置3e4W_Y , input1~4配Va&amp;Vb&amp;Vc&amp;Vb
2、Summation1配input1&amp;2&amp;3&amp;4,Summation2配input4
2.1 然后清除独立通道最大值最小值，
3、检查上位机和Web界面Max/Min读数是否正确。
</t>
    <phoneticPr fontId="10" type="noConversion"/>
  </si>
  <si>
    <t>1、设置3e4W_Y , input1~4配Vca&amp;Vab&amp;Vbc&amp;Vbc
2、Summation1&amp;2配input1&amp;2&amp;3
2.1 然后清除独立通道最大值最小值，
3、检查上位机和Web界面Max/Min读数是否正确。</t>
    <phoneticPr fontId="10" type="noConversion"/>
  </si>
  <si>
    <t>1、设置 1e2W, input1~4配Va&amp;Va&amp;Va&amp;Va
2、Summation1配input1&amp;2&amp;3&amp;4,Summation2配input4
2.1 然后清除独立通道最大值最小值，
3、检查上位机和Web界面Max/Min读数是否正确。</t>
    <phoneticPr fontId="10" type="noConversion"/>
  </si>
  <si>
    <t>1、设置2e3W_PHASE1 , input1~4配Va&amp;Va&amp;Vc&amp;Vc
2、Summation1&amp;2配input1&amp;3,Summation2配input1&amp;2&amp;3&amp;4
2.1 然后清除独立通道最大值最小值，
3、检查上位机和Web界面Max/Min读数是否正确。</t>
    <phoneticPr fontId="10" type="noConversion"/>
  </si>
  <si>
    <t>1、设置2e3W_DELTA , input1~4配Vab&amp;Vbc&amp;Vbc&amp;Vbc
2、Summation1&amp;2配input1&amp;2&amp;3&amp;4, Summation2配input1&amp;4
2.1 然后清除独立通道最大值最小值，
3、检查上位机和Web界面Max/Min读数是否正确。</t>
    <phoneticPr fontId="10" type="noConversion"/>
  </si>
  <si>
    <t>1、设置 3e4W_DELTA, input1~4配Vab&amp;Vbc&amp;Vca&amp;Vca
2、Summation1&amp;2配input1&amp;2&amp;3&amp;4,Summation1&amp;2配input1&amp;2&amp;3
2.1 然后清除独立通道最大值最小值，
3、检查上位机和Web界面Max/Min读数是否正确。</t>
    <phoneticPr fontId="10" type="noConversion"/>
  </si>
  <si>
    <t>2、上位机和Web界面Max/Min读数被清除
4、电表Real-Time中的需量被清除。</t>
    <phoneticPr fontId="10" type="noConversion"/>
  </si>
  <si>
    <r>
      <t>3e4W_Y,input1~4配Va&amp;Vb&amp;Vc&amp;Vb,Summation1配input1&amp;2&amp;3&amp;4,Summation2配input4,independent input channel energy所有参数计算正确</t>
    </r>
    <r>
      <rPr>
        <b/>
        <sz val="8"/>
        <color theme="1"/>
        <rFont val="微软雅黑"/>
        <family val="2"/>
        <charset val="134"/>
      </rPr>
      <t>(54）</t>
    </r>
    <phoneticPr fontId="10" type="noConversion"/>
  </si>
  <si>
    <t>1、设置3e4W_Y , input1~4配Va&amp;Vb&amp;Vc&amp;Vb,
2、Summation1配input1&amp;2&amp;3&amp;4,Summation2配input4
3、检查上位机和Web界面Summation2配input4,independent input channel energy所有参数计算是否正确(54）</t>
    <phoneticPr fontId="10" type="noConversion"/>
  </si>
  <si>
    <t>7、 上位机和Web界面Summation2配input4,independent input channel energy所有参数计算正确(54）</t>
    <phoneticPr fontId="10" type="noConversion"/>
  </si>
  <si>
    <r>
      <t xml:space="preserve">1、Independent使能
2、CT变比P1
3、input1~4配Vb&amp;Vb&amp;Vb&amp;Vb
4、Summation1&amp;2配input1&amp;3&amp;4
5、配置需量：Demand method：Fixed；Demand update rate：5mins；Demand Interval：5mins
6、00：03：00升源并记录时间，查看第一次产生Max Demand数据是否在00：10：00
7、此时立即加大电流，待00：15：00查看Max Demand数据是否有更新，00：20：00后数据是否满足要求（同当时所加功率）
8、检查real-time(input1~4&amp;summation1&amp;2的Max Demand读数是否正确。
</t>
    </r>
    <r>
      <rPr>
        <b/>
        <sz val="8"/>
        <color theme="1"/>
        <rFont val="微软雅黑"/>
        <family val="2"/>
        <charset val="134"/>
      </rPr>
      <t>备注1：CT变比P1， 不同于general的中的配置，CT变比P0与general中配置相同</t>
    </r>
    <phoneticPr fontId="10" type="noConversion"/>
  </si>
  <si>
    <r>
      <t xml:space="preserve">1、接线方式3E4W-Y
2、设置电压&amp;电压角度：220V 230V 120V，0° 240° 120° 
3、设置电流&amp;电流角度：2A 3A 5A ， 0° 240° 120° 
4、 检查CustomRead界面ABC三相电压和电流SequenceComponent是否正确
</t>
    </r>
    <r>
      <rPr>
        <b/>
        <sz val="8"/>
        <color theme="1"/>
        <rFont val="微软雅黑"/>
        <family val="2"/>
        <charset val="134"/>
      </rPr>
      <t>备注:SequenceComponent 为电压、电流序分量，预期结果使用4100项目序分量计算公式。</t>
    </r>
  </si>
  <si>
    <t>4、CustomRead界面ABC三相电压和电流SequenceComponent正确
电压：
零序分量：实部 = 15，虚部 = -31.754
正序分量：实部 = 190，虚部 = 0
负序分量：实部 = 15，虚部 = 31.754
电流：
零序分量：实部 = -0.667，虚部 = 0.577
正序分量：实部 = 3.333，虚部 = 0
负序分量：实部 = -0.667，虚部 = -0.577</t>
    <phoneticPr fontId="10" type="noConversion"/>
  </si>
  <si>
    <r>
      <t xml:space="preserve">1、接线方式2E3W-Network,
2、设置电压&amp;电压角度：220V 230V 250V，0° 240° 120° 
3、设置电流&amp;电流角度：1A 3A 5A ， 0° 240° 120° 
4、 检查CustomRead界面ABC三相电压和电流SequenceComponent是否正确
</t>
    </r>
    <r>
      <rPr>
        <b/>
        <sz val="8"/>
        <color theme="1"/>
        <rFont val="微软雅黑"/>
        <family val="2"/>
        <charset val="134"/>
      </rPr>
      <t>备注:SequenceComponent 为电压、电流序分量，预期结果使用4100项目序分量计算公式。</t>
    </r>
    <phoneticPr fontId="10" type="noConversion"/>
  </si>
  <si>
    <r>
      <t xml:space="preserve">1、接线方式2E3W-Network
2、设置电压&amp;电压角度：220V 230V 250V，0° 240° 120° 
3、设置电流&amp;电流角度：1A 2A 4A ， 0° 240° 120° 
4、 检查CustomRead界面ABC三相电压和电流SequenceComponent是否正确
</t>
    </r>
    <r>
      <rPr>
        <b/>
        <sz val="8"/>
        <color theme="1"/>
        <rFont val="微软雅黑"/>
        <family val="2"/>
        <charset val="134"/>
      </rPr>
      <t>备注:SequenceComponent 为电压、电流序分量，预期结果使用4100项目序分量计算公式。</t>
    </r>
  </si>
  <si>
    <r>
      <t xml:space="preserve">1、接线方式2E3W-1Phase
2、设置电压&amp;电压角度：250V 230V 120V，0° 240° 120° 
3、设置电流&amp;电流角度：1A 2A 3A ， 0° 240° 120° 
4、 检查CustomRead界面ABC三相电压和电流SequenceComponent是否正确
</t>
    </r>
    <r>
      <rPr>
        <b/>
        <sz val="8"/>
        <color theme="1"/>
        <rFont val="微软雅黑"/>
        <family val="2"/>
        <charset val="134"/>
      </rPr>
      <t>备注:SequenceComponent 为电压、电流序分量，预期结果使用4100项目序分量计算公式。</t>
    </r>
  </si>
  <si>
    <r>
      <t xml:space="preserve">1、接线方式3E4W-Delta
2、设置电压&amp;电压角度：225V 230V 220V，0° 240° 120° 
3、设置电流&amp;电流角度：1A 2A 3A ， 0° 240° 120° 
4、 检查CustomRead界面ABC三相电压和电流SequenceComponent是否正确
</t>
    </r>
    <r>
      <rPr>
        <b/>
        <sz val="8"/>
        <color theme="1"/>
        <rFont val="微软雅黑"/>
        <family val="2"/>
        <charset val="134"/>
      </rPr>
      <t>备注:SequenceComponent 为电压、电流序分量，预期结果使用4100项目序分量计算公式。</t>
    </r>
  </si>
  <si>
    <r>
      <t xml:space="preserve">1、In接负载， 叠加10%的35次谐波，10%的50次谐波
2、检查Custom Read显示Independentchannel In THD中THD、OddTHD、EvenTHD、K Factor 显示是否正常。
</t>
    </r>
    <r>
      <rPr>
        <b/>
        <sz val="8"/>
        <color theme="1"/>
        <rFont val="微软雅黑"/>
        <family val="2"/>
        <charset val="134"/>
      </rPr>
      <t>备注: 使用excel表格公式计算THD、OddTHD、EvenTHD</t>
    </r>
    <phoneticPr fontId="10" type="noConversion"/>
  </si>
  <si>
    <r>
      <t xml:space="preserve">1、构造设备出现Fatal error条件     ---暂不清除那些可归为Fatal error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</si>
  <si>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1、构造设备固件完整性检查失败条件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</si>
  <si>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1、构造设备计量配置完整性检查失败条件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</si>
  <si>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1、构造设备计量数据完整性检查失败条件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</si>
  <si>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1、构造RTC失败条件     ---暂不清除构造方法，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</si>
  <si>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1、构造设备ADC失败条件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</si>
  <si>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1、构造设备SDRAM失败条件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</si>
  <si>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1、构造设备Flash失败条件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</si>
  <si>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r>
      <t xml:space="preserve">1、构造设备EMMC失败条件     ---暂不清除构造方法， 需要开发白盒测试
2、检查是否记录一条Audit日志记录(时间戳，日志内容)
</t>
    </r>
    <r>
      <rPr>
        <b/>
        <sz val="8"/>
        <color theme="1"/>
        <rFont val="微软雅黑"/>
        <family val="2"/>
        <charset val="134"/>
      </rPr>
      <t>备注: 需要等澄清后更新用例详细步骤</t>
    </r>
    <phoneticPr fontId="10" type="noConversion"/>
  </si>
  <si>
    <t>1、构造条件生成5001条syslog
2、观察设备是否最大只能存储5000条
超过5000条，会从第一条开始覆盖</t>
    <phoneticPr fontId="10" type="noConversion"/>
  </si>
  <si>
    <r>
      <t xml:space="preserve">1、电表正常上电，通讯正常
2、输入电表对应web网址，进入登录界面
3、输入不同用户名，查看web端是否对用户名做数据校验
4、输入不同用户名，查看web端是否对密码做数据校验
</t>
    </r>
    <r>
      <rPr>
        <b/>
        <sz val="8"/>
        <color theme="1"/>
        <rFont val="微软雅黑"/>
        <family val="2"/>
        <charset val="134"/>
      </rPr>
      <t>备注: 获取需求后，校验密码和用户名规则，（前端开发回复：不校验）</t>
    </r>
  </si>
  <si>
    <r>
      <t xml:space="preserve">点击setting界面，进入Metering,点击general,修改Device Description、Password、Nominal Frequency (Hz)、Service Configuration、Phase Order
</t>
    </r>
    <r>
      <rPr>
        <b/>
        <sz val="8"/>
        <color theme="1"/>
        <rFont val="微软雅黑"/>
        <family val="2"/>
        <charset val="134"/>
      </rPr>
      <t>备注:  请确认Device Description 对应寄存器是那个(需求不确定)</t>
    </r>
  </si>
  <si>
    <r>
      <rPr>
        <sz val="10"/>
        <color theme="1"/>
        <rFont val="微软雅黑"/>
        <family val="2"/>
        <charset val="134"/>
      </rPr>
      <t>1、分别检查WEB和上位机配置SNTP Enable=Enable，Server URL=time.google.com，Interval=600，点击Update下发
2、确认配置已生效
3、修改Interval=60
3、点击Restore按钮
4、查看SNTP配置区域各参数值</t>
    </r>
  </si>
  <si>
    <r>
      <rPr>
        <sz val="10"/>
        <color theme="1"/>
        <rFont val="微软雅黑"/>
        <family val="2"/>
        <charset val="134"/>
      </rPr>
      <t>1、分别检查WEB和上位机配置：SNTP Enable=Enable，Server URL=pool.ntp.org，Interval=60
2、点击Update下发配置
3、手动将电表时间调偏（如+5分钟）
4、等待60~70秒，查看电表时间
5、观测上位机显示 Interval字段是否为：Maximum Sync Interval</t>
    </r>
  </si>
  <si>
    <r>
      <rPr>
        <sz val="10"/>
        <color theme="1"/>
        <rFont val="微软雅黑"/>
        <family val="2"/>
        <charset val="134"/>
      </rPr>
      <t>2、下发成功，上位机无报错
4、电表时间在60~70秒内自动同步回NTP标准时间（误差≤1秒），Interval=60s生效
5、上位机显示 Interval字段为：Maximum Sync Interval</t>
    </r>
  </si>
  <si>
    <r>
      <rPr>
        <sz val="10"/>
        <color theme="1"/>
        <rFont val="微软雅黑"/>
        <family val="2"/>
        <charset val="134"/>
      </rPr>
      <t>1、分别检查WEB和上位机配置：SNTP Enable=Enable，Server URL=pool.ntp.org，Interval=4294967
2、点击Update下发配置
3、上位机读取当前Interval配置值
4、手动将电表时间调偏（如+10分钟）
5、等待300秒，查看电表时间是否自动同步</t>
    </r>
  </si>
  <si>
    <r>
      <rPr>
        <sz val="10"/>
        <color theme="1"/>
        <rFont val="微软雅黑"/>
        <family val="2"/>
        <charset val="134"/>
      </rPr>
      <t>1、分别检查WEB和上位机配置：SNTP Enable=Enable，Server URL=pool.ntp.org，Interval=300
2、点击Update下发
3、手动将电表时间调偏（+10分钟）
4、等待300~330秒，查看电表时间</t>
    </r>
  </si>
  <si>
    <r>
      <rPr>
        <sz val="10"/>
        <color theme="1"/>
        <rFont val="微软雅黑"/>
        <family val="2"/>
        <charset val="134"/>
      </rPr>
      <t>1、分别检查WEB和上位机Setting页面，SNTP Enable=Enable，Interval输入框填写59
2、点击Update按钮</t>
    </r>
  </si>
  <si>
    <r>
      <rPr>
        <sz val="10"/>
        <color theme="1"/>
        <rFont val="微软雅黑"/>
        <family val="2"/>
        <charset val="134"/>
      </rPr>
      <t>2、web和上位机弹出错误提示，拒绝下发配置；电表Interval值维持上次有效配置不变</t>
    </r>
  </si>
  <si>
    <r>
      <rPr>
        <sz val="10"/>
        <color theme="1"/>
        <rFont val="微软雅黑"/>
        <family val="2"/>
        <charset val="134"/>
      </rPr>
      <t>1、分别检查WEB和上位机Setting页面，Interval输入框填写4294968
2、点击Update按钮</t>
    </r>
  </si>
  <si>
    <r>
      <t>2、</t>
    </r>
    <r>
      <rPr>
        <sz val="10"/>
        <color theme="1"/>
        <rFont val="微软雅黑"/>
        <family val="2"/>
        <charset val="134"/>
      </rPr>
      <t>web和</t>
    </r>
    <r>
      <rPr>
        <sz val="10"/>
        <color theme="1"/>
        <rFont val="微软雅黑"/>
        <family val="2"/>
      </rPr>
      <t>上位机弹出错误提示，拒绝下发配置；电表Interval值维持上次有效配置不变</t>
    </r>
    <phoneticPr fontId="10" type="noConversion"/>
  </si>
  <si>
    <r>
      <t>BACnet/Ip</t>
    </r>
    <r>
      <rPr>
        <sz val="10"/>
        <color theme="1"/>
        <rFont val="宋体"/>
        <family val="2"/>
        <charset val="134"/>
      </rPr>
      <t>协议</t>
    </r>
    <phoneticPr fontId="37" type="noConversion"/>
  </si>
  <si>
    <r>
      <t>1</t>
    </r>
    <r>
      <rPr>
        <sz val="10"/>
        <color theme="1"/>
        <rFont val="微软雅黑"/>
        <family val="2"/>
        <charset val="134"/>
      </rPr>
      <t>、使用</t>
    </r>
    <r>
      <rPr>
        <sz val="10"/>
        <color theme="1"/>
        <rFont val="Arial"/>
        <family val="2"/>
      </rPr>
      <t>Yabe</t>
    </r>
    <r>
      <rPr>
        <sz val="10"/>
        <color theme="1"/>
        <rFont val="微软雅黑"/>
        <family val="2"/>
        <charset val="134"/>
      </rPr>
      <t>通过</t>
    </r>
    <r>
      <rPr>
        <sz val="10"/>
        <color theme="1"/>
        <rFont val="Arial"/>
        <family val="2"/>
      </rPr>
      <t>BACnet/IP</t>
    </r>
    <r>
      <rPr>
        <sz val="10"/>
        <color theme="1"/>
        <rFont val="微软雅黑"/>
        <family val="2"/>
        <charset val="134"/>
      </rPr>
      <t>连接</t>
    </r>
    <r>
      <rPr>
        <sz val="10"/>
        <color theme="1"/>
        <rFont val="Arial"/>
        <family val="2"/>
      </rPr>
      <t>AcuDC262
2</t>
    </r>
    <r>
      <rPr>
        <sz val="10"/>
        <color theme="1"/>
        <rFont val="微软雅黑"/>
        <family val="2"/>
        <charset val="134"/>
      </rPr>
      <t>、选择任意一个</t>
    </r>
    <r>
      <rPr>
        <sz val="10"/>
        <color theme="1"/>
        <rFont val="Arial"/>
        <family val="2"/>
      </rPr>
      <t>Analog Input</t>
    </r>
    <r>
      <rPr>
        <sz val="10"/>
        <color theme="1"/>
        <rFont val="微软雅黑"/>
        <family val="2"/>
        <charset val="134"/>
      </rPr>
      <t xml:space="preserve">对象
</t>
    </r>
    <r>
      <rPr>
        <sz val="10"/>
        <color theme="1"/>
        <rFont val="Arial"/>
        <family val="2"/>
      </rPr>
      <t>3</t>
    </r>
    <r>
      <rPr>
        <sz val="10"/>
        <color theme="1"/>
        <rFont val="微软雅黑"/>
        <family val="2"/>
        <charset val="134"/>
      </rPr>
      <t>、读取该对象的所有属性列表（</t>
    </r>
    <r>
      <rPr>
        <sz val="10"/>
        <color theme="1"/>
        <rFont val="Arial"/>
        <family val="2"/>
      </rPr>
      <t>Property-List</t>
    </r>
    <r>
      <rPr>
        <sz val="10"/>
        <color theme="1"/>
        <rFont val="微软雅黑"/>
        <family val="2"/>
        <charset val="134"/>
      </rPr>
      <t xml:space="preserve">）
</t>
    </r>
    <r>
      <rPr>
        <sz val="10"/>
        <color theme="1"/>
        <rFont val="Arial"/>
        <family val="2"/>
      </rPr>
      <t>4</t>
    </r>
    <r>
      <rPr>
        <sz val="10"/>
        <color theme="1"/>
        <rFont val="微软雅黑"/>
        <family val="2"/>
        <charset val="134"/>
      </rPr>
      <t>、逐一验证必选属性是否存在并可读取</t>
    </r>
  </si>
  <si>
    <r>
      <t>4</t>
    </r>
    <r>
      <rPr>
        <sz val="10"/>
        <color theme="1"/>
        <rFont val="微软雅黑"/>
        <family val="2"/>
        <charset val="134"/>
      </rPr>
      <t>、</t>
    </r>
    <r>
      <rPr>
        <sz val="10"/>
        <color theme="1"/>
        <rFont val="Arial"/>
        <family val="2"/>
      </rPr>
      <t>AI</t>
    </r>
    <r>
      <rPr>
        <sz val="10"/>
        <color theme="1"/>
        <rFont val="微软雅黑"/>
        <family val="2"/>
        <charset val="134"/>
      </rPr>
      <t>对象必须包含：</t>
    </r>
    <r>
      <rPr>
        <sz val="10"/>
        <color theme="1"/>
        <rFont val="Arial"/>
        <family val="2"/>
      </rPr>
      <t>Object_Identifier</t>
    </r>
    <r>
      <rPr>
        <sz val="10"/>
        <color theme="1"/>
        <rFont val="微软雅黑"/>
        <family val="2"/>
        <charset val="134"/>
      </rPr>
      <t>、</t>
    </r>
    <r>
      <rPr>
        <sz val="10"/>
        <color theme="1"/>
        <rFont val="Arial"/>
        <family val="2"/>
      </rPr>
      <t>Object_Name</t>
    </r>
    <r>
      <rPr>
        <sz val="10"/>
        <color theme="1"/>
        <rFont val="微软雅黑"/>
        <family val="2"/>
        <charset val="134"/>
      </rPr>
      <t>、</t>
    </r>
    <r>
      <rPr>
        <sz val="10"/>
        <color theme="1"/>
        <rFont val="Arial"/>
        <family val="2"/>
      </rPr>
      <t>Object_Type</t>
    </r>
    <r>
      <rPr>
        <sz val="10"/>
        <color theme="1"/>
        <rFont val="微软雅黑"/>
        <family val="2"/>
        <charset val="134"/>
      </rPr>
      <t>、</t>
    </r>
    <r>
      <rPr>
        <sz val="10"/>
        <color theme="1"/>
        <rFont val="Arial"/>
        <family val="2"/>
      </rPr>
      <t>Present_Value</t>
    </r>
    <r>
      <rPr>
        <sz val="10"/>
        <color theme="1"/>
        <rFont val="微软雅黑"/>
        <family val="2"/>
        <charset val="134"/>
      </rPr>
      <t>、</t>
    </r>
    <r>
      <rPr>
        <sz val="10"/>
        <color theme="1"/>
        <rFont val="Arial"/>
        <family val="2"/>
      </rPr>
      <t>Status_Flags</t>
    </r>
    <r>
      <rPr>
        <sz val="10"/>
        <color theme="1"/>
        <rFont val="微软雅黑"/>
        <family val="2"/>
        <charset val="134"/>
      </rPr>
      <t>、</t>
    </r>
    <r>
      <rPr>
        <sz val="10"/>
        <color theme="1"/>
        <rFont val="Arial"/>
        <family val="2"/>
      </rPr>
      <t>Event_State</t>
    </r>
    <r>
      <rPr>
        <sz val="10"/>
        <color theme="1"/>
        <rFont val="微软雅黑"/>
        <family val="2"/>
        <charset val="134"/>
      </rPr>
      <t>、</t>
    </r>
    <r>
      <rPr>
        <sz val="10"/>
        <color theme="1"/>
        <rFont val="Arial"/>
        <family val="2"/>
      </rPr>
      <t>Out_Of_Service</t>
    </r>
    <r>
      <rPr>
        <sz val="10"/>
        <color theme="1"/>
        <rFont val="微软雅黑"/>
        <family val="2"/>
        <charset val="134"/>
      </rPr>
      <t>、</t>
    </r>
    <r>
      <rPr>
        <sz val="10"/>
        <color theme="1"/>
        <rFont val="Arial"/>
        <family val="2"/>
      </rPr>
      <t xml:space="preserve">Units
</t>
    </r>
    <r>
      <rPr>
        <sz val="10"/>
        <color theme="1"/>
        <rFont val="微软雅黑"/>
        <family val="2"/>
        <charset val="134"/>
      </rPr>
      <t>各属性可正常读取，数据类型符合</t>
    </r>
    <r>
      <rPr>
        <sz val="10"/>
        <color theme="1"/>
        <rFont val="Arial"/>
        <family val="2"/>
      </rPr>
      <t>ASHRAE 135</t>
    </r>
    <r>
      <rPr>
        <sz val="10"/>
        <color theme="1"/>
        <rFont val="微软雅黑"/>
        <family val="2"/>
        <charset val="134"/>
      </rPr>
      <t>规范</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</si>
</sst>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2"/>
      <name val="宋体"/>
      <charset val="134"/>
    </font>
    <font>
      <sz val="11"/>
      <color theme="1"/>
      <name val="宋体"/>
      <family val="2"/>
      <charset val="134"/>
      <scheme val="minor"/>
    </font>
    <font>
      <sz val="11"/>
      <color theme="1"/>
      <name val="宋体"/>
      <family val="2"/>
      <charset val="134"/>
      <scheme val="minor"/>
    </font>
    <font>
      <sz val="10"/>
      <name val="微软雅黑"/>
      <family val="2"/>
      <charset val="134"/>
    </font>
    <font>
      <b/>
      <sz val="12"/>
      <name val="宋体"/>
      <family val="3"/>
      <charset val="134"/>
    </font>
    <font>
      <b/>
      <sz val="10"/>
      <name val="微软雅黑"/>
      <family val="2"/>
      <charset val="134"/>
    </font>
    <font>
      <sz val="12"/>
      <name val="微软雅黑"/>
      <family val="2"/>
      <charset val="134"/>
    </font>
    <font>
      <b/>
      <sz val="12"/>
      <name val="微软雅黑"/>
      <family val="2"/>
      <charset val="134"/>
    </font>
    <font>
      <sz val="8"/>
      <name val="微软雅黑"/>
      <family val="2"/>
      <charset val="134"/>
    </font>
    <font>
      <sz val="10"/>
      <name val="宋体"/>
      <family val="3"/>
      <charset val="134"/>
    </font>
    <font>
      <sz val="9"/>
      <name val="宋体"/>
      <family val="3"/>
      <charset val="134"/>
    </font>
    <font>
      <sz val="12"/>
      <name val="宋体"/>
      <family val="3"/>
      <charset val="134"/>
    </font>
    <font>
      <sz val="9"/>
      <name val="宋体"/>
      <family val="3"/>
      <charset val="134"/>
    </font>
    <font>
      <sz val="11"/>
      <color theme="1"/>
      <name val="宋体"/>
      <family val="3"/>
      <charset val="134"/>
      <scheme val="minor"/>
    </font>
    <font>
      <sz val="11"/>
      <color rgb="FF006100"/>
      <name val="宋体"/>
      <family val="3"/>
      <charset val="134"/>
      <scheme val="minor"/>
    </font>
    <font>
      <sz val="10"/>
      <color rgb="FFFF0000"/>
      <name val="微软雅黑"/>
      <family val="2"/>
      <charset val="134"/>
    </font>
    <font>
      <b/>
      <sz val="10"/>
      <color theme="1"/>
      <name val="微软雅黑"/>
      <family val="2"/>
      <charset val="134"/>
    </font>
    <font>
      <sz val="8"/>
      <color rgb="FFFF0000"/>
      <name val="微软雅黑"/>
      <family val="2"/>
      <charset val="134"/>
    </font>
    <font>
      <sz val="10"/>
      <color theme="1"/>
      <name val="微软雅黑"/>
      <family val="2"/>
      <charset val="134"/>
    </font>
    <font>
      <sz val="8"/>
      <color theme="1"/>
      <name val="微软雅黑"/>
      <family val="2"/>
      <charset val="134"/>
    </font>
    <font>
      <sz val="8"/>
      <color rgb="FF00B050"/>
      <name val="微软雅黑"/>
      <family val="2"/>
      <charset val="134"/>
    </font>
    <font>
      <sz val="10"/>
      <color theme="1"/>
      <name val="宋体"/>
      <family val="3"/>
      <charset val="134"/>
    </font>
    <font>
      <sz val="8"/>
      <name val="微软雅黑"/>
      <family val="2"/>
    </font>
    <font>
      <sz val="8"/>
      <color rgb="FFFF0000"/>
      <name val="微软雅黑"/>
      <family val="2"/>
    </font>
    <font>
      <sz val="10"/>
      <color theme="1"/>
      <name val="微软雅黑"/>
      <family val="2"/>
    </font>
    <font>
      <sz val="8"/>
      <color theme="1"/>
      <name val="微软雅黑"/>
      <family val="2"/>
    </font>
    <font>
      <sz val="10"/>
      <color rgb="FF000000"/>
      <name val="微软雅黑"/>
      <family val="2"/>
      <charset val="134"/>
    </font>
    <font>
      <u/>
      <sz val="12"/>
      <color theme="10"/>
      <name val="宋体"/>
      <family val="3"/>
      <charset val="134"/>
    </font>
    <font>
      <b/>
      <sz val="10"/>
      <color rgb="FFFF0000"/>
      <name val="宋体"/>
      <family val="3"/>
      <charset val="134"/>
    </font>
    <font>
      <sz val="10"/>
      <color theme="1"/>
      <name val="等线 Light"/>
      <family val="3"/>
      <charset val="134"/>
    </font>
    <font>
      <sz val="10"/>
      <color rgb="FF0000CC"/>
      <name val="微软雅黑"/>
      <family val="2"/>
      <charset val="134"/>
    </font>
    <font>
      <strike/>
      <sz val="10"/>
      <color theme="1"/>
      <name val="微软雅黑"/>
      <family val="2"/>
      <charset val="134"/>
    </font>
    <font>
      <b/>
      <sz val="10"/>
      <color theme="1"/>
      <name val="宋体"/>
      <family val="3"/>
      <charset val="134"/>
    </font>
    <font>
      <b/>
      <sz val="10"/>
      <color rgb="FF000000"/>
      <name val="微软雅黑"/>
      <family val="2"/>
      <charset val="134"/>
    </font>
    <font>
      <sz val="9"/>
      <color rgb="FF000000"/>
      <name val="微软雅黑"/>
      <family val="2"/>
      <charset val="134"/>
    </font>
    <font>
      <i/>
      <sz val="10"/>
      <color theme="1"/>
      <name val="微软雅黑"/>
      <family val="2"/>
      <charset val="134"/>
    </font>
    <font>
      <b/>
      <sz val="10"/>
      <color rgb="FF000000"/>
      <name val="宋体"/>
      <family val="3"/>
      <charset val="134"/>
    </font>
    <font>
      <sz val="9"/>
      <name val="宋体"/>
      <family val="3"/>
      <charset val="134"/>
      <scheme val="minor"/>
    </font>
    <font>
      <b/>
      <sz val="8"/>
      <color theme="1"/>
      <name val="微软雅黑"/>
      <family val="2"/>
      <charset val="134"/>
    </font>
    <font>
      <sz val="8"/>
      <color rgb="FF000000"/>
      <name val="微软雅黑"/>
      <family val="2"/>
      <charset val="134"/>
    </font>
    <font>
      <sz val="8"/>
      <color rgb="FF0000CC"/>
      <name val="微软雅黑"/>
      <family val="2"/>
      <charset val="134"/>
    </font>
    <font>
      <b/>
      <sz val="8"/>
      <color rgb="FF000000"/>
      <name val="微软雅黑"/>
      <family val="2"/>
      <charset val="134"/>
    </font>
    <font>
      <i/>
      <sz val="8"/>
      <color rgb="FF000000"/>
      <name val="微软雅黑"/>
      <family val="2"/>
      <charset val="134"/>
    </font>
    <font>
      <b/>
      <sz val="8"/>
      <color theme="1"/>
      <name val="微软雅黑"/>
      <family val="2"/>
    </font>
    <font>
      <b/>
      <sz val="8"/>
      <color rgb="FFFF0000"/>
      <name val="微软雅黑"/>
      <family val="2"/>
      <charset val="134"/>
    </font>
    <font>
      <strike/>
      <sz val="8"/>
      <color rgb="FF000000"/>
      <name val="微软雅黑"/>
      <family val="2"/>
      <charset val="134"/>
    </font>
    <font>
      <sz val="8"/>
      <color rgb="FF000000"/>
      <name val="微软雅黑"/>
      <family val="2"/>
    </font>
    <font>
      <b/>
      <sz val="8"/>
      <color theme="7" tint="-0.249977111117893"/>
      <name val="微软雅黑"/>
      <family val="2"/>
      <charset val="134"/>
    </font>
    <font>
      <sz val="8"/>
      <color theme="7" tint="-0.249977111117893"/>
      <name val="微软雅黑"/>
      <family val="2"/>
    </font>
    <font>
      <sz val="8"/>
      <color theme="7" tint="-0.249977111117893"/>
      <name val="微软雅黑"/>
      <family val="2"/>
      <charset val="134"/>
    </font>
    <font>
      <strike/>
      <sz val="8"/>
      <color theme="1"/>
      <name val="微软雅黑"/>
      <family val="2"/>
      <charset val="134"/>
    </font>
    <font>
      <sz val="12"/>
      <color theme="1"/>
      <name val="宋体"/>
      <family val="3"/>
      <charset val="134"/>
    </font>
    <font>
      <strike/>
      <sz val="8"/>
      <color theme="1"/>
      <name val="微软雅黑"/>
      <family val="2"/>
    </font>
    <font>
      <sz val="11"/>
      <color theme="1"/>
      <name val="Consolas"/>
      <family val="3"/>
    </font>
    <font>
      <sz val="11"/>
      <color theme="1"/>
      <name val="微软雅黑"/>
      <family val="2"/>
    </font>
    <font>
      <sz val="10"/>
      <color theme="1"/>
      <name val="Arial"/>
      <family val="2"/>
    </font>
    <font>
      <sz val="10"/>
      <color theme="1"/>
      <name val="宋体"/>
      <family val="2"/>
      <charset val="134"/>
    </font>
  </fonts>
  <fills count="31">
    <fill>
      <patternFill patternType="none"/>
    </fill>
    <fill>
      <patternFill patternType="gray125"/>
    </fill>
    <fill>
      <patternFill patternType="solid">
        <fgColor theme="4" tint="0.39997558519241921"/>
        <bgColor indexed="64"/>
      </patternFill>
    </fill>
    <fill>
      <patternFill patternType="solid">
        <fgColor rgb="FFC6EFC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F8CBAD"/>
        <bgColor indexed="64"/>
      </patternFill>
    </fill>
    <fill>
      <patternFill patternType="solid">
        <fgColor rgb="FFC6E0B4"/>
        <bgColor indexed="64"/>
      </patternFill>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rgb="FFED9FE7"/>
        <bgColor indexed="64"/>
      </patternFill>
    </fill>
    <fill>
      <patternFill patternType="solid">
        <fgColor theme="4" tint="0.79998168889431442"/>
        <bgColor indexed="65"/>
      </patternFill>
    </fill>
    <fill>
      <patternFill patternType="solid">
        <fgColor theme="4" tint="0.59999389629810485"/>
        <bgColor indexed="64"/>
      </patternFill>
    </fill>
    <fill>
      <patternFill patternType="solid">
        <fgColor theme="7" tint="0.59999389629810485"/>
        <bgColor indexed="64"/>
      </patternFill>
    </fill>
    <fill>
      <patternFill patternType="solid">
        <fgColor rgb="FFC6E0B4"/>
        <bgColor rgb="FF000000"/>
      </patternFill>
    </fill>
    <fill>
      <patternFill patternType="solid">
        <fgColor rgb="FFFFFFFF"/>
        <bgColor rgb="FF000000"/>
      </patternFill>
    </fill>
    <fill>
      <patternFill patternType="solid">
        <fgColor rgb="FFF8CBAD"/>
        <bgColor rgb="FF000000"/>
      </patternFill>
    </fill>
    <fill>
      <patternFill patternType="solid">
        <fgColor rgb="FFDDEBF7"/>
        <bgColor rgb="FF000000"/>
      </patternFill>
    </fill>
    <fill>
      <patternFill patternType="solid">
        <fgColor rgb="FFD9E1F2"/>
      </patternFill>
    </fill>
    <fill>
      <patternFill patternType="solid">
        <fgColor rgb="FFE2EFDA"/>
      </patternFill>
    </fill>
    <fill>
      <patternFill patternType="solid">
        <fgColor rgb="FFFCE4D6"/>
      </patternFill>
    </fill>
    <fill>
      <patternFill patternType="solid">
        <fgColor theme="5" tint="0.79998168889431442"/>
        <bgColor indexed="64"/>
      </patternFill>
    </fill>
    <fill>
      <patternFill patternType="solid">
        <fgColor rgb="FFFFF2CC"/>
      </patternFill>
    </fill>
    <fill>
      <patternFill patternType="solid">
        <fgColor rgb="FFEDEDED"/>
      </patternFill>
    </fill>
    <fill>
      <patternFill patternType="solid">
        <fgColor rgb="FFFFC000"/>
        <bgColor indexed="64"/>
      </patternFill>
    </fill>
  </fills>
  <borders count="3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rgb="FF000000"/>
      </bottom>
      <diagonal/>
    </border>
    <border>
      <left/>
      <right/>
      <top style="thin">
        <color auto="1"/>
      </top>
      <bottom/>
      <diagonal/>
    </border>
    <border>
      <left/>
      <right/>
      <top style="thin">
        <color rgb="FF000000"/>
      </top>
      <bottom style="thin">
        <color rgb="FF000000"/>
      </bottom>
      <diagonal/>
    </border>
  </borders>
  <cellStyleXfs count="8">
    <xf numFmtId="0" fontId="0" fillId="0" borderId="0">
      <alignment vertical="center"/>
    </xf>
    <xf numFmtId="0" fontId="13" fillId="0" borderId="0">
      <alignment vertical="center"/>
    </xf>
    <xf numFmtId="0" fontId="13" fillId="0" borderId="0">
      <alignment vertical="center"/>
    </xf>
    <xf numFmtId="0" fontId="11" fillId="0" borderId="0">
      <alignment vertical="center"/>
    </xf>
    <xf numFmtId="0" fontId="14" fillId="3" borderId="0" applyNumberFormat="0" applyBorder="0" applyAlignment="0" applyProtection="0">
      <alignment vertical="center"/>
    </xf>
    <xf numFmtId="0" fontId="11" fillId="0" borderId="0">
      <alignment vertical="center"/>
    </xf>
    <xf numFmtId="0" fontId="27" fillId="0" borderId="0" applyNumberFormat="0" applyFill="0" applyBorder="0" applyAlignment="0" applyProtection="0">
      <alignment vertical="center"/>
    </xf>
    <xf numFmtId="0" fontId="2" fillId="17" borderId="0" applyNumberFormat="0" applyBorder="0" applyAlignment="0" applyProtection="0">
      <alignment vertical="center"/>
    </xf>
  </cellStyleXfs>
  <cellXfs count="503">
    <xf numFmtId="0" fontId="0" fillId="0" borderId="0" xfId="0">
      <alignment vertical="center"/>
    </xf>
    <xf numFmtId="0" fontId="6" fillId="0" borderId="0" xfId="0" applyFont="1">
      <alignment vertical="center"/>
    </xf>
    <xf numFmtId="0" fontId="7" fillId="2" borderId="1" xfId="0" applyFont="1" applyFill="1" applyBorder="1">
      <alignment vertical="center"/>
    </xf>
    <xf numFmtId="0" fontId="7" fillId="2" borderId="2" xfId="0" applyFont="1" applyFill="1" applyBorder="1">
      <alignment vertical="center"/>
    </xf>
    <xf numFmtId="0" fontId="7" fillId="2" borderId="3" xfId="0" applyFont="1" applyFill="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9" fontId="3" fillId="0" borderId="7" xfId="0" applyNumberFormat="1" applyFont="1" applyBorder="1" applyAlignment="1">
      <alignment horizontal="left" vertical="center"/>
    </xf>
    <xf numFmtId="0" fontId="3" fillId="0" borderId="8" xfId="0" applyFont="1" applyBorder="1">
      <alignment vertical="center"/>
    </xf>
    <xf numFmtId="0" fontId="19" fillId="0" borderId="0" xfId="0" applyFont="1">
      <alignment vertical="center"/>
    </xf>
    <xf numFmtId="0" fontId="19" fillId="0" borderId="0" xfId="0" applyFont="1" applyAlignment="1">
      <alignment vertical="center" wrapText="1"/>
    </xf>
    <xf numFmtId="0" fontId="19" fillId="0" borderId="20" xfId="0" applyFont="1" applyBorder="1" applyAlignment="1">
      <alignment vertical="center" wrapText="1"/>
    </xf>
    <xf numFmtId="0" fontId="3" fillId="0" borderId="21" xfId="0" applyFont="1" applyBorder="1" applyAlignment="1">
      <alignment vertical="center" wrapText="1"/>
    </xf>
    <xf numFmtId="0" fontId="5" fillId="0" borderId="21" xfId="0" applyFont="1" applyBorder="1">
      <alignment vertical="center"/>
    </xf>
    <xf numFmtId="0" fontId="3" fillId="0" borderId="21" xfId="0" applyFont="1" applyBorder="1">
      <alignment vertical="center"/>
    </xf>
    <xf numFmtId="0" fontId="19" fillId="0" borderId="21" xfId="0" applyFont="1" applyBorder="1" applyAlignment="1">
      <alignment vertical="center" wrapText="1"/>
    </xf>
    <xf numFmtId="0" fontId="8" fillId="0" borderId="21" xfId="0" applyFont="1" applyBorder="1" applyAlignment="1">
      <alignment vertical="center" wrapText="1"/>
    </xf>
    <xf numFmtId="0" fontId="8" fillId="0" borderId="21" xfId="0" applyFont="1" applyBorder="1">
      <alignment vertical="center"/>
    </xf>
    <xf numFmtId="0" fontId="21" fillId="0" borderId="21" xfId="0" applyFont="1" applyBorder="1">
      <alignment vertical="center"/>
    </xf>
    <xf numFmtId="0" fontId="21" fillId="0" borderId="21" xfId="0" applyFont="1" applyBorder="1" applyAlignment="1">
      <alignment vertical="center" wrapText="1"/>
    </xf>
    <xf numFmtId="0" fontId="19" fillId="0" borderId="21" xfId="0" applyFont="1" applyBorder="1">
      <alignment vertical="center"/>
    </xf>
    <xf numFmtId="0" fontId="20" fillId="0" borderId="21" xfId="0" applyFont="1" applyBorder="1">
      <alignment vertical="center"/>
    </xf>
    <xf numFmtId="0" fontId="8" fillId="8" borderId="21" xfId="0" applyFont="1" applyFill="1" applyBorder="1" applyAlignment="1">
      <alignment vertical="center" wrapText="1"/>
    </xf>
    <xf numFmtId="0" fontId="19" fillId="8" borderId="21" xfId="0" applyFont="1" applyFill="1" applyBorder="1" applyAlignment="1">
      <alignment vertical="center" wrapText="1"/>
    </xf>
    <xf numFmtId="0" fontId="19" fillId="13" borderId="21" xfId="0" applyFont="1" applyFill="1" applyBorder="1" applyAlignment="1">
      <alignment vertical="center" wrapText="1"/>
    </xf>
    <xf numFmtId="0" fontId="22" fillId="8" borderId="21" xfId="0" applyFont="1" applyFill="1" applyBorder="1" applyAlignment="1">
      <alignment vertical="center" wrapText="1"/>
    </xf>
    <xf numFmtId="0" fontId="25" fillId="0" borderId="21" xfId="0" applyFont="1" applyBorder="1">
      <alignment vertical="center"/>
    </xf>
    <xf numFmtId="0" fontId="16" fillId="7" borderId="21" xfId="1" applyFont="1" applyFill="1" applyBorder="1">
      <alignment vertical="center"/>
    </xf>
    <xf numFmtId="0" fontId="4" fillId="4" borderId="21" xfId="0" applyFont="1" applyFill="1" applyBorder="1">
      <alignment vertical="center"/>
    </xf>
    <xf numFmtId="0" fontId="4" fillId="4" borderId="21" xfId="0" applyFont="1" applyFill="1" applyBorder="1" applyAlignment="1">
      <alignment horizontal="center" vertical="center"/>
    </xf>
    <xf numFmtId="0" fontId="4" fillId="9" borderId="21" xfId="0" applyFont="1" applyFill="1" applyBorder="1" applyAlignment="1">
      <alignment horizontal="center" vertical="center"/>
    </xf>
    <xf numFmtId="0" fontId="5" fillId="0" borderId="21" xfId="0" applyFont="1" applyBorder="1" applyAlignment="1">
      <alignment horizontal="center" vertical="center"/>
    </xf>
    <xf numFmtId="0" fontId="3" fillId="0" borderId="21" xfId="0" applyFont="1" applyBorder="1" applyAlignment="1">
      <alignment horizontal="center" vertical="center"/>
    </xf>
    <xf numFmtId="10" fontId="0" fillId="9" borderId="21" xfId="0" applyNumberFormat="1" applyFill="1" applyBorder="1" applyAlignment="1">
      <alignment horizontal="center" vertical="center"/>
    </xf>
    <xf numFmtId="9" fontId="3" fillId="0" borderId="21" xfId="0" applyNumberFormat="1" applyFont="1" applyBorder="1" applyAlignment="1">
      <alignment horizontal="left" vertical="center"/>
    </xf>
    <xf numFmtId="10" fontId="4" fillId="9" borderId="21" xfId="0" applyNumberFormat="1" applyFont="1" applyFill="1" applyBorder="1" applyAlignment="1">
      <alignment horizontal="center" vertical="center"/>
    </xf>
    <xf numFmtId="10" fontId="11" fillId="9" borderId="21" xfId="0" applyNumberFormat="1" applyFont="1" applyFill="1" applyBorder="1" applyAlignment="1">
      <alignment horizontal="center" vertical="center"/>
    </xf>
    <xf numFmtId="0" fontId="17" fillId="0" borderId="21" xfId="0" applyFont="1" applyBorder="1">
      <alignment vertical="center"/>
    </xf>
    <xf numFmtId="0" fontId="16" fillId="7" borderId="21" xfId="1" applyFont="1" applyFill="1" applyBorder="1" applyAlignment="1">
      <alignment vertical="center" wrapText="1"/>
    </xf>
    <xf numFmtId="0" fontId="16" fillId="7" borderId="21" xfId="1" applyFont="1" applyFill="1" applyBorder="1" applyAlignment="1">
      <alignment vertical="top"/>
    </xf>
    <xf numFmtId="0" fontId="16" fillId="7" borderId="21" xfId="1" applyFont="1" applyFill="1" applyBorder="1" applyAlignment="1">
      <alignment vertical="top" wrapText="1"/>
    </xf>
    <xf numFmtId="0" fontId="16" fillId="7" borderId="21" xfId="1" applyFont="1" applyFill="1" applyBorder="1" applyAlignment="1">
      <alignment horizontal="center" vertical="center"/>
    </xf>
    <xf numFmtId="0" fontId="21" fillId="0" borderId="0" xfId="0" applyFont="1">
      <alignment vertical="center"/>
    </xf>
    <xf numFmtId="0" fontId="18" fillId="4" borderId="21" xfId="5" applyFont="1" applyFill="1" applyBorder="1" applyAlignment="1">
      <alignment vertical="center" wrapText="1"/>
    </xf>
    <xf numFmtId="0" fontId="18" fillId="0" borderId="21" xfId="5" applyFont="1" applyBorder="1" applyAlignment="1">
      <alignment vertical="center" wrapText="1"/>
    </xf>
    <xf numFmtId="0" fontId="18" fillId="0" borderId="21" xfId="5" applyFont="1" applyBorder="1" applyAlignment="1">
      <alignment vertical="top" wrapText="1"/>
    </xf>
    <xf numFmtId="0" fontId="18" fillId="0" borderId="21" xfId="5" applyFont="1" applyBorder="1">
      <alignment vertical="center"/>
    </xf>
    <xf numFmtId="0" fontId="18" fillId="0" borderId="20" xfId="5" applyFont="1" applyBorder="1" applyAlignment="1">
      <alignment vertical="center" wrapText="1"/>
    </xf>
    <xf numFmtId="0" fontId="24" fillId="0" borderId="21" xfId="5" applyFont="1" applyBorder="1">
      <alignment vertical="center"/>
    </xf>
    <xf numFmtId="0" fontId="18" fillId="5" borderId="21" xfId="5" applyFont="1" applyFill="1" applyBorder="1" applyAlignment="1">
      <alignment vertical="center" wrapText="1"/>
    </xf>
    <xf numFmtId="0" fontId="24" fillId="5" borderId="21" xfId="5" applyFont="1" applyFill="1" applyBorder="1" applyAlignment="1">
      <alignment vertical="center" wrapText="1"/>
    </xf>
    <xf numFmtId="0" fontId="15" fillId="0" borderId="21" xfId="5" applyFont="1" applyBorder="1">
      <alignment vertical="center"/>
    </xf>
    <xf numFmtId="0" fontId="24" fillId="0" borderId="21" xfId="5" applyFont="1" applyBorder="1" applyAlignment="1">
      <alignment vertical="center" wrapText="1"/>
    </xf>
    <xf numFmtId="0" fontId="29" fillId="0" borderId="21" xfId="5" applyFont="1" applyBorder="1">
      <alignment vertical="center"/>
    </xf>
    <xf numFmtId="0" fontId="30" fillId="0" borderId="21" xfId="5" applyFont="1" applyBorder="1" applyAlignment="1">
      <alignment vertical="center" wrapText="1"/>
    </xf>
    <xf numFmtId="0" fontId="24" fillId="4" borderId="21" xfId="5" applyFont="1" applyFill="1" applyBorder="1" applyAlignment="1">
      <alignment vertical="center" wrapText="1"/>
    </xf>
    <xf numFmtId="0" fontId="15" fillId="0" borderId="21" xfId="5" applyFont="1" applyBorder="1" applyAlignment="1">
      <alignment vertical="center" wrapText="1"/>
    </xf>
    <xf numFmtId="0" fontId="18" fillId="6" borderId="21" xfId="5" applyFont="1" applyFill="1" applyBorder="1" applyAlignment="1">
      <alignment vertical="center" wrapText="1"/>
    </xf>
    <xf numFmtId="0" fontId="18" fillId="8" borderId="21" xfId="5" applyFont="1" applyFill="1" applyBorder="1" applyAlignment="1">
      <alignment vertical="center" wrapText="1"/>
    </xf>
    <xf numFmtId="0" fontId="24" fillId="0" borderId="21" xfId="5" applyFont="1" applyBorder="1" applyAlignment="1">
      <alignment vertical="top" wrapText="1"/>
    </xf>
    <xf numFmtId="0" fontId="18" fillId="8" borderId="21" xfId="5" applyFont="1" applyFill="1" applyBorder="1">
      <alignment vertical="center"/>
    </xf>
    <xf numFmtId="0" fontId="21" fillId="0" borderId="21" xfId="5" applyFont="1" applyBorder="1">
      <alignment vertical="center"/>
    </xf>
    <xf numFmtId="0" fontId="18" fillId="10" borderId="21" xfId="5" applyFont="1" applyFill="1" applyBorder="1" applyAlignment="1">
      <alignment vertical="center" wrapText="1"/>
    </xf>
    <xf numFmtId="0" fontId="21" fillId="0" borderId="0" xfId="0" applyFont="1" applyAlignment="1">
      <alignment vertical="center" wrapText="1"/>
    </xf>
    <xf numFmtId="0" fontId="18" fillId="11" borderId="21" xfId="5" applyFont="1" applyFill="1" applyBorder="1" applyAlignment="1">
      <alignment vertical="center" wrapText="1"/>
    </xf>
    <xf numFmtId="0" fontId="24" fillId="10" borderId="21" xfId="5" applyFont="1" applyFill="1" applyBorder="1" applyAlignment="1">
      <alignment vertical="center" wrapText="1"/>
    </xf>
    <xf numFmtId="0" fontId="24" fillId="11" borderId="21" xfId="5" applyFont="1" applyFill="1" applyBorder="1" applyAlignment="1">
      <alignment vertical="center" wrapText="1"/>
    </xf>
    <xf numFmtId="0" fontId="24" fillId="0" borderId="12" xfId="5" applyFont="1" applyBorder="1" applyAlignment="1">
      <alignment vertical="center" wrapText="1"/>
    </xf>
    <xf numFmtId="0" fontId="24" fillId="11" borderId="20" xfId="5" applyFont="1" applyFill="1" applyBorder="1" applyAlignment="1">
      <alignment vertical="center" wrapText="1"/>
    </xf>
    <xf numFmtId="0" fontId="24" fillId="0" borderId="17" xfId="5" applyFont="1" applyBorder="1" applyAlignment="1">
      <alignment vertical="center" wrapText="1"/>
    </xf>
    <xf numFmtId="0" fontId="24" fillId="0" borderId="20" xfId="5" applyFont="1" applyBorder="1" applyAlignment="1">
      <alignment vertical="center" wrapText="1"/>
    </xf>
    <xf numFmtId="0" fontId="21" fillId="0" borderId="0" xfId="0" applyFont="1" applyAlignment="1">
      <alignment vertical="top"/>
    </xf>
    <xf numFmtId="0" fontId="24" fillId="0" borderId="9" xfId="5" applyFont="1" applyBorder="1" applyAlignment="1">
      <alignment vertical="center" wrapText="1"/>
    </xf>
    <xf numFmtId="0" fontId="24" fillId="0" borderId="10" xfId="5" applyFont="1" applyBorder="1" applyAlignment="1">
      <alignment vertical="center" wrapText="1"/>
    </xf>
    <xf numFmtId="0" fontId="24" fillId="8" borderId="21" xfId="5" applyFont="1" applyFill="1" applyBorder="1" applyAlignment="1">
      <alignment vertical="center" wrapText="1"/>
    </xf>
    <xf numFmtId="0" fontId="16" fillId="7" borderId="9" xfId="1" applyFont="1" applyFill="1" applyBorder="1">
      <alignment vertical="center"/>
    </xf>
    <xf numFmtId="0" fontId="32" fillId="0" borderId="21" xfId="0" applyFont="1" applyBorder="1" applyAlignment="1">
      <alignment horizontal="center" vertical="center"/>
    </xf>
    <xf numFmtId="0" fontId="18" fillId="0" borderId="9" xfId="5" applyFont="1" applyBorder="1" applyAlignment="1">
      <alignment vertical="center" wrapText="1"/>
    </xf>
    <xf numFmtId="0" fontId="18" fillId="0" borderId="23" xfId="5" applyFont="1" applyBorder="1" applyAlignment="1">
      <alignment vertical="center" wrapText="1"/>
    </xf>
    <xf numFmtId="0" fontId="18" fillId="0" borderId="15" xfId="5" applyFont="1" applyBorder="1" applyAlignment="1">
      <alignment vertical="center" wrapText="1"/>
    </xf>
    <xf numFmtId="0" fontId="32" fillId="0" borderId="21" xfId="0" applyFont="1" applyBorder="1" applyAlignment="1">
      <alignment horizontal="center" vertical="center" wrapText="1"/>
    </xf>
    <xf numFmtId="0" fontId="18" fillId="8" borderId="9" xfId="5" applyFont="1" applyFill="1" applyBorder="1" applyAlignment="1">
      <alignment vertical="center" wrapText="1"/>
    </xf>
    <xf numFmtId="0" fontId="32" fillId="0" borderId="10" xfId="0" applyFont="1" applyBorder="1" applyAlignment="1">
      <alignment horizontal="center" vertical="center" wrapText="1"/>
    </xf>
    <xf numFmtId="0" fontId="32" fillId="0" borderId="22" xfId="0" applyFont="1" applyBorder="1" applyAlignment="1">
      <alignment horizontal="center" vertical="center" wrapText="1"/>
    </xf>
    <xf numFmtId="0" fontId="32" fillId="0" borderId="10" xfId="0" applyFont="1" applyBorder="1" applyAlignment="1">
      <alignment horizontal="center" vertical="center"/>
    </xf>
    <xf numFmtId="0" fontId="32" fillId="0" borderId="22" xfId="0" applyFont="1" applyBorder="1" applyAlignment="1">
      <alignment horizontal="center" vertical="center"/>
    </xf>
    <xf numFmtId="0" fontId="18" fillId="0" borderId="0" xfId="5" applyFont="1" applyAlignment="1">
      <alignment vertical="center" wrapText="1"/>
    </xf>
    <xf numFmtId="0" fontId="32" fillId="0" borderId="20" xfId="0" applyFont="1" applyBorder="1" applyAlignment="1">
      <alignment horizontal="center" vertical="center"/>
    </xf>
    <xf numFmtId="0" fontId="18" fillId="8" borderId="21" xfId="5" applyFont="1" applyFill="1" applyBorder="1" applyAlignment="1">
      <alignment vertical="top" wrapText="1"/>
    </xf>
    <xf numFmtId="0" fontId="24" fillId="0" borderId="11" xfId="5" applyFont="1" applyBorder="1" applyAlignment="1">
      <alignment vertical="center" wrapText="1"/>
    </xf>
    <xf numFmtId="0" fontId="24" fillId="0" borderId="16" xfId="5" applyFont="1" applyBorder="1" applyAlignment="1">
      <alignment vertical="center" wrapText="1"/>
    </xf>
    <xf numFmtId="0" fontId="18" fillId="0" borderId="16" xfId="5" applyFont="1" applyBorder="1" applyAlignment="1">
      <alignment vertical="center" wrapText="1"/>
    </xf>
    <xf numFmtId="0" fontId="18" fillId="0" borderId="17" xfId="5" applyFont="1" applyBorder="1" applyAlignment="1">
      <alignment vertical="center" wrapText="1"/>
    </xf>
    <xf numFmtId="0" fontId="24" fillId="10" borderId="9" xfId="5" applyFont="1" applyFill="1" applyBorder="1" applyAlignment="1">
      <alignment vertical="center" wrapText="1"/>
    </xf>
    <xf numFmtId="0" fontId="18" fillId="0" borderId="10" xfId="5" applyFont="1" applyBorder="1" applyAlignment="1">
      <alignment vertical="center" wrapText="1"/>
    </xf>
    <xf numFmtId="0" fontId="18" fillId="0" borderId="12" xfId="5" applyFont="1" applyBorder="1" applyAlignment="1">
      <alignment vertical="center" wrapText="1"/>
    </xf>
    <xf numFmtId="0" fontId="18" fillId="10" borderId="9" xfId="5" applyFont="1" applyFill="1" applyBorder="1" applyAlignment="1">
      <alignment vertical="center" wrapText="1"/>
    </xf>
    <xf numFmtId="0" fontId="21" fillId="14" borderId="23" xfId="0" applyFont="1" applyFill="1" applyBorder="1">
      <alignment vertical="center"/>
    </xf>
    <xf numFmtId="0" fontId="24" fillId="0" borderId="23" xfId="5" applyFont="1" applyBorder="1" applyAlignment="1">
      <alignment vertical="center" wrapText="1"/>
    </xf>
    <xf numFmtId="0" fontId="21" fillId="0" borderId="23" xfId="0" applyFont="1" applyBorder="1">
      <alignment vertical="center"/>
    </xf>
    <xf numFmtId="0" fontId="21" fillId="0" borderId="23" xfId="0" applyFont="1" applyBorder="1" applyAlignment="1">
      <alignment vertical="top" wrapText="1"/>
    </xf>
    <xf numFmtId="0" fontId="21" fillId="0" borderId="23" xfId="5" applyFont="1" applyBorder="1">
      <alignment vertical="center"/>
    </xf>
    <xf numFmtId="0" fontId="21" fillId="0" borderId="23" xfId="0" applyFont="1" applyBorder="1" applyAlignment="1">
      <alignment vertical="center" wrapText="1"/>
    </xf>
    <xf numFmtId="0" fontId="21" fillId="14" borderId="24" xfId="0" applyFont="1" applyFill="1" applyBorder="1">
      <alignment vertical="center"/>
    </xf>
    <xf numFmtId="0" fontId="21" fillId="0" borderId="24" xfId="0" applyFont="1" applyBorder="1" applyAlignment="1">
      <alignment vertical="center" wrapText="1"/>
    </xf>
    <xf numFmtId="0" fontId="24" fillId="0" borderId="24" xfId="5" applyFont="1" applyBorder="1" applyAlignment="1">
      <alignment vertical="center" wrapText="1"/>
    </xf>
    <xf numFmtId="0" fontId="24" fillId="0" borderId="25" xfId="5" applyFont="1" applyBorder="1" applyAlignment="1">
      <alignment vertical="center" wrapText="1"/>
    </xf>
    <xf numFmtId="0" fontId="18" fillId="0" borderId="23" xfId="0" applyFont="1" applyBorder="1" applyAlignment="1">
      <alignment vertical="center" wrapText="1"/>
    </xf>
    <xf numFmtId="0" fontId="18" fillId="8" borderId="23" xfId="5" applyFont="1" applyFill="1" applyBorder="1" applyAlignment="1">
      <alignment vertical="center" wrapText="1"/>
    </xf>
    <xf numFmtId="0" fontId="18" fillId="0" borderId="0" xfId="0" applyFont="1" applyAlignment="1">
      <alignment vertical="center" wrapText="1"/>
    </xf>
    <xf numFmtId="0" fontId="18" fillId="0" borderId="21" xfId="5" applyFont="1" applyBorder="1" applyAlignment="1">
      <alignment horizontal="left" vertical="center" wrapText="1"/>
    </xf>
    <xf numFmtId="0" fontId="18" fillId="11" borderId="20" xfId="5" applyFont="1" applyFill="1" applyBorder="1" applyAlignment="1">
      <alignment vertical="center" wrapText="1"/>
    </xf>
    <xf numFmtId="0" fontId="26" fillId="8" borderId="21" xfId="5" applyFont="1" applyFill="1" applyBorder="1" applyAlignment="1">
      <alignment vertical="center" wrapText="1"/>
    </xf>
    <xf numFmtId="0" fontId="24" fillId="0" borderId="9" xfId="5" applyFont="1" applyBorder="1" applyAlignment="1">
      <alignment horizontal="center" vertical="center"/>
    </xf>
    <xf numFmtId="0" fontId="21" fillId="0" borderId="9" xfId="0" applyFont="1" applyBorder="1">
      <alignment vertical="center"/>
    </xf>
    <xf numFmtId="0" fontId="26" fillId="0" borderId="21" xfId="5" applyFont="1" applyBorder="1" applyAlignment="1">
      <alignment vertical="center" wrapText="1"/>
    </xf>
    <xf numFmtId="0" fontId="26" fillId="0" borderId="21" xfId="5" applyFont="1" applyBorder="1" applyAlignment="1">
      <alignment vertical="top" wrapText="1"/>
    </xf>
    <xf numFmtId="0" fontId="18" fillId="0" borderId="9" xfId="5" applyFont="1" applyBorder="1" applyAlignment="1">
      <alignment horizontal="center" vertical="center"/>
    </xf>
    <xf numFmtId="0" fontId="18" fillId="0" borderId="9" xfId="5" applyFont="1" applyBorder="1" applyAlignment="1">
      <alignment horizontal="center" vertical="center" wrapText="1"/>
    </xf>
    <xf numFmtId="0" fontId="24" fillId="0" borderId="9" xfId="5" applyFont="1" applyBorder="1">
      <alignment vertical="center"/>
    </xf>
    <xf numFmtId="0" fontId="28" fillId="0" borderId="21" xfId="0" applyFont="1" applyBorder="1" applyAlignment="1">
      <alignment horizontal="center" vertical="center"/>
    </xf>
    <xf numFmtId="0" fontId="24" fillId="8" borderId="9" xfId="5" applyFont="1" applyFill="1" applyBorder="1">
      <alignment vertical="center"/>
    </xf>
    <xf numFmtId="0" fontId="21" fillId="8" borderId="21" xfId="5" applyFont="1" applyFill="1" applyBorder="1">
      <alignment vertical="center"/>
    </xf>
    <xf numFmtId="0" fontId="18" fillId="8" borderId="9" xfId="5" applyFont="1" applyFill="1" applyBorder="1">
      <alignment vertical="center"/>
    </xf>
    <xf numFmtId="0" fontId="24" fillId="13" borderId="9" xfId="5" applyFont="1" applyFill="1" applyBorder="1">
      <alignment vertical="center"/>
    </xf>
    <xf numFmtId="0" fontId="24" fillId="12" borderId="9" xfId="5" applyFont="1" applyFill="1" applyBorder="1">
      <alignment vertical="center"/>
    </xf>
    <xf numFmtId="0" fontId="18" fillId="12" borderId="9" xfId="5" applyFont="1" applyFill="1" applyBorder="1">
      <alignment vertical="center"/>
    </xf>
    <xf numFmtId="0" fontId="18" fillId="8" borderId="9" xfId="5" applyFont="1" applyFill="1" applyBorder="1" applyAlignment="1">
      <alignment horizontal="center" vertical="center"/>
    </xf>
    <xf numFmtId="0" fontId="18" fillId="13" borderId="9" xfId="5" applyFont="1" applyFill="1" applyBorder="1" applyAlignment="1">
      <alignment horizontal="center" vertical="center"/>
    </xf>
    <xf numFmtId="0" fontId="18" fillId="12" borderId="9" xfId="5" applyFont="1" applyFill="1" applyBorder="1" applyAlignment="1">
      <alignment horizontal="center" vertical="center"/>
    </xf>
    <xf numFmtId="0" fontId="31" fillId="0" borderId="9" xfId="5" applyFont="1" applyBorder="1" applyAlignment="1">
      <alignment horizontal="center" vertical="center"/>
    </xf>
    <xf numFmtId="0" fontId="15" fillId="0" borderId="9" xfId="5" applyFont="1" applyBorder="1" applyAlignment="1">
      <alignment horizontal="center" vertical="center"/>
    </xf>
    <xf numFmtId="0" fontId="21" fillId="0" borderId="9" xfId="5" applyFont="1" applyBorder="1" applyAlignment="1">
      <alignment horizontal="center" vertical="center" wrapText="1"/>
    </xf>
    <xf numFmtId="0" fontId="21" fillId="8" borderId="9" xfId="5" applyFont="1" applyFill="1" applyBorder="1" applyAlignment="1">
      <alignment horizontal="center" vertical="center" wrapText="1"/>
    </xf>
    <xf numFmtId="0" fontId="21" fillId="0" borderId="26" xfId="0" applyFont="1" applyBorder="1">
      <alignment vertical="center"/>
    </xf>
    <xf numFmtId="0" fontId="21" fillId="0" borderId="9" xfId="5" applyFont="1" applyBorder="1" applyAlignment="1">
      <alignment horizontal="center" vertical="center"/>
    </xf>
    <xf numFmtId="0" fontId="24" fillId="13" borderId="9" xfId="5" applyFont="1" applyFill="1" applyBorder="1" applyAlignment="1">
      <alignment horizontal="center" vertical="center"/>
    </xf>
    <xf numFmtId="0" fontId="21" fillId="13" borderId="9" xfId="5" applyFont="1" applyFill="1" applyBorder="1" applyAlignment="1">
      <alignment horizontal="center" vertical="center" wrapText="1"/>
    </xf>
    <xf numFmtId="0" fontId="18" fillId="0" borderId="12" xfId="5" applyFont="1" applyBorder="1" applyAlignment="1">
      <alignment vertical="top" wrapText="1"/>
    </xf>
    <xf numFmtId="0" fontId="18" fillId="15" borderId="21" xfId="5" applyFont="1" applyFill="1" applyBorder="1" applyAlignment="1">
      <alignment vertical="center" wrapText="1"/>
    </xf>
    <xf numFmtId="0" fontId="16" fillId="7" borderId="21" xfId="1" applyFont="1" applyFill="1" applyBorder="1" applyAlignment="1">
      <alignment horizontal="center" vertical="center" wrapText="1"/>
    </xf>
    <xf numFmtId="0" fontId="32" fillId="8" borderId="21" xfId="0" applyFont="1" applyFill="1" applyBorder="1" applyAlignment="1">
      <alignment horizontal="center" vertical="center"/>
    </xf>
    <xf numFmtId="0" fontId="15" fillId="5" borderId="21" xfId="5" applyFont="1" applyFill="1" applyBorder="1" applyAlignment="1">
      <alignment vertical="center" wrapText="1"/>
    </xf>
    <xf numFmtId="0" fontId="15" fillId="0" borderId="9" xfId="5" applyFont="1" applyBorder="1" applyAlignment="1">
      <alignment vertical="center" wrapText="1"/>
    </xf>
    <xf numFmtId="0" fontId="15" fillId="0" borderId="21" xfId="5" applyFont="1" applyBorder="1" applyAlignment="1">
      <alignment vertical="top" wrapText="1"/>
    </xf>
    <xf numFmtId="0" fontId="26" fillId="0" borderId="21" xfId="0" applyFont="1" applyBorder="1" applyAlignment="1">
      <alignment vertical="center" wrapText="1"/>
    </xf>
    <xf numFmtId="0" fontId="26" fillId="8" borderId="9" xfId="5" applyFont="1" applyFill="1" applyBorder="1" applyAlignment="1">
      <alignment vertical="center" wrapText="1"/>
    </xf>
    <xf numFmtId="0" fontId="26" fillId="8" borderId="21" xfId="5" applyFont="1" applyFill="1" applyBorder="1" applyAlignment="1">
      <alignment vertical="top" wrapText="1"/>
    </xf>
    <xf numFmtId="0" fontId="26" fillId="8" borderId="21" xfId="5" applyFont="1" applyFill="1" applyBorder="1">
      <alignment vertical="center"/>
    </xf>
    <xf numFmtId="0" fontId="15" fillId="4" borderId="21" xfId="5" applyFont="1" applyFill="1" applyBorder="1" applyAlignment="1">
      <alignment vertical="center" wrapText="1"/>
    </xf>
    <xf numFmtId="0" fontId="26" fillId="0" borderId="0" xfId="0" applyFont="1">
      <alignment vertical="center"/>
    </xf>
    <xf numFmtId="0" fontId="15" fillId="0" borderId="12" xfId="5" applyFont="1" applyBorder="1" applyAlignment="1">
      <alignment vertical="center" wrapText="1"/>
    </xf>
    <xf numFmtId="0" fontId="24" fillId="0" borderId="21" xfId="0" applyFont="1" applyBorder="1" applyAlignment="1">
      <alignment vertical="center" wrapText="1"/>
    </xf>
    <xf numFmtId="0" fontId="26" fillId="8" borderId="9" xfId="5" applyFont="1" applyFill="1" applyBorder="1" applyAlignment="1">
      <alignment horizontal="center" vertical="center"/>
    </xf>
    <xf numFmtId="0" fontId="0" fillId="0" borderId="21" xfId="0" applyBorder="1">
      <alignment vertical="center"/>
    </xf>
    <xf numFmtId="0" fontId="4" fillId="12" borderId="21" xfId="0" applyFont="1" applyFill="1" applyBorder="1" applyAlignment="1">
      <alignment horizontal="center" vertical="center"/>
    </xf>
    <xf numFmtId="0" fontId="11" fillId="0" borderId="21" xfId="0" applyFont="1" applyBorder="1">
      <alignment vertical="center"/>
    </xf>
    <xf numFmtId="0" fontId="11" fillId="12" borderId="21" xfId="0" applyFont="1" applyFill="1" applyBorder="1">
      <alignment vertical="center"/>
    </xf>
    <xf numFmtId="0" fontId="5" fillId="7" borderId="21" xfId="1" applyFont="1" applyFill="1" applyBorder="1" applyAlignment="1">
      <alignment vertical="center" wrapText="1"/>
    </xf>
    <xf numFmtId="0" fontId="18" fillId="8" borderId="21" xfId="7" applyFont="1" applyFill="1" applyBorder="1" applyAlignment="1">
      <alignment vertical="center"/>
    </xf>
    <xf numFmtId="0" fontId="0" fillId="0" borderId="0" xfId="0" applyAlignment="1">
      <alignment vertical="center" wrapText="1"/>
    </xf>
    <xf numFmtId="0" fontId="39" fillId="0" borderId="21" xfId="0" applyFont="1" applyBorder="1" applyAlignment="1">
      <alignment vertical="center" wrapText="1"/>
    </xf>
    <xf numFmtId="0" fontId="11" fillId="0" borderId="0" xfId="0" applyFont="1">
      <alignment vertical="center"/>
    </xf>
    <xf numFmtId="0" fontId="9" fillId="12" borderId="21" xfId="0" applyFont="1" applyFill="1" applyBorder="1">
      <alignment vertical="center"/>
    </xf>
    <xf numFmtId="0" fontId="40" fillId="8" borderId="21" xfId="0" applyFont="1" applyFill="1" applyBorder="1" applyAlignment="1">
      <alignment vertical="center" wrapText="1"/>
    </xf>
    <xf numFmtId="0" fontId="38" fillId="7" borderId="21" xfId="1" applyFont="1" applyFill="1" applyBorder="1" applyAlignment="1">
      <alignment vertical="center" wrapText="1"/>
    </xf>
    <xf numFmtId="0" fontId="38" fillId="7" borderId="21" xfId="1" applyFont="1" applyFill="1" applyBorder="1">
      <alignment vertical="center"/>
    </xf>
    <xf numFmtId="0" fontId="38" fillId="7" borderId="21" xfId="1" applyFont="1" applyFill="1" applyBorder="1" applyAlignment="1">
      <alignment horizontal="center" vertical="center"/>
    </xf>
    <xf numFmtId="0" fontId="38" fillId="7" borderId="21" xfId="1" applyFont="1" applyFill="1" applyBorder="1" applyAlignment="1">
      <alignment horizontal="center" vertical="center" wrapText="1"/>
    </xf>
    <xf numFmtId="0" fontId="38" fillId="0" borderId="21" xfId="0" applyFont="1" applyBorder="1" applyAlignment="1">
      <alignment horizontal="center" vertical="center"/>
    </xf>
    <xf numFmtId="0" fontId="19" fillId="4" borderId="21" xfId="5" applyFont="1" applyFill="1" applyBorder="1" applyAlignment="1">
      <alignment vertical="center" wrapText="1"/>
    </xf>
    <xf numFmtId="0" fontId="19" fillId="0" borderId="21" xfId="5" applyFont="1" applyBorder="1" applyAlignment="1">
      <alignment vertical="center" wrapText="1"/>
    </xf>
    <xf numFmtId="0" fontId="19" fillId="0" borderId="21" xfId="5" applyFont="1" applyBorder="1" applyAlignment="1">
      <alignment vertical="top" wrapText="1"/>
    </xf>
    <xf numFmtId="0" fontId="19" fillId="0" borderId="21" xfId="5" applyFont="1" applyBorder="1" applyAlignment="1">
      <alignment horizontal="center" vertical="center"/>
    </xf>
    <xf numFmtId="0" fontId="19" fillId="13" borderId="21" xfId="5" applyFont="1" applyFill="1" applyBorder="1" applyAlignment="1">
      <alignment horizontal="center" vertical="center"/>
    </xf>
    <xf numFmtId="0" fontId="19" fillId="8" borderId="21" xfId="5" applyFont="1" applyFill="1" applyBorder="1">
      <alignment vertical="center"/>
    </xf>
    <xf numFmtId="0" fontId="19" fillId="8" borderId="21" xfId="5" applyFont="1" applyFill="1" applyBorder="1" applyAlignment="1">
      <alignment vertical="center" wrapText="1"/>
    </xf>
    <xf numFmtId="0" fontId="19" fillId="5" borderId="21" xfId="5" applyFont="1" applyFill="1" applyBorder="1" applyAlignment="1">
      <alignment vertical="center" wrapText="1"/>
    </xf>
    <xf numFmtId="0" fontId="38" fillId="0" borderId="21" xfId="5" applyFont="1" applyBorder="1" applyAlignment="1">
      <alignment horizontal="center" vertical="center"/>
    </xf>
    <xf numFmtId="0" fontId="19" fillId="0" borderId="21" xfId="5" applyFont="1" applyBorder="1" applyAlignment="1">
      <alignment horizontal="center" vertical="center" wrapText="1"/>
    </xf>
    <xf numFmtId="0" fontId="19" fillId="8" borderId="21" xfId="5" applyFont="1" applyFill="1" applyBorder="1" applyAlignment="1">
      <alignment horizontal="center" vertical="center"/>
    </xf>
    <xf numFmtId="0" fontId="19" fillId="0" borderId="21" xfId="0" applyFont="1" applyBorder="1" applyAlignment="1">
      <alignment horizontal="center" vertical="center"/>
    </xf>
    <xf numFmtId="0" fontId="39" fillId="0" borderId="21" xfId="5" applyFont="1" applyBorder="1" applyAlignment="1">
      <alignment vertical="center" wrapText="1"/>
    </xf>
    <xf numFmtId="0" fontId="38" fillId="0" borderId="21" xfId="0" applyFont="1" applyBorder="1" applyAlignment="1">
      <alignment horizontal="center" vertical="center" wrapText="1"/>
    </xf>
    <xf numFmtId="0" fontId="19" fillId="6" borderId="21" xfId="5" applyFont="1" applyFill="1" applyBorder="1" applyAlignment="1">
      <alignment vertical="center" wrapText="1"/>
    </xf>
    <xf numFmtId="0" fontId="19" fillId="0" borderId="21" xfId="5" applyFont="1" applyBorder="1">
      <alignment vertical="center"/>
    </xf>
    <xf numFmtId="0" fontId="39" fillId="5" borderId="21" xfId="5" applyFont="1" applyFill="1" applyBorder="1" applyAlignment="1">
      <alignment vertical="center" wrapText="1"/>
    </xf>
    <xf numFmtId="0" fontId="39" fillId="0" borderId="21" xfId="0" applyFont="1" applyBorder="1">
      <alignment vertical="center"/>
    </xf>
    <xf numFmtId="0" fontId="19" fillId="0" borderId="21" xfId="5" applyFont="1" applyBorder="1" applyAlignment="1">
      <alignment horizontal="left" vertical="center" wrapText="1"/>
    </xf>
    <xf numFmtId="0" fontId="19" fillId="10" borderId="21" xfId="5" applyFont="1" applyFill="1" applyBorder="1" applyAlignment="1">
      <alignment vertical="center" wrapText="1"/>
    </xf>
    <xf numFmtId="0" fontId="19" fillId="11" borderId="21" xfId="5" applyFont="1" applyFill="1" applyBorder="1" applyAlignment="1">
      <alignment vertical="center" wrapText="1"/>
    </xf>
    <xf numFmtId="0" fontId="19" fillId="8" borderId="21" xfId="5" applyFont="1" applyFill="1" applyBorder="1" applyAlignment="1">
      <alignment horizontal="center" vertical="center" wrapText="1"/>
    </xf>
    <xf numFmtId="0" fontId="19" fillId="14" borderId="21" xfId="0" applyFont="1" applyFill="1" applyBorder="1">
      <alignment vertical="center"/>
    </xf>
    <xf numFmtId="0" fontId="19" fillId="13" borderId="21" xfId="5" applyFont="1" applyFill="1" applyBorder="1" applyAlignment="1">
      <alignment horizontal="center" vertical="center" wrapText="1"/>
    </xf>
    <xf numFmtId="0" fontId="19" fillId="15" borderId="21" xfId="5" applyFont="1" applyFill="1" applyBorder="1" applyAlignment="1">
      <alignment vertical="center" wrapText="1"/>
    </xf>
    <xf numFmtId="0" fontId="19" fillId="16" borderId="21" xfId="5" applyFont="1" applyFill="1" applyBorder="1" applyAlignment="1">
      <alignment vertical="center" wrapText="1"/>
    </xf>
    <xf numFmtId="0" fontId="19" fillId="8" borderId="21" xfId="0" applyFont="1" applyFill="1" applyBorder="1" applyAlignment="1">
      <alignment horizontal="center" vertical="center"/>
    </xf>
    <xf numFmtId="0" fontId="19" fillId="14" borderId="21" xfId="5" applyFont="1" applyFill="1" applyBorder="1" applyAlignment="1">
      <alignment vertical="center" wrapText="1"/>
    </xf>
    <xf numFmtId="0" fontId="19" fillId="0" borderId="0" xfId="0" applyFont="1" applyAlignment="1">
      <alignment horizontal="center" vertical="center"/>
    </xf>
    <xf numFmtId="0" fontId="19" fillId="12" borderId="21" xfId="0" applyFont="1" applyFill="1" applyBorder="1" applyAlignment="1">
      <alignment vertical="center" wrapText="1"/>
    </xf>
    <xf numFmtId="0" fontId="25" fillId="0" borderId="21" xfId="5" applyFont="1" applyBorder="1" applyAlignment="1">
      <alignment horizontal="center" vertical="center"/>
    </xf>
    <xf numFmtId="0" fontId="39" fillId="0" borderId="21" xfId="5" applyFont="1" applyBorder="1" applyAlignment="1">
      <alignment horizontal="left" vertical="center" wrapText="1"/>
    </xf>
    <xf numFmtId="0" fontId="19" fillId="8" borderId="21" xfId="5" applyFont="1" applyFill="1" applyBorder="1" applyAlignment="1">
      <alignment horizontal="left" vertical="center" wrapText="1"/>
    </xf>
    <xf numFmtId="0" fontId="19" fillId="0" borderId="21" xfId="0" applyFont="1" applyBorder="1" applyAlignment="1">
      <alignment horizontal="left" vertical="center" wrapText="1"/>
    </xf>
    <xf numFmtId="0" fontId="19" fillId="12" borderId="21" xfId="0" applyFont="1" applyFill="1" applyBorder="1" applyAlignment="1">
      <alignment horizontal="left" vertical="center" wrapText="1"/>
    </xf>
    <xf numFmtId="0" fontId="19" fillId="0" borderId="0" xfId="0" applyFont="1" applyAlignment="1">
      <alignment horizontal="left" vertical="center" wrapText="1"/>
    </xf>
    <xf numFmtId="0" fontId="19" fillId="8" borderId="21" xfId="0" applyFont="1" applyFill="1" applyBorder="1" applyAlignment="1">
      <alignment horizontal="left" vertical="center" wrapText="1"/>
    </xf>
    <xf numFmtId="0" fontId="39" fillId="4" borderId="21" xfId="5" applyFont="1" applyFill="1" applyBorder="1" applyAlignment="1">
      <alignment vertical="center" wrapText="1"/>
    </xf>
    <xf numFmtId="0" fontId="25" fillId="0" borderId="21" xfId="5" applyFont="1" applyBorder="1" applyAlignment="1">
      <alignment horizontal="left" vertical="center" wrapText="1"/>
    </xf>
    <xf numFmtId="0" fontId="25" fillId="0" borderId="21" xfId="5" applyFont="1" applyBorder="1" applyAlignment="1">
      <alignment vertical="center" wrapText="1"/>
    </xf>
    <xf numFmtId="0" fontId="25" fillId="5" borderId="21" xfId="5" applyFont="1" applyFill="1" applyBorder="1" applyAlignment="1">
      <alignment vertical="center" wrapText="1"/>
    </xf>
    <xf numFmtId="0" fontId="25" fillId="14" borderId="21" xfId="5" applyFont="1" applyFill="1" applyBorder="1" applyAlignment="1">
      <alignment vertical="center" wrapText="1"/>
    </xf>
    <xf numFmtId="0" fontId="25" fillId="13" borderId="21" xfId="5" applyFont="1" applyFill="1" applyBorder="1" applyAlignment="1">
      <alignment horizontal="center" vertical="center"/>
    </xf>
    <xf numFmtId="0" fontId="39" fillId="10" borderId="21" xfId="5" applyFont="1" applyFill="1" applyBorder="1" applyAlignment="1">
      <alignment vertical="center" wrapText="1"/>
    </xf>
    <xf numFmtId="0" fontId="39" fillId="8" borderId="21" xfId="5" applyFont="1" applyFill="1" applyBorder="1" applyAlignment="1">
      <alignment vertical="center" wrapText="1"/>
    </xf>
    <xf numFmtId="0" fontId="20" fillId="0" borderId="21" xfId="0" applyFont="1" applyBorder="1" applyAlignment="1">
      <alignment horizontal="center" vertical="center"/>
    </xf>
    <xf numFmtId="0" fontId="0" fillId="0" borderId="21" xfId="0" applyBorder="1" applyAlignment="1">
      <alignment horizontal="center" vertical="center"/>
    </xf>
    <xf numFmtId="0" fontId="11" fillId="0" borderId="21" xfId="0" applyFont="1" applyBorder="1" applyAlignment="1">
      <alignment horizontal="center" vertical="center"/>
    </xf>
    <xf numFmtId="0" fontId="3" fillId="13" borderId="21" xfId="0" applyFont="1" applyFill="1" applyBorder="1" applyAlignment="1">
      <alignment vertical="center" wrapText="1"/>
    </xf>
    <xf numFmtId="0" fontId="3" fillId="13" borderId="21" xfId="0" applyFont="1" applyFill="1" applyBorder="1">
      <alignment vertical="center"/>
    </xf>
    <xf numFmtId="0" fontId="17" fillId="0" borderId="21" xfId="0" applyFont="1" applyBorder="1" applyAlignment="1">
      <alignment horizontal="center" vertical="center"/>
    </xf>
    <xf numFmtId="0" fontId="25" fillId="0" borderId="21" xfId="0" applyFont="1" applyBorder="1" applyAlignment="1">
      <alignment vertical="center" wrapText="1"/>
    </xf>
    <xf numFmtId="0" fontId="19" fillId="8" borderId="10" xfId="0" applyFont="1" applyFill="1" applyBorder="1" applyAlignment="1">
      <alignment vertical="center" wrapText="1"/>
    </xf>
    <xf numFmtId="0" fontId="19" fillId="8" borderId="24" xfId="0" applyFont="1" applyFill="1" applyBorder="1" applyAlignment="1">
      <alignment vertical="center" wrapText="1"/>
    </xf>
    <xf numFmtId="0" fontId="19" fillId="8" borderId="23" xfId="0" applyFont="1" applyFill="1" applyBorder="1" applyAlignment="1">
      <alignment vertical="center" wrapText="1"/>
    </xf>
    <xf numFmtId="0" fontId="19" fillId="8" borderId="22" xfId="0" applyFont="1" applyFill="1" applyBorder="1" applyAlignment="1">
      <alignment vertical="center" wrapText="1"/>
    </xf>
    <xf numFmtId="0" fontId="8" fillId="0" borderId="21" xfId="0" applyFont="1" applyBorder="1" applyAlignment="1">
      <alignment horizontal="left" vertical="center" wrapText="1"/>
    </xf>
    <xf numFmtId="0" fontId="19" fillId="8" borderId="20" xfId="0" applyFont="1" applyFill="1" applyBorder="1" applyAlignment="1">
      <alignment vertical="center" wrapText="1"/>
    </xf>
    <xf numFmtId="0" fontId="48" fillId="0" borderId="21" xfId="0" applyFont="1" applyBorder="1">
      <alignment vertical="center"/>
    </xf>
    <xf numFmtId="0" fontId="49" fillId="8" borderId="21" xfId="0" applyFont="1" applyFill="1" applyBorder="1" applyAlignment="1">
      <alignment vertical="center" wrapText="1"/>
    </xf>
    <xf numFmtId="0" fontId="49" fillId="0" borderId="21" xfId="0" applyFont="1" applyBorder="1" applyAlignment="1">
      <alignment vertical="center" wrapText="1"/>
    </xf>
    <xf numFmtId="0" fontId="49" fillId="0" borderId="21" xfId="0" applyFont="1" applyBorder="1" applyAlignment="1">
      <alignment horizontal="left" vertical="center" wrapText="1"/>
    </xf>
    <xf numFmtId="0" fontId="49" fillId="0" borderId="21" xfId="0" applyFont="1" applyBorder="1">
      <alignment vertical="center"/>
    </xf>
    <xf numFmtId="0" fontId="49" fillId="0" borderId="10" xfId="0" applyFont="1" applyBorder="1" applyAlignment="1">
      <alignment vertical="center" wrapText="1"/>
    </xf>
    <xf numFmtId="0" fontId="49" fillId="8" borderId="20" xfId="0" applyFont="1" applyFill="1" applyBorder="1" applyAlignment="1">
      <alignment vertical="center" wrapText="1"/>
    </xf>
    <xf numFmtId="0" fontId="49" fillId="8" borderId="24" xfId="0" applyFont="1" applyFill="1" applyBorder="1" applyAlignment="1">
      <alignment vertical="center" wrapText="1"/>
    </xf>
    <xf numFmtId="0" fontId="49" fillId="0" borderId="22" xfId="0" applyFont="1" applyBorder="1" applyAlignment="1">
      <alignment vertical="center" wrapText="1"/>
    </xf>
    <xf numFmtId="0" fontId="47" fillId="0" borderId="21" xfId="0" applyFont="1" applyBorder="1" applyAlignment="1">
      <alignment horizontal="left" vertical="center" wrapText="1"/>
    </xf>
    <xf numFmtId="0" fontId="46" fillId="8" borderId="21" xfId="0" applyFont="1" applyFill="1" applyBorder="1" applyAlignment="1">
      <alignment vertical="center" wrapText="1"/>
    </xf>
    <xf numFmtId="0" fontId="39" fillId="8" borderId="21" xfId="0" applyFont="1" applyFill="1" applyBorder="1" applyAlignment="1">
      <alignment vertical="center" wrapText="1"/>
    </xf>
    <xf numFmtId="0" fontId="39" fillId="0" borderId="21" xfId="0" applyFont="1" applyBorder="1" applyAlignment="1">
      <alignment horizontal="left" vertical="center" wrapText="1"/>
    </xf>
    <xf numFmtId="0" fontId="19" fillId="0" borderId="10" xfId="5" applyFont="1" applyBorder="1" applyAlignment="1">
      <alignment vertical="center" wrapText="1"/>
    </xf>
    <xf numFmtId="0" fontId="19" fillId="0" borderId="23" xfId="5" applyFont="1" applyBorder="1" applyAlignment="1">
      <alignment vertical="center" wrapText="1"/>
    </xf>
    <xf numFmtId="0" fontId="19" fillId="0" borderId="12" xfId="5" applyFont="1" applyBorder="1" applyAlignment="1">
      <alignment vertical="center" wrapText="1"/>
    </xf>
    <xf numFmtId="0" fontId="25" fillId="10" borderId="21" xfId="5" applyFont="1" applyFill="1" applyBorder="1" applyAlignment="1">
      <alignment vertical="center" wrapText="1"/>
    </xf>
    <xf numFmtId="0" fontId="19" fillId="18" borderId="21" xfId="0" applyFont="1" applyFill="1" applyBorder="1" applyAlignment="1">
      <alignment vertical="center" wrapText="1"/>
    </xf>
    <xf numFmtId="0" fontId="19" fillId="19" borderId="21" xfId="0" applyFont="1" applyFill="1" applyBorder="1" applyAlignment="1">
      <alignment vertical="center" wrapText="1"/>
    </xf>
    <xf numFmtId="0" fontId="46" fillId="0" borderId="21" xfId="5" applyFont="1" applyBorder="1" applyAlignment="1">
      <alignment vertical="center" wrapText="1"/>
    </xf>
    <xf numFmtId="0" fontId="25" fillId="0" borderId="21" xfId="0" applyFont="1" applyBorder="1" applyAlignment="1">
      <alignment horizontal="left" vertical="center" wrapText="1"/>
    </xf>
    <xf numFmtId="0" fontId="46" fillId="0" borderId="21" xfId="0" applyFont="1" applyBorder="1" applyAlignment="1">
      <alignment horizontal="left" vertical="center" wrapText="1"/>
    </xf>
    <xf numFmtId="0" fontId="46" fillId="8" borderId="21" xfId="5" applyFont="1" applyFill="1" applyBorder="1" applyAlignment="1">
      <alignment vertical="center" wrapText="1"/>
    </xf>
    <xf numFmtId="0" fontId="39" fillId="8" borderId="21" xfId="5" applyFont="1" applyFill="1" applyBorder="1" applyAlignment="1">
      <alignment horizontal="left" vertical="center" wrapText="1"/>
    </xf>
    <xf numFmtId="0" fontId="39" fillId="11" borderId="21" xfId="5" applyFont="1" applyFill="1" applyBorder="1" applyAlignment="1">
      <alignment vertical="center" wrapText="1"/>
    </xf>
    <xf numFmtId="0" fontId="46" fillId="20" borderId="21" xfId="0" applyFont="1" applyFill="1" applyBorder="1" applyAlignment="1">
      <alignment vertical="center" wrapText="1"/>
    </xf>
    <xf numFmtId="0" fontId="46" fillId="0" borderId="12" xfId="0" applyFont="1" applyBorder="1" applyAlignment="1">
      <alignment vertical="center" wrapText="1"/>
    </xf>
    <xf numFmtId="0" fontId="46" fillId="20" borderId="20" xfId="0" applyFont="1" applyFill="1" applyBorder="1" applyAlignment="1">
      <alignment vertical="center" wrapText="1"/>
    </xf>
    <xf numFmtId="0" fontId="46" fillId="0" borderId="17" xfId="0" applyFont="1" applyBorder="1" applyAlignment="1">
      <alignment vertical="center" wrapText="1"/>
    </xf>
    <xf numFmtId="0" fontId="46" fillId="21" borderId="17" xfId="0" applyFont="1" applyFill="1" applyBorder="1" applyAlignment="1">
      <alignment vertical="center" wrapText="1"/>
    </xf>
    <xf numFmtId="0" fontId="46" fillId="22" borderId="20" xfId="0" applyFont="1" applyFill="1" applyBorder="1" applyAlignment="1">
      <alignment vertical="center" wrapText="1"/>
    </xf>
    <xf numFmtId="0" fontId="25" fillId="4" borderId="21" xfId="5" applyFont="1" applyFill="1" applyBorder="1" applyAlignment="1">
      <alignment vertical="center" wrapText="1"/>
    </xf>
    <xf numFmtId="0" fontId="46" fillId="14" borderId="21" xfId="5" applyFont="1" applyFill="1" applyBorder="1" applyAlignment="1">
      <alignment vertical="center" wrapText="1"/>
    </xf>
    <xf numFmtId="0" fontId="25" fillId="0" borderId="21" xfId="5" applyFont="1" applyBorder="1" applyAlignment="1">
      <alignment vertical="top" wrapText="1"/>
    </xf>
    <xf numFmtId="0" fontId="25" fillId="6" borderId="21" xfId="5" applyFont="1" applyFill="1" applyBorder="1" applyAlignment="1">
      <alignment vertical="center" wrapText="1"/>
    </xf>
    <xf numFmtId="0" fontId="23" fillId="0" borderId="21" xfId="5" applyFont="1" applyBorder="1" applyAlignment="1">
      <alignment vertical="center" wrapText="1"/>
    </xf>
    <xf numFmtId="0" fontId="23" fillId="0" borderId="21" xfId="5" applyFont="1" applyBorder="1" applyAlignment="1">
      <alignment horizontal="left" vertical="center" wrapText="1"/>
    </xf>
    <xf numFmtId="0" fontId="23" fillId="0" borderId="21" xfId="5" applyFont="1" applyBorder="1" applyAlignment="1">
      <alignment horizontal="center" vertical="center"/>
    </xf>
    <xf numFmtId="0" fontId="22" fillId="0" borderId="21" xfId="5" applyFont="1" applyBorder="1" applyAlignment="1">
      <alignment vertical="center" wrapText="1"/>
    </xf>
    <xf numFmtId="0" fontId="22" fillId="0" borderId="21" xfId="5" applyFont="1" applyBorder="1" applyAlignment="1">
      <alignment horizontal="left" vertical="center" wrapText="1"/>
    </xf>
    <xf numFmtId="0" fontId="3" fillId="8" borderId="21" xfId="0" applyFont="1" applyFill="1" applyBorder="1">
      <alignment vertical="center"/>
    </xf>
    <xf numFmtId="0" fontId="5" fillId="8" borderId="21" xfId="0" applyFont="1" applyFill="1" applyBorder="1" applyAlignment="1">
      <alignment horizontal="center" vertical="center"/>
    </xf>
    <xf numFmtId="0" fontId="3" fillId="8" borderId="21" xfId="0" applyFont="1" applyFill="1" applyBorder="1" applyAlignment="1">
      <alignment horizontal="center" vertical="center"/>
    </xf>
    <xf numFmtId="0" fontId="11" fillId="8" borderId="21" xfId="0" applyFont="1" applyFill="1" applyBorder="1">
      <alignment vertical="center"/>
    </xf>
    <xf numFmtId="0" fontId="11" fillId="8" borderId="21" xfId="0" applyFont="1" applyFill="1" applyBorder="1" applyAlignment="1">
      <alignment horizontal="center" vertical="center"/>
    </xf>
    <xf numFmtId="0" fontId="25" fillId="0" borderId="23" xfId="5" applyFont="1" applyBorder="1" applyAlignment="1">
      <alignment vertical="center" wrapText="1"/>
    </xf>
    <xf numFmtId="0" fontId="25" fillId="8" borderId="10" xfId="0" applyFont="1" applyFill="1" applyBorder="1" applyAlignment="1">
      <alignment vertical="center" wrapText="1"/>
    </xf>
    <xf numFmtId="0" fontId="25" fillId="0" borderId="21" xfId="0" applyFont="1" applyBorder="1" applyAlignment="1">
      <alignment horizontal="left" vertical="center"/>
    </xf>
    <xf numFmtId="0" fontId="25" fillId="8" borderId="21" xfId="0" applyFont="1" applyFill="1" applyBorder="1" applyAlignment="1">
      <alignment horizontal="left" vertical="center" wrapText="1"/>
    </xf>
    <xf numFmtId="0" fontId="25" fillId="8" borderId="21" xfId="0" applyFont="1" applyFill="1" applyBorder="1" applyAlignment="1">
      <alignment vertical="center" wrapText="1"/>
    </xf>
    <xf numFmtId="0" fontId="8" fillId="11" borderId="21" xfId="5" applyFont="1" applyFill="1" applyBorder="1" applyAlignment="1">
      <alignment vertical="center" wrapText="1"/>
    </xf>
    <xf numFmtId="0" fontId="8" fillId="8" borderId="21" xfId="5" applyFont="1" applyFill="1" applyBorder="1" applyAlignment="1">
      <alignment vertical="center" wrapText="1"/>
    </xf>
    <xf numFmtId="0" fontId="8" fillId="0" borderId="21" xfId="5" applyFont="1" applyBorder="1" applyAlignment="1">
      <alignment horizontal="center" vertical="center"/>
    </xf>
    <xf numFmtId="0" fontId="25" fillId="0" borderId="21" xfId="5" applyFont="1" applyBorder="1" applyAlignment="1">
      <alignment horizontal="center" vertical="center" wrapText="1"/>
    </xf>
    <xf numFmtId="0" fontId="25" fillId="8" borderId="21" xfId="5" applyFont="1" applyFill="1" applyBorder="1" applyAlignment="1">
      <alignment vertical="center" wrapText="1"/>
    </xf>
    <xf numFmtId="0" fontId="25" fillId="11" borderId="21" xfId="5" applyFont="1" applyFill="1" applyBorder="1" applyAlignment="1">
      <alignment vertical="center" wrapText="1"/>
    </xf>
    <xf numFmtId="0" fontId="25" fillId="8" borderId="21" xfId="0" applyFont="1" applyFill="1" applyBorder="1">
      <alignment vertical="center"/>
    </xf>
    <xf numFmtId="0" fontId="25" fillId="12" borderId="21" xfId="0" applyFont="1" applyFill="1" applyBorder="1" applyAlignment="1">
      <alignment vertical="center" wrapText="1"/>
    </xf>
    <xf numFmtId="0" fontId="43" fillId="0" borderId="21" xfId="0" applyFont="1" applyBorder="1" applyAlignment="1">
      <alignment horizontal="center" vertical="center"/>
    </xf>
    <xf numFmtId="0" fontId="40" fillId="0" borderId="21" xfId="0" applyFont="1" applyBorder="1" applyAlignment="1">
      <alignment vertical="center" wrapText="1"/>
    </xf>
    <xf numFmtId="0" fontId="40" fillId="0" borderId="21" xfId="0" applyFont="1" applyBorder="1" applyAlignment="1">
      <alignment horizontal="left" vertical="center" wrapText="1"/>
    </xf>
    <xf numFmtId="0" fontId="19" fillId="5" borderId="21" xfId="0" applyFont="1" applyFill="1" applyBorder="1" applyAlignment="1">
      <alignment vertical="center" wrapText="1"/>
    </xf>
    <xf numFmtId="0" fontId="22" fillId="18" borderId="21" xfId="0" applyFont="1" applyFill="1" applyBorder="1" applyAlignment="1">
      <alignment vertical="center" wrapText="1"/>
    </xf>
    <xf numFmtId="0" fontId="8" fillId="8" borderId="21" xfId="5" applyFont="1" applyFill="1" applyBorder="1" applyAlignment="1">
      <alignment horizontal="center" vertical="center"/>
    </xf>
    <xf numFmtId="0" fontId="8" fillId="0" borderId="21" xfId="0" applyFont="1" applyBorder="1" applyAlignment="1">
      <alignment horizontal="center" vertical="center"/>
    </xf>
    <xf numFmtId="0" fontId="7" fillId="23" borderId="21" xfId="0" applyFont="1" applyFill="1" applyBorder="1" applyAlignment="1">
      <alignment horizontal="center" vertical="center"/>
    </xf>
    <xf numFmtId="0" fontId="3" fillId="0" borderId="21" xfId="0" applyFont="1" applyBorder="1" applyAlignment="1">
      <alignment vertical="top" wrapText="1"/>
    </xf>
    <xf numFmtId="0" fontId="19" fillId="0" borderId="10" xfId="0" applyFont="1" applyBorder="1" applyAlignment="1">
      <alignment horizontal="center" vertical="center"/>
    </xf>
    <xf numFmtId="0" fontId="38" fillId="0" borderId="10" xfId="0" applyFont="1" applyBorder="1" applyAlignment="1">
      <alignment horizontal="center" vertical="center" wrapText="1"/>
    </xf>
    <xf numFmtId="0" fontId="43" fillId="0" borderId="10" xfId="0" applyFont="1" applyBorder="1" applyAlignment="1">
      <alignment horizontal="center" vertical="center"/>
    </xf>
    <xf numFmtId="0" fontId="19" fillId="0" borderId="20" xfId="0" applyFont="1" applyBorder="1" applyAlignment="1">
      <alignment horizontal="center" vertical="center"/>
    </xf>
    <xf numFmtId="0" fontId="19" fillId="4" borderId="20" xfId="5" applyFont="1" applyFill="1" applyBorder="1" applyAlignment="1">
      <alignment vertical="center" wrapText="1"/>
    </xf>
    <xf numFmtId="0" fontId="19" fillId="0" borderId="20" xfId="5" applyFont="1" applyBorder="1" applyAlignment="1">
      <alignment vertical="center" wrapText="1"/>
    </xf>
    <xf numFmtId="0" fontId="19" fillId="0" borderId="20" xfId="5" applyFont="1" applyBorder="1" applyAlignment="1">
      <alignment horizontal="left" vertical="center" wrapText="1"/>
    </xf>
    <xf numFmtId="0" fontId="19" fillId="4" borderId="10" xfId="5" applyFont="1" applyFill="1" applyBorder="1" applyAlignment="1">
      <alignment vertical="center" wrapText="1"/>
    </xf>
    <xf numFmtId="0" fontId="19" fillId="8" borderId="10" xfId="5" applyFont="1" applyFill="1" applyBorder="1" applyAlignment="1">
      <alignment vertical="center" wrapText="1"/>
    </xf>
    <xf numFmtId="0" fontId="19" fillId="0" borderId="10" xfId="5" applyFont="1" applyBorder="1" applyAlignment="1">
      <alignment horizontal="left" vertical="center" wrapText="1"/>
    </xf>
    <xf numFmtId="0" fontId="19" fillId="13" borderId="12" xfId="5" applyFont="1" applyFill="1" applyBorder="1" applyAlignment="1">
      <alignment horizontal="center" vertical="center"/>
    </xf>
    <xf numFmtId="0" fontId="19" fillId="5" borderId="20" xfId="5" applyFont="1" applyFill="1" applyBorder="1" applyAlignment="1">
      <alignment vertical="center" wrapText="1"/>
    </xf>
    <xf numFmtId="0" fontId="19" fillId="5" borderId="10" xfId="5" applyFont="1" applyFill="1" applyBorder="1" applyAlignment="1">
      <alignment vertical="center" wrapText="1"/>
    </xf>
    <xf numFmtId="0" fontId="25" fillId="13" borderId="12" xfId="5" applyFont="1" applyFill="1" applyBorder="1" applyAlignment="1">
      <alignment horizontal="center" vertical="center"/>
    </xf>
    <xf numFmtId="0" fontId="25" fillId="0" borderId="20" xfId="5" applyFont="1" applyBorder="1" applyAlignment="1">
      <alignment vertical="center" wrapText="1"/>
    </xf>
    <xf numFmtId="0" fontId="25" fillId="0" borderId="10" xfId="5" applyFont="1" applyBorder="1" applyAlignment="1">
      <alignment vertical="center" wrapText="1"/>
    </xf>
    <xf numFmtId="0" fontId="19" fillId="8" borderId="12" xfId="5" applyFont="1" applyFill="1" applyBorder="1" applyAlignment="1">
      <alignment horizontal="center" vertical="center"/>
    </xf>
    <xf numFmtId="0" fontId="19" fillId="6" borderId="20" xfId="5" applyFont="1" applyFill="1" applyBorder="1" applyAlignment="1">
      <alignment vertical="center" wrapText="1"/>
    </xf>
    <xf numFmtId="0" fontId="19" fillId="8" borderId="20" xfId="5" applyFont="1" applyFill="1" applyBorder="1" applyAlignment="1">
      <alignment vertical="center" wrapText="1"/>
    </xf>
    <xf numFmtId="0" fontId="38" fillId="0" borderId="20" xfId="0" applyFont="1" applyBorder="1" applyAlignment="1">
      <alignment horizontal="center" vertical="center" wrapText="1"/>
    </xf>
    <xf numFmtId="0" fontId="19" fillId="0" borderId="12" xfId="5" applyFont="1" applyBorder="1" applyAlignment="1">
      <alignment horizontal="center" vertical="center"/>
    </xf>
    <xf numFmtId="0" fontId="25" fillId="8" borderId="17" xfId="0" applyFont="1" applyFill="1" applyBorder="1" applyAlignment="1">
      <alignment vertical="center" wrapText="1"/>
    </xf>
    <xf numFmtId="0" fontId="25" fillId="0" borderId="12" xfId="5" applyFont="1" applyBorder="1" applyAlignment="1">
      <alignment horizontal="center" vertical="center"/>
    </xf>
    <xf numFmtId="0" fontId="19" fillId="0" borderId="10" xfId="0" applyFont="1" applyBorder="1" applyAlignment="1">
      <alignment vertical="center" wrapText="1"/>
    </xf>
    <xf numFmtId="0" fontId="19" fillId="0" borderId="10" xfId="0" applyFont="1" applyBorder="1" applyAlignment="1">
      <alignment horizontal="left" vertical="center" wrapText="1"/>
    </xf>
    <xf numFmtId="0" fontId="25" fillId="14" borderId="20" xfId="5" applyFont="1" applyFill="1" applyBorder="1" applyAlignment="1">
      <alignment vertical="center" wrapText="1"/>
    </xf>
    <xf numFmtId="0" fontId="25" fillId="4" borderId="10" xfId="5" applyFont="1" applyFill="1" applyBorder="1" applyAlignment="1">
      <alignment vertical="center" wrapText="1"/>
    </xf>
    <xf numFmtId="0" fontId="50" fillId="0" borderId="21" xfId="5" applyFont="1" applyBorder="1" applyAlignment="1">
      <alignment vertical="center" wrapText="1"/>
    </xf>
    <xf numFmtId="11" fontId="50" fillId="0" borderId="21" xfId="5" applyNumberFormat="1" applyFont="1" applyBorder="1" applyAlignment="1">
      <alignment vertical="center" wrapText="1"/>
    </xf>
    <xf numFmtId="0" fontId="19" fillId="11" borderId="10" xfId="5" applyFont="1" applyFill="1" applyBorder="1" applyAlignment="1">
      <alignment vertical="center" wrapText="1"/>
    </xf>
    <xf numFmtId="0" fontId="19" fillId="0" borderId="12" xfId="5" applyFont="1" applyBorder="1" applyAlignment="1">
      <alignment horizontal="center" vertical="center" wrapText="1"/>
    </xf>
    <xf numFmtId="0" fontId="19" fillId="11" borderId="20" xfId="5" applyFont="1" applyFill="1" applyBorder="1" applyAlignment="1">
      <alignment vertical="center" wrapText="1"/>
    </xf>
    <xf numFmtId="0" fontId="19" fillId="10" borderId="10" xfId="5" applyFont="1" applyFill="1" applyBorder="1" applyAlignment="1">
      <alignment vertical="center" wrapText="1"/>
    </xf>
    <xf numFmtId="0" fontId="19" fillId="10" borderId="20" xfId="5" applyFont="1" applyFill="1" applyBorder="1" applyAlignment="1">
      <alignment vertical="center" wrapText="1"/>
    </xf>
    <xf numFmtId="0" fontId="25" fillId="8" borderId="12" xfId="5" applyFont="1" applyFill="1" applyBorder="1">
      <alignment vertical="center"/>
    </xf>
    <xf numFmtId="0" fontId="24" fillId="8" borderId="12" xfId="5" applyFont="1" applyFill="1" applyBorder="1">
      <alignment vertical="center"/>
    </xf>
    <xf numFmtId="0" fontId="19" fillId="10" borderId="22" xfId="5" applyFont="1" applyFill="1" applyBorder="1" applyAlignment="1">
      <alignment vertical="center" wrapText="1"/>
    </xf>
    <xf numFmtId="0" fontId="19" fillId="0" borderId="22" xfId="5" applyFont="1" applyBorder="1" applyAlignment="1">
      <alignment vertical="center" wrapText="1"/>
    </xf>
    <xf numFmtId="0" fontId="19" fillId="0" borderId="22" xfId="5" applyFont="1" applyBorder="1" applyAlignment="1">
      <alignment horizontal="left" vertical="center" wrapText="1"/>
    </xf>
    <xf numFmtId="0" fontId="19" fillId="8" borderId="20" xfId="5" applyFont="1" applyFill="1" applyBorder="1" applyAlignment="1">
      <alignment horizontal="left" vertical="center" wrapText="1"/>
    </xf>
    <xf numFmtId="0" fontId="25" fillId="10" borderId="10" xfId="5" applyFont="1" applyFill="1" applyBorder="1" applyAlignment="1">
      <alignment vertical="center" wrapText="1"/>
    </xf>
    <xf numFmtId="0" fontId="25" fillId="0" borderId="21" xfId="0" applyFont="1" applyBorder="1" applyAlignment="1">
      <alignment horizontal="center" vertical="center"/>
    </xf>
    <xf numFmtId="0" fontId="50" fillId="0" borderId="21" xfId="5" applyFont="1" applyBorder="1" applyAlignment="1">
      <alignment horizontal="left" vertical="center" wrapText="1"/>
    </xf>
    <xf numFmtId="0" fontId="25" fillId="0" borderId="10" xfId="0" applyFont="1" applyBorder="1" applyAlignment="1">
      <alignment horizontal="center" vertical="center"/>
    </xf>
    <xf numFmtId="0" fontId="19" fillId="18" borderId="10" xfId="0" applyFont="1" applyFill="1" applyBorder="1" applyAlignment="1">
      <alignment vertical="center" wrapText="1"/>
    </xf>
    <xf numFmtId="0" fontId="19" fillId="0" borderId="12" xfId="0" applyFont="1" applyBorder="1" applyAlignment="1">
      <alignment horizontal="center" vertical="center"/>
    </xf>
    <xf numFmtId="0" fontId="25" fillId="19" borderId="21" xfId="0" applyFont="1" applyFill="1" applyBorder="1" applyAlignment="1">
      <alignment vertical="center" wrapText="1"/>
    </xf>
    <xf numFmtId="0" fontId="19" fillId="19" borderId="20" xfId="0" applyFont="1" applyFill="1" applyBorder="1" applyAlignment="1">
      <alignment vertical="center" wrapText="1"/>
    </xf>
    <xf numFmtId="0" fontId="25" fillId="8" borderId="20" xfId="0" applyFont="1" applyFill="1" applyBorder="1" applyAlignment="1">
      <alignment vertical="center" wrapText="1"/>
    </xf>
    <xf numFmtId="0" fontId="19" fillId="0" borderId="20" xfId="0" applyFont="1" applyBorder="1" applyAlignment="1">
      <alignment horizontal="left" vertical="center" wrapText="1"/>
    </xf>
    <xf numFmtId="0" fontId="19" fillId="8" borderId="10" xfId="0" applyFont="1" applyFill="1" applyBorder="1" applyAlignment="1">
      <alignment horizontal="left" vertical="center" wrapText="1"/>
    </xf>
    <xf numFmtId="0" fontId="19" fillId="8" borderId="12" xfId="0" applyFont="1" applyFill="1" applyBorder="1" applyAlignment="1">
      <alignment horizontal="center" vertical="center"/>
    </xf>
    <xf numFmtId="0" fontId="19" fillId="19" borderId="10" xfId="0" applyFont="1" applyFill="1" applyBorder="1" applyAlignment="1">
      <alignment vertical="center" wrapText="1"/>
    </xf>
    <xf numFmtId="0" fontId="25" fillId="8" borderId="9" xfId="0" applyFont="1" applyFill="1" applyBorder="1" applyAlignment="1">
      <alignment vertical="center" wrapText="1"/>
    </xf>
    <xf numFmtId="0" fontId="19" fillId="8" borderId="27" xfId="0" applyFont="1" applyFill="1" applyBorder="1" applyAlignment="1">
      <alignment vertical="center" wrapText="1"/>
    </xf>
    <xf numFmtId="0" fontId="19" fillId="0" borderId="12" xfId="0" applyFont="1" applyBorder="1" applyAlignment="1">
      <alignment vertical="center" wrapText="1"/>
    </xf>
    <xf numFmtId="0" fontId="19" fillId="5" borderId="20" xfId="0" applyFont="1" applyFill="1" applyBorder="1" applyAlignment="1">
      <alignment vertical="center" wrapText="1"/>
    </xf>
    <xf numFmtId="0" fontId="19" fillId="5" borderId="10" xfId="0" applyFont="1" applyFill="1" applyBorder="1" applyAlignment="1">
      <alignment vertical="center" wrapText="1"/>
    </xf>
    <xf numFmtId="0" fontId="19" fillId="5" borderId="22" xfId="0" applyFont="1" applyFill="1" applyBorder="1" applyAlignment="1">
      <alignment vertical="center" wrapText="1"/>
    </xf>
    <xf numFmtId="0" fontId="19" fillId="18" borderId="20" xfId="0" applyFont="1" applyFill="1" applyBorder="1" applyAlignment="1">
      <alignment vertical="center" wrapText="1"/>
    </xf>
    <xf numFmtId="0" fontId="19" fillId="13" borderId="10" xfId="0" applyFont="1" applyFill="1" applyBorder="1" applyAlignment="1">
      <alignment vertical="center" wrapText="1"/>
    </xf>
    <xf numFmtId="0" fontId="19" fillId="13" borderId="20" xfId="0" applyFont="1" applyFill="1" applyBorder="1" applyAlignment="1">
      <alignment vertical="center" wrapText="1"/>
    </xf>
    <xf numFmtId="0" fontId="19" fillId="0" borderId="10"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0" xfId="0" applyFont="1" applyBorder="1" applyAlignment="1">
      <alignment horizontal="center" vertical="center"/>
    </xf>
    <xf numFmtId="0" fontId="19" fillId="0" borderId="22" xfId="0" applyFont="1" applyBorder="1" applyAlignment="1">
      <alignment horizontal="center" vertical="center"/>
    </xf>
    <xf numFmtId="0" fontId="19" fillId="0" borderId="20" xfId="0" applyFont="1" applyBorder="1" applyAlignment="1">
      <alignment horizontal="center" vertical="center"/>
    </xf>
    <xf numFmtId="0" fontId="19" fillId="0" borderId="28" xfId="0" applyFont="1" applyBorder="1" applyAlignment="1">
      <alignment horizontal="center" vertical="center" wrapText="1"/>
    </xf>
    <xf numFmtId="0" fontId="19" fillId="0" borderId="0" xfId="0" applyFont="1" applyAlignment="1">
      <alignment horizontal="center" vertical="center" wrapText="1"/>
    </xf>
    <xf numFmtId="0" fontId="19" fillId="0" borderId="21" xfId="0" applyFont="1" applyBorder="1" applyAlignment="1">
      <alignment horizontal="center" vertical="center" wrapText="1"/>
    </xf>
    <xf numFmtId="0" fontId="19" fillId="0" borderId="21" xfId="0" applyFont="1" applyBorder="1" applyAlignment="1">
      <alignment horizontal="center" vertical="center"/>
    </xf>
    <xf numFmtId="0" fontId="38" fillId="0" borderId="10"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20" xfId="0" applyFont="1" applyBorder="1" applyAlignment="1">
      <alignment horizontal="center" vertical="center" wrapText="1"/>
    </xf>
    <xf numFmtId="0" fontId="38" fillId="0" borderId="21" xfId="0" applyFont="1" applyBorder="1" applyAlignment="1">
      <alignment horizontal="center" vertical="center" wrapText="1"/>
    </xf>
    <xf numFmtId="0" fontId="25" fillId="0" borderId="10" xfId="0" applyFont="1" applyBorder="1" applyAlignment="1">
      <alignment horizontal="center" vertical="center"/>
    </xf>
    <xf numFmtId="0" fontId="25" fillId="0" borderId="21" xfId="0" applyFont="1" applyBorder="1" applyAlignment="1">
      <alignment horizontal="center" vertical="center"/>
    </xf>
    <xf numFmtId="0" fontId="25" fillId="0" borderId="20"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25" fillId="0" borderId="13" xfId="0" applyFont="1" applyBorder="1" applyAlignment="1">
      <alignment horizontal="center" vertical="center"/>
    </xf>
    <xf numFmtId="0" fontId="25" fillId="0" borderId="18" xfId="0" applyFont="1" applyBorder="1" applyAlignment="1">
      <alignment horizontal="center" vertical="center"/>
    </xf>
    <xf numFmtId="0" fontId="43" fillId="0" borderId="22" xfId="0" applyFont="1" applyBorder="1" applyAlignment="1">
      <alignment horizontal="center" vertical="center" wrapText="1"/>
    </xf>
    <xf numFmtId="0" fontId="43" fillId="0" borderId="21" xfId="0" applyFont="1" applyBorder="1" applyAlignment="1">
      <alignment horizontal="center" vertical="center" wrapText="1"/>
    </xf>
    <xf numFmtId="0" fontId="38" fillId="0" borderId="21" xfId="0" applyFont="1" applyBorder="1" applyAlignment="1">
      <alignment horizontal="center" vertical="center"/>
    </xf>
    <xf numFmtId="0" fontId="43" fillId="0" borderId="10" xfId="0" applyFont="1" applyBorder="1" applyAlignment="1">
      <alignment horizontal="center" vertical="center" wrapText="1"/>
    </xf>
    <xf numFmtId="0" fontId="43" fillId="0" borderId="22" xfId="0" applyFont="1" applyBorder="1" applyAlignment="1">
      <alignment horizontal="center" vertical="center"/>
    </xf>
    <xf numFmtId="0" fontId="43" fillId="0" borderId="10" xfId="0" applyFont="1" applyBorder="1" applyAlignment="1">
      <alignment horizontal="center" vertical="center"/>
    </xf>
    <xf numFmtId="0" fontId="43" fillId="0" borderId="13" xfId="0" applyFont="1" applyBorder="1" applyAlignment="1">
      <alignment horizontal="center" vertical="center" wrapText="1"/>
    </xf>
    <xf numFmtId="0" fontId="43" fillId="0" borderId="18" xfId="0" applyFont="1" applyBorder="1" applyAlignment="1">
      <alignment horizontal="center" vertical="center" wrapText="1"/>
    </xf>
    <xf numFmtId="0" fontId="38" fillId="0" borderId="22" xfId="0" applyFont="1" applyBorder="1" applyAlignment="1">
      <alignment horizontal="center" vertical="center"/>
    </xf>
    <xf numFmtId="0" fontId="43" fillId="0" borderId="20" xfId="0" applyFont="1" applyBorder="1" applyAlignment="1">
      <alignment horizontal="center" vertical="center" wrapText="1"/>
    </xf>
    <xf numFmtId="0" fontId="43" fillId="0" borderId="21" xfId="0" applyFont="1" applyBorder="1" applyAlignment="1">
      <alignment horizontal="center" vertical="center"/>
    </xf>
    <xf numFmtId="0" fontId="43" fillId="12" borderId="22" xfId="0" applyFont="1" applyFill="1" applyBorder="1" applyAlignment="1">
      <alignment horizontal="center" vertical="center"/>
    </xf>
    <xf numFmtId="0" fontId="32" fillId="0" borderId="10" xfId="0" applyFont="1" applyBorder="1" applyAlignment="1">
      <alignment horizontal="center" vertical="center"/>
    </xf>
    <xf numFmtId="0" fontId="32" fillId="0" borderId="22" xfId="0" applyFont="1" applyBorder="1" applyAlignment="1">
      <alignment horizontal="center" vertical="center"/>
    </xf>
    <xf numFmtId="0" fontId="32" fillId="0" borderId="20" xfId="0" applyFont="1" applyBorder="1" applyAlignment="1">
      <alignment horizontal="center" vertical="center"/>
    </xf>
    <xf numFmtId="0" fontId="21" fillId="0" borderId="21" xfId="0" applyFont="1" applyBorder="1" applyAlignment="1">
      <alignment horizontal="center" vertical="center"/>
    </xf>
    <xf numFmtId="0" fontId="32" fillId="0" borderId="21"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22" xfId="0" applyFont="1" applyBorder="1" applyAlignment="1">
      <alignment horizontal="center" vertical="center" wrapText="1"/>
    </xf>
    <xf numFmtId="0" fontId="32" fillId="0" borderId="20" xfId="0" applyFont="1" applyBorder="1" applyAlignment="1">
      <alignment horizontal="center" vertical="center" wrapText="1"/>
    </xf>
    <xf numFmtId="0" fontId="32" fillId="0" borderId="21" xfId="0" applyFont="1" applyBorder="1" applyAlignment="1">
      <alignment horizontal="center" vertical="center"/>
    </xf>
    <xf numFmtId="0" fontId="36" fillId="8" borderId="22" xfId="0" applyFont="1" applyFill="1" applyBorder="1" applyAlignment="1">
      <alignment horizontal="center" vertical="center"/>
    </xf>
    <xf numFmtId="0" fontId="32" fillId="8" borderId="22" xfId="0" applyFont="1" applyFill="1" applyBorder="1" applyAlignment="1">
      <alignment horizontal="center" vertical="center"/>
    </xf>
    <xf numFmtId="0" fontId="32" fillId="8" borderId="21" xfId="0" applyFont="1" applyFill="1" applyBorder="1" applyAlignment="1">
      <alignment horizontal="center" vertical="center"/>
    </xf>
    <xf numFmtId="0" fontId="0" fillId="0" borderId="14" xfId="0" applyBorder="1" applyAlignment="1">
      <alignment horizontal="center" vertical="center"/>
    </xf>
    <xf numFmtId="0" fontId="0" fillId="0" borderId="19" xfId="0" applyBorder="1" applyAlignment="1">
      <alignment horizontal="center" vertical="center"/>
    </xf>
    <xf numFmtId="0" fontId="19" fillId="0" borderId="20" xfId="5" applyFont="1" applyBorder="1" applyAlignment="1">
      <alignment horizontal="center" vertical="center"/>
    </xf>
    <xf numFmtId="0" fontId="19" fillId="0" borderId="10" xfId="5" applyFont="1" applyBorder="1" applyAlignment="1">
      <alignment horizontal="center" vertical="center"/>
    </xf>
    <xf numFmtId="0" fontId="19" fillId="12" borderId="21" xfId="5" applyFont="1" applyFill="1" applyBorder="1" applyAlignment="1">
      <alignment horizontal="center" vertical="center"/>
    </xf>
    <xf numFmtId="0" fontId="25" fillId="0" borderId="10" xfId="5" applyFont="1" applyBorder="1" applyAlignment="1">
      <alignment horizontal="center" vertical="center"/>
    </xf>
    <xf numFmtId="0" fontId="25" fillId="0" borderId="10" xfId="0" applyFont="1" applyBorder="1" applyAlignment="1">
      <alignment vertical="center" wrapText="1"/>
    </xf>
    <xf numFmtId="0" fontId="25" fillId="0" borderId="10" xfId="0" applyFont="1" applyBorder="1" applyAlignment="1">
      <alignment horizontal="left" vertical="center" wrapText="1"/>
    </xf>
    <xf numFmtId="0" fontId="51" fillId="0" borderId="0" xfId="0" applyFont="1" applyAlignment="1">
      <alignment vertical="center" wrapText="1"/>
    </xf>
    <xf numFmtId="0" fontId="25" fillId="20" borderId="20" xfId="0" applyFont="1" applyFill="1" applyBorder="1" applyAlignment="1">
      <alignment vertical="center" wrapText="1"/>
    </xf>
    <xf numFmtId="0" fontId="25" fillId="0" borderId="17" xfId="0" applyFont="1" applyBorder="1" applyAlignment="1">
      <alignment vertical="center" wrapText="1"/>
    </xf>
    <xf numFmtId="0" fontId="25" fillId="0" borderId="12" xfId="0" applyFont="1" applyBorder="1" applyAlignment="1">
      <alignment vertical="center" wrapText="1"/>
    </xf>
    <xf numFmtId="0" fontId="25" fillId="8" borderId="21" xfId="5" applyFont="1" applyFill="1" applyBorder="1" applyAlignment="1">
      <alignment horizontal="center" vertical="center"/>
    </xf>
    <xf numFmtId="0" fontId="25" fillId="21" borderId="17" xfId="0" applyFont="1" applyFill="1" applyBorder="1" applyAlignment="1">
      <alignment vertical="center" wrapText="1"/>
    </xf>
    <xf numFmtId="0" fontId="25" fillId="22" borderId="21" xfId="0" applyFont="1" applyFill="1" applyBorder="1" applyAlignment="1">
      <alignment vertical="center" wrapText="1"/>
    </xf>
    <xf numFmtId="0" fontId="25" fillId="22" borderId="20" xfId="0" applyFont="1" applyFill="1" applyBorder="1" applyAlignment="1">
      <alignment vertical="center" wrapText="1"/>
    </xf>
    <xf numFmtId="0" fontId="19" fillId="4" borderId="23" xfId="5" applyFont="1" applyFill="1" applyBorder="1" applyAlignment="1">
      <alignment vertical="center" wrapText="1"/>
    </xf>
    <xf numFmtId="0" fontId="19" fillId="0" borderId="23" xfId="0" applyFont="1" applyBorder="1" applyAlignment="1">
      <alignment vertical="center" wrapText="1"/>
    </xf>
    <xf numFmtId="0" fontId="19" fillId="0" borderId="23" xfId="5" applyFont="1" applyBorder="1" applyAlignment="1">
      <alignment horizontal="left" vertical="center" wrapText="1"/>
    </xf>
    <xf numFmtId="0" fontId="25" fillId="0" borderId="23" xfId="5" applyFont="1" applyBorder="1" applyAlignment="1">
      <alignment horizontal="center" vertical="center"/>
    </xf>
    <xf numFmtId="0" fontId="19" fillId="13" borderId="23" xfId="5" applyFont="1" applyFill="1" applyBorder="1" applyAlignment="1">
      <alignment horizontal="center" vertical="center"/>
    </xf>
    <xf numFmtId="0" fontId="19" fillId="0" borderId="23" xfId="5" applyFont="1" applyBorder="1" applyAlignment="1">
      <alignment horizontal="center" vertical="center"/>
    </xf>
    <xf numFmtId="0" fontId="25" fillId="21" borderId="12" xfId="0" applyFont="1" applyFill="1" applyBorder="1" applyAlignment="1">
      <alignment vertical="center" wrapText="1"/>
    </xf>
    <xf numFmtId="0" fontId="25" fillId="8" borderId="12" xfId="0" applyFont="1" applyFill="1" applyBorder="1" applyAlignment="1">
      <alignment vertical="center" wrapText="1"/>
    </xf>
    <xf numFmtId="0" fontId="43" fillId="0" borderId="21" xfId="5" applyFont="1" applyBorder="1" applyAlignment="1">
      <alignment horizontal="center" vertical="center"/>
    </xf>
    <xf numFmtId="0" fontId="25" fillId="22" borderId="22" xfId="0" applyFont="1" applyFill="1" applyBorder="1" applyAlignment="1">
      <alignment vertical="center" wrapText="1"/>
    </xf>
    <xf numFmtId="0" fontId="25" fillId="0" borderId="14" xfId="0" applyFont="1" applyBorder="1" applyAlignment="1">
      <alignment vertical="center" wrapText="1"/>
    </xf>
    <xf numFmtId="0" fontId="25" fillId="21" borderId="19" xfId="0" applyFont="1" applyFill="1" applyBorder="1" applyAlignment="1">
      <alignment vertical="center" wrapText="1"/>
    </xf>
    <xf numFmtId="0" fontId="25" fillId="0" borderId="19" xfId="0" applyFont="1" applyBorder="1" applyAlignment="1">
      <alignment vertical="center" wrapText="1"/>
    </xf>
    <xf numFmtId="0" fontId="25" fillId="21" borderId="21" xfId="0" applyFont="1" applyFill="1" applyBorder="1" applyAlignment="1">
      <alignment vertical="center" wrapText="1"/>
    </xf>
    <xf numFmtId="0" fontId="19" fillId="21" borderId="21" xfId="0" applyFont="1" applyFill="1" applyBorder="1" applyAlignment="1">
      <alignment vertical="center" wrapText="1"/>
    </xf>
    <xf numFmtId="0" fontId="25" fillId="8" borderId="20" xfId="5" applyFont="1" applyFill="1" applyBorder="1" applyAlignment="1">
      <alignment vertical="center" wrapText="1"/>
    </xf>
    <xf numFmtId="0" fontId="25" fillId="0" borderId="20" xfId="0" applyFont="1" applyBorder="1" applyAlignment="1">
      <alignment horizontal="left" vertical="center" wrapText="1"/>
    </xf>
    <xf numFmtId="0" fontId="25" fillId="0" borderId="20" xfId="5" applyFont="1" applyBorder="1" applyAlignment="1">
      <alignment horizontal="center" vertical="center"/>
    </xf>
    <xf numFmtId="0" fontId="25" fillId="14" borderId="10" xfId="5" applyFont="1" applyFill="1" applyBorder="1" applyAlignment="1">
      <alignment vertical="center" wrapText="1"/>
    </xf>
    <xf numFmtId="0" fontId="51" fillId="0" borderId="21" xfId="0" applyFont="1" applyBorder="1" applyAlignment="1">
      <alignment vertical="center" wrapText="1"/>
    </xf>
    <xf numFmtId="0" fontId="25" fillId="14" borderId="22" xfId="5" applyFont="1" applyFill="1" applyBorder="1" applyAlignment="1">
      <alignment vertical="center" wrapText="1"/>
    </xf>
    <xf numFmtId="0" fontId="25" fillId="0" borderId="22" xfId="5" applyFont="1" applyBorder="1" applyAlignment="1">
      <alignment vertical="center" wrapText="1"/>
    </xf>
    <xf numFmtId="0" fontId="19" fillId="8" borderId="22" xfId="5" applyFont="1" applyFill="1" applyBorder="1" applyAlignment="1">
      <alignment vertical="center" wrapText="1"/>
    </xf>
    <xf numFmtId="0" fontId="25" fillId="0" borderId="22" xfId="0" applyFont="1" applyBorder="1" applyAlignment="1">
      <alignment vertical="center" wrapText="1"/>
    </xf>
    <xf numFmtId="0" fontId="25" fillId="0" borderId="22" xfId="0" applyFont="1" applyBorder="1" applyAlignment="1">
      <alignment horizontal="left" vertical="center" wrapText="1"/>
    </xf>
    <xf numFmtId="0" fontId="25" fillId="0" borderId="22" xfId="5" applyFont="1" applyBorder="1" applyAlignment="1">
      <alignment horizontal="center" vertical="center"/>
    </xf>
    <xf numFmtId="0" fontId="19" fillId="8" borderId="10" xfId="5" applyFont="1" applyFill="1" applyBorder="1" applyAlignment="1">
      <alignment horizontal="center" vertical="center"/>
    </xf>
    <xf numFmtId="0" fontId="25" fillId="5" borderId="10" xfId="5" applyFont="1" applyFill="1" applyBorder="1" applyAlignment="1">
      <alignment vertical="center" wrapText="1"/>
    </xf>
    <xf numFmtId="0" fontId="25" fillId="0" borderId="10" xfId="5" applyFont="1" applyBorder="1" applyAlignment="1">
      <alignment horizontal="left" vertical="center" wrapText="1"/>
    </xf>
    <xf numFmtId="0" fontId="19" fillId="0" borderId="21" xfId="0" applyFont="1" applyBorder="1" applyAlignment="1">
      <alignment horizontal="left" vertical="center"/>
    </xf>
    <xf numFmtId="0" fontId="19" fillId="0" borderId="22" xfId="5" applyFont="1" applyBorder="1" applyAlignment="1">
      <alignment horizontal="center" vertical="center"/>
    </xf>
    <xf numFmtId="0" fontId="51" fillId="0" borderId="21" xfId="0" applyFont="1" applyBorder="1">
      <alignment vertical="center"/>
    </xf>
    <xf numFmtId="0" fontId="52" fillId="0" borderId="21" xfId="0" applyFont="1" applyBorder="1" applyAlignment="1">
      <alignment vertical="center" wrapText="1"/>
    </xf>
    <xf numFmtId="0" fontId="19" fillId="8" borderId="10" xfId="0" applyFont="1" applyFill="1" applyBorder="1" applyAlignment="1">
      <alignment horizontal="center" vertical="center"/>
    </xf>
    <xf numFmtId="0" fontId="25" fillId="18" borderId="21" xfId="0" applyFont="1" applyFill="1" applyBorder="1" applyAlignment="1">
      <alignment vertical="center" wrapText="1"/>
    </xf>
    <xf numFmtId="0" fontId="50" fillId="8" borderId="22" xfId="0" applyFont="1" applyFill="1" applyBorder="1" applyAlignment="1">
      <alignment vertical="center" wrapText="1"/>
    </xf>
    <xf numFmtId="0" fontId="50" fillId="0" borderId="22" xfId="0" applyFont="1" applyBorder="1" applyAlignment="1">
      <alignment vertical="center" wrapText="1"/>
    </xf>
    <xf numFmtId="0" fontId="50" fillId="0" borderId="22" xfId="0" applyFont="1" applyBorder="1" applyAlignment="1">
      <alignment horizontal="left" vertical="center" wrapText="1"/>
    </xf>
    <xf numFmtId="0" fontId="50" fillId="0" borderId="22" xfId="0" applyFont="1" applyBorder="1" applyAlignment="1">
      <alignment horizontal="center" vertical="center"/>
    </xf>
    <xf numFmtId="0" fontId="19" fillId="12" borderId="21" xfId="0" applyFont="1" applyFill="1" applyBorder="1" applyAlignment="1">
      <alignment horizontal="center" vertical="center"/>
    </xf>
    <xf numFmtId="0" fontId="53" fillId="0" borderId="0" xfId="0" applyFont="1">
      <alignment vertical="center"/>
    </xf>
    <xf numFmtId="0" fontId="19" fillId="0" borderId="10" xfId="0" applyFont="1" applyBorder="1">
      <alignment vertical="center"/>
    </xf>
    <xf numFmtId="0" fontId="19" fillId="0" borderId="22" xfId="0" applyFont="1" applyBorder="1">
      <alignment vertical="center"/>
    </xf>
    <xf numFmtId="0" fontId="25" fillId="8" borderId="22" xfId="0" applyFont="1" applyFill="1" applyBorder="1" applyAlignment="1">
      <alignment vertical="center" wrapText="1"/>
    </xf>
    <xf numFmtId="0" fontId="19" fillId="0" borderId="22" xfId="0" applyFont="1" applyBorder="1" applyAlignment="1">
      <alignment vertical="center" wrapText="1"/>
    </xf>
    <xf numFmtId="0" fontId="19" fillId="0" borderId="22" xfId="0" applyFont="1" applyBorder="1" applyAlignment="1">
      <alignment horizontal="left" vertical="center" wrapText="1"/>
    </xf>
    <xf numFmtId="0" fontId="25" fillId="0" borderId="22" xfId="0" applyFont="1" applyBorder="1" applyAlignment="1">
      <alignment horizontal="center" vertical="center"/>
    </xf>
    <xf numFmtId="0" fontId="24" fillId="24" borderId="21" xfId="0" applyFont="1" applyFill="1" applyBorder="1" applyAlignment="1">
      <alignment horizontal="center" vertical="center" wrapText="1"/>
    </xf>
    <xf numFmtId="0" fontId="24" fillId="24" borderId="21" xfId="0" applyFont="1" applyFill="1" applyBorder="1" applyAlignment="1">
      <alignment vertical="top" wrapText="1"/>
    </xf>
    <xf numFmtId="0" fontId="24" fillId="0" borderId="21" xfId="0" applyFont="1" applyBorder="1" applyAlignment="1">
      <alignment vertical="top" wrapText="1"/>
    </xf>
    <xf numFmtId="0" fontId="24" fillId="0" borderId="21" xfId="0" applyFont="1" applyBorder="1" applyAlignment="1">
      <alignment horizontal="center" vertical="center" wrapText="1"/>
    </xf>
    <xf numFmtId="0" fontId="24" fillId="24" borderId="29" xfId="0" applyFont="1" applyFill="1" applyBorder="1" applyAlignment="1">
      <alignment horizontal="center" vertical="center" wrapText="1"/>
    </xf>
    <xf numFmtId="0" fontId="51" fillId="0" borderId="21" xfId="0" applyFont="1" applyBorder="1" applyAlignment="1"/>
    <xf numFmtId="0" fontId="24" fillId="25" borderId="21" xfId="0" applyFont="1" applyFill="1" applyBorder="1" applyAlignment="1">
      <alignment horizontal="center" vertical="center" wrapText="1"/>
    </xf>
    <xf numFmtId="0" fontId="24" fillId="25" borderId="21" xfId="0" applyFont="1" applyFill="1" applyBorder="1" applyAlignment="1">
      <alignment vertical="top" wrapText="1"/>
    </xf>
    <xf numFmtId="0" fontId="24" fillId="25" borderId="29" xfId="0" applyFont="1" applyFill="1" applyBorder="1" applyAlignment="1">
      <alignment horizontal="center" vertical="center" wrapText="1"/>
    </xf>
    <xf numFmtId="0" fontId="24" fillId="26" borderId="21" xfId="0" applyFont="1" applyFill="1" applyBorder="1" applyAlignment="1">
      <alignment horizontal="center" vertical="center" wrapText="1"/>
    </xf>
    <xf numFmtId="0" fontId="24" fillId="26" borderId="21" xfId="0" applyFont="1" applyFill="1" applyBorder="1" applyAlignment="1">
      <alignment vertical="top" wrapText="1"/>
    </xf>
    <xf numFmtId="0" fontId="24" fillId="26" borderId="29" xfId="0" applyFont="1" applyFill="1" applyBorder="1" applyAlignment="1">
      <alignment horizontal="center" vertical="center" wrapText="1"/>
    </xf>
    <xf numFmtId="0" fontId="24" fillId="0" borderId="21" xfId="0" applyFont="1" applyBorder="1" applyAlignment="1">
      <alignment horizontal="center" vertical="center" wrapText="1"/>
    </xf>
    <xf numFmtId="0" fontId="24" fillId="27" borderId="21" xfId="0" applyFont="1" applyFill="1" applyBorder="1" applyAlignment="1">
      <alignment vertical="top" wrapText="1"/>
    </xf>
    <xf numFmtId="0" fontId="24" fillId="12" borderId="21" xfId="0" applyFont="1" applyFill="1" applyBorder="1" applyAlignment="1">
      <alignment vertical="top" wrapText="1"/>
    </xf>
    <xf numFmtId="0" fontId="24" fillId="26" borderId="21" xfId="0" applyFont="1" applyFill="1" applyBorder="1" applyAlignment="1">
      <alignment horizontal="left" vertical="center" wrapText="1"/>
    </xf>
    <xf numFmtId="0" fontId="18" fillId="26" borderId="21" xfId="0" applyFont="1" applyFill="1" applyBorder="1" applyAlignment="1">
      <alignment horizontal="left" vertical="center" wrapText="1"/>
    </xf>
    <xf numFmtId="0" fontId="24" fillId="0" borderId="21" xfId="0" applyFont="1" applyBorder="1" applyAlignment="1">
      <alignment horizontal="left" vertical="center" wrapText="1"/>
    </xf>
    <xf numFmtId="0" fontId="18" fillId="0" borderId="21" xfId="0" applyFont="1" applyBorder="1" applyAlignment="1">
      <alignment horizontal="left" vertical="center" wrapText="1"/>
    </xf>
    <xf numFmtId="0" fontId="18" fillId="0" borderId="21" xfId="0" applyFont="1" applyBorder="1" applyAlignment="1">
      <alignment horizontal="center" vertical="center" wrapText="1"/>
    </xf>
    <xf numFmtId="0" fontId="24" fillId="28" borderId="21" xfId="0" applyFont="1" applyFill="1" applyBorder="1" applyAlignment="1">
      <alignment horizontal="center" vertical="center" wrapText="1"/>
    </xf>
    <xf numFmtId="0" fontId="24" fillId="28" borderId="21" xfId="0" applyFont="1" applyFill="1" applyBorder="1" applyAlignment="1">
      <alignment vertical="top" wrapText="1"/>
    </xf>
    <xf numFmtId="0" fontId="24" fillId="28" borderId="29" xfId="0" applyFont="1" applyFill="1" applyBorder="1" applyAlignment="1">
      <alignment horizontal="center" vertical="center" wrapText="1"/>
    </xf>
    <xf numFmtId="0" fontId="24" fillId="29" borderId="21" xfId="0" applyFont="1" applyFill="1" applyBorder="1" applyAlignment="1">
      <alignment horizontal="center" vertical="center" wrapText="1"/>
    </xf>
    <xf numFmtId="0" fontId="24" fillId="29" borderId="21" xfId="0" applyFont="1" applyFill="1" applyBorder="1" applyAlignment="1">
      <alignment vertical="top" wrapText="1"/>
    </xf>
    <xf numFmtId="0" fontId="24" fillId="29" borderId="29" xfId="0" applyFont="1" applyFill="1" applyBorder="1" applyAlignment="1">
      <alignment horizontal="center" vertical="center" wrapText="1"/>
    </xf>
    <xf numFmtId="0" fontId="24" fillId="0" borderId="21" xfId="1" applyFont="1" applyBorder="1" applyAlignment="1">
      <alignment vertical="center" wrapText="1"/>
    </xf>
    <xf numFmtId="0" fontId="54" fillId="0" borderId="21" xfId="1" applyFont="1" applyBorder="1" applyAlignment="1">
      <alignment vertical="center" wrapText="1"/>
    </xf>
    <xf numFmtId="0" fontId="54" fillId="0" borderId="21" xfId="1" applyFont="1" applyBorder="1" applyAlignment="1">
      <alignment horizontal="left" vertical="center" wrapText="1"/>
    </xf>
    <xf numFmtId="0" fontId="24" fillId="0" borderId="21" xfId="1" applyFont="1" applyBorder="1">
      <alignment vertical="center"/>
    </xf>
    <xf numFmtId="0" fontId="24" fillId="0" borderId="28" xfId="1" applyFont="1" applyBorder="1" applyAlignment="1">
      <alignment vertical="center" wrapText="1"/>
    </xf>
    <xf numFmtId="0" fontId="54" fillId="0" borderId="21" xfId="1" applyFont="1" applyBorder="1">
      <alignment vertical="center"/>
    </xf>
    <xf numFmtId="0" fontId="54" fillId="8" borderId="21" xfId="1" applyFont="1" applyFill="1" applyBorder="1" applyAlignment="1">
      <alignment vertical="center" wrapText="1"/>
    </xf>
    <xf numFmtId="0" fontId="54" fillId="30" borderId="21" xfId="1" applyFont="1" applyFill="1" applyBorder="1" applyAlignment="1">
      <alignment vertical="center" wrapText="1"/>
    </xf>
    <xf numFmtId="0" fontId="54" fillId="0" borderId="21" xfId="1" applyFont="1" applyBorder="1" applyAlignment="1">
      <alignment horizontal="left" vertical="center"/>
    </xf>
    <xf numFmtId="0" fontId="55" fillId="0" borderId="21" xfId="0" applyFont="1" applyBorder="1" applyAlignment="1">
      <alignment vertical="top" wrapText="1"/>
    </xf>
    <xf numFmtId="0" fontId="55" fillId="0" borderId="11" xfId="0" applyFont="1" applyBorder="1" applyAlignment="1">
      <alignment vertical="top" wrapText="1"/>
    </xf>
  </cellXfs>
  <cellStyles count="8">
    <cellStyle name="20% - 着色 1" xfId="7" builtinId="30"/>
    <cellStyle name="Hyperlink" xfId="6" xr:uid="{400C4F5F-26CB-4DD8-8802-FEB79364C517}"/>
    <cellStyle name="常规" xfId="0" builtinId="0"/>
    <cellStyle name="常规 2" xfId="1" xr:uid="{668B1BD5-A259-4E74-96C8-028E2A612329}"/>
    <cellStyle name="常规 2 2" xfId="2" xr:uid="{EF2CC801-B541-4C38-B552-CDE64709D8A6}"/>
    <cellStyle name="常规 3" xfId="3" xr:uid="{1D503A43-91BD-4049-BEA7-716A00CC3EF4}"/>
    <cellStyle name="常规 4" xfId="5" xr:uid="{9B632E04-A7FB-4E3E-870F-DC4A42B7312B}"/>
    <cellStyle name="好 2" xfId="4" xr:uid="{53FD1A83-D3E4-479D-A096-96E762B785E7}"/>
  </cellStyles>
  <dxfs count="30">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92D050"/>
        </patternFill>
      </fill>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ont>
        <b val="0"/>
        <i val="0"/>
        <strike val="0"/>
        <condense val="0"/>
        <extend val="0"/>
        <outline val="0"/>
        <shadow val="0"/>
        <u val="none"/>
        <vertAlign val="baseline"/>
        <sz val="12"/>
        <color rgb="FFFF0000"/>
        <name val="宋体"/>
        <charset val="134"/>
        <scheme val="none"/>
      </font>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
      <fill>
        <patternFill>
          <bgColor rgb="FFFFFF00"/>
        </patternFill>
      </fill>
    </dxf>
    <dxf>
      <fill>
        <patternFill>
          <bgColor rgb="FFFF3300"/>
        </patternFill>
      </fill>
    </dxf>
    <dxf>
      <fill>
        <patternFill>
          <bgColor theme="0" tint="-0.24994659260841701"/>
        </patternFill>
      </fill>
    </dxf>
    <dxf>
      <fill>
        <patternFill>
          <bgColor rgb="FF92D050"/>
        </patternFill>
      </fill>
    </dxf>
  </dxfs>
  <tableStyles count="0" defaultTableStyle="TableStyleMedium2" defaultPivotStyle="PivotStyleLight16"/>
  <colors>
    <mruColors>
      <color rgb="FF0000CC"/>
      <color rgb="FF85B1FF"/>
      <color rgb="FFF5D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anHu\Downloads\&#12304;AcuRev1320&#12305;&#27979;&#35797;&#29992;&#20363;v1.1_20260130.xlsx" TargetMode="External"/><Relationship Id="rId1" Type="http://schemas.openxmlformats.org/officeDocument/2006/relationships/externalLinkPath" Target="&#12304;AcuRev1320&#12305;&#27979;&#35797;&#29992;&#20363;v1.1_202601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用例统计"/>
      <sheetName val="用例定级及比例"/>
      <sheetName val="后期可能新增web用例"/>
      <sheetName val="版本测试日报"/>
      <sheetName val="全功能测试用例"/>
      <sheetName val="用例新增&amp;修改项"/>
    </sheetNames>
    <sheetDataSet>
      <sheetData sheetId="0" refreshError="1"/>
      <sheetData sheetId="1" refreshError="1"/>
      <sheetData sheetId="2" refreshError="1"/>
      <sheetData sheetId="3" refreshError="1"/>
      <sheetData sheetId="4">
        <row r="1">
          <cell r="C1" t="str">
            <v>用例编号</v>
          </cell>
        </row>
        <row r="2">
          <cell r="C2" t="str">
            <v>Function_AcuRev1320_001_01_case1</v>
          </cell>
        </row>
        <row r="3">
          <cell r="C3" t="str">
            <v>Function_AcuRev1320_001_01_case2</v>
          </cell>
        </row>
        <row r="4">
          <cell r="C4" t="str">
            <v>Function_AcuRev1320_001_01_case3</v>
          </cell>
        </row>
        <row r="5">
          <cell r="C5" t="str">
            <v>Function_AcuRev1320_001_01_case4</v>
          </cell>
        </row>
        <row r="6">
          <cell r="C6" t="str">
            <v>Function_AcuRev1320_001_01_case5</v>
          </cell>
        </row>
        <row r="7">
          <cell r="C7" t="str">
            <v>Function_AcuRev1320_002_01_case1</v>
          </cell>
        </row>
        <row r="8">
          <cell r="C8" t="str">
            <v>Function_AcuRev1320_002_01_case2</v>
          </cell>
        </row>
        <row r="9">
          <cell r="C9" t="str">
            <v>Function_AcuRev1320_002_01_case3</v>
          </cell>
        </row>
        <row r="10">
          <cell r="C10" t="str">
            <v>Function_AcuRev1320_002_01_case4</v>
          </cell>
        </row>
        <row r="11">
          <cell r="C11" t="str">
            <v>Function_AcuRev1320_002_01_case5</v>
          </cell>
        </row>
        <row r="12">
          <cell r="C12" t="str">
            <v>Function_AcuRev1320_002_01_case6_1</v>
          </cell>
        </row>
        <row r="13">
          <cell r="C13" t="str">
            <v>Function_AcuRev1320_002_01_case6_2</v>
          </cell>
        </row>
        <row r="14">
          <cell r="C14" t="str">
            <v>Function_AcuRev1320_002_01_case6_3</v>
          </cell>
        </row>
        <row r="15">
          <cell r="C15" t="str">
            <v>Function_AcuRev1320_002_01_case6_4</v>
          </cell>
        </row>
        <row r="16">
          <cell r="C16" t="str">
            <v>Function_AcuRev1320_002_01_case7_1</v>
          </cell>
        </row>
        <row r="17">
          <cell r="C17" t="str">
            <v>Function_AcuRev1320_002_01_case7_2</v>
          </cell>
        </row>
        <row r="18">
          <cell r="C18" t="str">
            <v>Function_AcuRev1320_002_01_case7_3</v>
          </cell>
        </row>
        <row r="19">
          <cell r="C19" t="str">
            <v>Function_AcuRev1320_002_01_case8</v>
          </cell>
        </row>
        <row r="20">
          <cell r="C20" t="str">
            <v>Function_AcuRev1320_002_02_case1</v>
          </cell>
        </row>
        <row r="21">
          <cell r="C21" t="str">
            <v>Function_AcuRev1320_002_02_case2</v>
          </cell>
        </row>
        <row r="22">
          <cell r="C22" t="str">
            <v>Function_AcuRev1320_002_02_case3</v>
          </cell>
        </row>
        <row r="23">
          <cell r="C23" t="str">
            <v>Function_AcuRev1320_002_02_case4</v>
          </cell>
        </row>
        <row r="24">
          <cell r="C24" t="str">
            <v>Function_AcuRev1320_002_02_case5</v>
          </cell>
        </row>
        <row r="25">
          <cell r="C25" t="str">
            <v>Function_AcuRev1320_002_02_case6_1</v>
          </cell>
        </row>
        <row r="26">
          <cell r="C26" t="str">
            <v>Function_AcuRev1320_002_02_case6_2</v>
          </cell>
        </row>
        <row r="27">
          <cell r="C27" t="str">
            <v>Function_AcuRev1320_002_02_case7</v>
          </cell>
        </row>
        <row r="28">
          <cell r="C28" t="str">
            <v>Function_AcuRev1320_002_03_case1</v>
          </cell>
        </row>
        <row r="29">
          <cell r="C29" t="str">
            <v>Function_AcuRev1320_002_03_case2</v>
          </cell>
        </row>
        <row r="30">
          <cell r="C30" t="str">
            <v>Function_AcuRev1320_002_03_case3</v>
          </cell>
        </row>
        <row r="31">
          <cell r="C31" t="str">
            <v>Function_AcuRev1320_003_01_case1</v>
          </cell>
        </row>
        <row r="32">
          <cell r="C32" t="str">
            <v>Function_AcuRev1320_003_01_case2</v>
          </cell>
        </row>
        <row r="33">
          <cell r="C33" t="str">
            <v>Function_AcuRev1320_003_01_case3</v>
          </cell>
        </row>
        <row r="34">
          <cell r="C34" t="str">
            <v>Function_AcuRev1320_003_01_case4</v>
          </cell>
        </row>
        <row r="35">
          <cell r="C35" t="str">
            <v>Function_AcuRev1320_003_01_case5</v>
          </cell>
        </row>
        <row r="36">
          <cell r="C36" t="str">
            <v>Function_AcuRev1320_003_01_case6</v>
          </cell>
        </row>
        <row r="37">
          <cell r="C37" t="str">
            <v>Function_AcuRev1320_003_01_case7</v>
          </cell>
        </row>
        <row r="38">
          <cell r="C38" t="str">
            <v>Function_AcuRev1320_003_01_case7_1</v>
          </cell>
        </row>
        <row r="39">
          <cell r="C39" t="str">
            <v>Function_AcuRev1320_003_01_case8_1</v>
          </cell>
        </row>
        <row r="40">
          <cell r="C40" t="str">
            <v>Function_AcuRev1320_003_01_case8_2</v>
          </cell>
        </row>
        <row r="41">
          <cell r="C41" t="str">
            <v>Function_AcuRev1320_003_01_case8_3</v>
          </cell>
        </row>
        <row r="42">
          <cell r="C42" t="str">
            <v>Function_AcuRev1320_003_01_case9</v>
          </cell>
        </row>
        <row r="43">
          <cell r="C43" t="str">
            <v>Function_AcuRev1320_003_01_case10</v>
          </cell>
        </row>
        <row r="44">
          <cell r="C44" t="str">
            <v>Function_AcuRev1320_003_01_case11</v>
          </cell>
        </row>
        <row r="45">
          <cell r="C45" t="str">
            <v>Function_AcuRev1320_003_02_case1</v>
          </cell>
        </row>
        <row r="46">
          <cell r="C46" t="str">
            <v>Function_AcuRev1320_003_02_case2</v>
          </cell>
        </row>
        <row r="47">
          <cell r="C47" t="str">
            <v>Function_AcuRev1320_003_02_case3</v>
          </cell>
        </row>
        <row r="48">
          <cell r="C48" t="str">
            <v>Function_AcuRev1320_003_02_case4</v>
          </cell>
        </row>
        <row r="49">
          <cell r="C49" t="str">
            <v>Function_AcuRev1320_003_02_case5</v>
          </cell>
        </row>
        <row r="50">
          <cell r="C50" t="str">
            <v>Function_AcuRev1320_003_02_case6</v>
          </cell>
        </row>
        <row r="51">
          <cell r="C51" t="str">
            <v>Function_AcuRev1320_003_02_case7</v>
          </cell>
        </row>
        <row r="52">
          <cell r="C52" t="str">
            <v>Function_AcuRev1320_003_02_case8</v>
          </cell>
        </row>
        <row r="53">
          <cell r="C53" t="str">
            <v>Function_AcuRev1320_003_02_case9</v>
          </cell>
        </row>
        <row r="54">
          <cell r="C54" t="str">
            <v>Function_AcuRev1320_003_02_case10</v>
          </cell>
        </row>
        <row r="55">
          <cell r="C55" t="str">
            <v>Function_AcuRev1320_003_02_case11</v>
          </cell>
        </row>
        <row r="56">
          <cell r="C56" t="str">
            <v>Function_AcuRev1320_003_02_case12</v>
          </cell>
        </row>
        <row r="57">
          <cell r="C57" t="str">
            <v>Function_AcuRev1320_003_02_case13</v>
          </cell>
        </row>
        <row r="58">
          <cell r="C58" t="str">
            <v>Function_AcuRev1320_003_02_case14</v>
          </cell>
        </row>
        <row r="59">
          <cell r="C59" t="str">
            <v>Function_AcuRev1320_003_02_case15</v>
          </cell>
        </row>
        <row r="60">
          <cell r="C60" t="str">
            <v>Function_AcuRev1320_003_02_case16</v>
          </cell>
        </row>
        <row r="61">
          <cell r="C61" t="str">
            <v>Function_AcuRev1320_003_02_case17</v>
          </cell>
        </row>
        <row r="62">
          <cell r="C62" t="str">
            <v>Function_AcuRev1320_003_02_case18</v>
          </cell>
        </row>
        <row r="63">
          <cell r="C63" t="str">
            <v>Function_AcuRev1320_003_03_case1</v>
          </cell>
        </row>
        <row r="64">
          <cell r="C64" t="str">
            <v>Function_AcuRev1320_004_01_case1</v>
          </cell>
        </row>
        <row r="65">
          <cell r="C65" t="str">
            <v>Function_AcuRev1320_004_01_case2</v>
          </cell>
        </row>
        <row r="66">
          <cell r="C66" t="str">
            <v>Function_AcuRev1320_004_01_case3</v>
          </cell>
        </row>
        <row r="67">
          <cell r="C67" t="str">
            <v>Function_AcuRev1320_004_01_case4</v>
          </cell>
        </row>
        <row r="68">
          <cell r="C68" t="str">
            <v>Function_AcuRev1320_004_01_case5</v>
          </cell>
        </row>
        <row r="69">
          <cell r="C69" t="str">
            <v>Function_AcuRev1320_004_01_case6</v>
          </cell>
        </row>
        <row r="70">
          <cell r="C70" t="str">
            <v>Function_AcuRev1320_004_01_case7</v>
          </cell>
        </row>
        <row r="71">
          <cell r="C71" t="str">
            <v>Function_AcuRev1320_004_01_case8</v>
          </cell>
        </row>
        <row r="72">
          <cell r="C72" t="str">
            <v>Function_AcuRev1320_004_01_case9</v>
          </cell>
        </row>
        <row r="73">
          <cell r="C73" t="str">
            <v>Function_AcuRev1320_004_01_case10</v>
          </cell>
        </row>
        <row r="74">
          <cell r="C74" t="str">
            <v>Function_AcuRev1320_004_01_case11</v>
          </cell>
        </row>
        <row r="75">
          <cell r="C75" t="str">
            <v>Function_AcuRev1320_004_01_case12</v>
          </cell>
        </row>
        <row r="76">
          <cell r="C76" t="str">
            <v>Function_AcuRev1320_004_01_case13</v>
          </cell>
        </row>
        <row r="77">
          <cell r="C77" t="str">
            <v>Function_AcuRev1320_004_01_case14</v>
          </cell>
        </row>
        <row r="78">
          <cell r="C78" t="str">
            <v>Function_AcuRev1320_004_01_case15</v>
          </cell>
        </row>
        <row r="79">
          <cell r="C79" t="str">
            <v>Function_AcuRev1320_004_01_case16</v>
          </cell>
        </row>
        <row r="80">
          <cell r="C80" t="str">
            <v>Function_AcuRev1320_004_01_case17</v>
          </cell>
        </row>
        <row r="81">
          <cell r="C81" t="str">
            <v>Function_AcuRev1320_004_01_case18</v>
          </cell>
        </row>
        <row r="82">
          <cell r="C82" t="str">
            <v>Function_AcuRev1320_004_01_case19</v>
          </cell>
        </row>
        <row r="83">
          <cell r="C83" t="str">
            <v>Function_AcuRev1320_004_02_case1</v>
          </cell>
        </row>
        <row r="84">
          <cell r="C84" t="str">
            <v>Function_AcuRev1320_004_02_case2</v>
          </cell>
        </row>
        <row r="85">
          <cell r="C85" t="str">
            <v>Function_AcuRev1320_004_02_case3</v>
          </cell>
        </row>
        <row r="86">
          <cell r="C86" t="str">
            <v>Function_AcuRev1320_004_02_case4</v>
          </cell>
        </row>
        <row r="87">
          <cell r="C87" t="str">
            <v>Function_AcuRev1320_004_02_case5</v>
          </cell>
        </row>
        <row r="88">
          <cell r="C88" t="str">
            <v>Function_AcuRev1320_004_03_case1</v>
          </cell>
        </row>
        <row r="89">
          <cell r="C89" t="str">
            <v>Function_AcuRev1320_005_01_case1</v>
          </cell>
        </row>
        <row r="90">
          <cell r="C90" t="str">
            <v>Function_AcuRev1320_005_01_case1_01</v>
          </cell>
        </row>
        <row r="91">
          <cell r="C91" t="str">
            <v>Function_AcuRev1320_005_01_case2</v>
          </cell>
        </row>
        <row r="92">
          <cell r="C92" t="str">
            <v>Function_AcuRev1320_005_01_case3</v>
          </cell>
        </row>
        <row r="93">
          <cell r="C93" t="str">
            <v>Function_AcuRev1320_005_01_case4</v>
          </cell>
        </row>
        <row r="94">
          <cell r="C94" t="str">
            <v>Function_AcuRev1320_005_01_case5</v>
          </cell>
        </row>
        <row r="95">
          <cell r="C95" t="str">
            <v>Function_AcuRev1320_005_01_case6</v>
          </cell>
        </row>
        <row r="96">
          <cell r="C96" t="str">
            <v>Function_AcuRev1320_005_01_case7</v>
          </cell>
        </row>
        <row r="97">
          <cell r="C97" t="str">
            <v>Function_AcuRev1320_005_01_case8</v>
          </cell>
        </row>
        <row r="98">
          <cell r="C98" t="str">
            <v>Function_AcuRev1320_005_01_case9</v>
          </cell>
        </row>
        <row r="99">
          <cell r="C99" t="str">
            <v>Function_AcuRev1320_005_01_case10</v>
          </cell>
        </row>
        <row r="100">
          <cell r="C100" t="str">
            <v>Function_AcuRev1320_005_01_case11</v>
          </cell>
        </row>
        <row r="101">
          <cell r="C101" t="str">
            <v>Function_AcuRev1320_005_01_case12</v>
          </cell>
        </row>
        <row r="102">
          <cell r="C102" t="str">
            <v>Function_AcuRev1320_005_01_case13</v>
          </cell>
        </row>
        <row r="103">
          <cell r="C103" t="str">
            <v>Function_AcuRev1320_005_01_case14</v>
          </cell>
        </row>
        <row r="104">
          <cell r="C104" t="str">
            <v>Function_AcuRev1320_005_01_case15</v>
          </cell>
        </row>
        <row r="105">
          <cell r="C105" t="str">
            <v>Function_AcuRev1320_005_02_case1</v>
          </cell>
        </row>
        <row r="106">
          <cell r="C106" t="str">
            <v>Function_AcuRev1320_005_02_case2</v>
          </cell>
        </row>
        <row r="107">
          <cell r="C107" t="str">
            <v>Function_AcuRev1320_005_02_case3</v>
          </cell>
        </row>
        <row r="108">
          <cell r="C108" t="str">
            <v>Function_AcuRev1320_005_02_case4</v>
          </cell>
        </row>
        <row r="109">
          <cell r="C109" t="str">
            <v>Function_AcuRev1320_005_03_case1</v>
          </cell>
        </row>
        <row r="110">
          <cell r="C110" t="str">
            <v>Function_AcuRev1320_006_01_case1</v>
          </cell>
        </row>
        <row r="111">
          <cell r="C111" t="str">
            <v>Function_AcuRev1320_006_01_case2</v>
          </cell>
        </row>
        <row r="112">
          <cell r="C112" t="str">
            <v>Function_AcuRev1320_006_01_case3</v>
          </cell>
        </row>
        <row r="113">
          <cell r="C113" t="str">
            <v>Function_AcuRev1320_006_01_case4</v>
          </cell>
        </row>
        <row r="114">
          <cell r="C114" t="str">
            <v>Function_AcuRev1320_006_01_case5</v>
          </cell>
        </row>
        <row r="115">
          <cell r="C115" t="str">
            <v>Function_AcuRev1320_006_02_case1</v>
          </cell>
        </row>
        <row r="116">
          <cell r="C116" t="str">
            <v>Function_AcuRev1320_006_02_case2</v>
          </cell>
        </row>
        <row r="117">
          <cell r="C117" t="str">
            <v>Function_AcuRev1320_006_02_case3</v>
          </cell>
        </row>
        <row r="118">
          <cell r="C118" t="str">
            <v>Function_AcuRev1320_006_02_case4</v>
          </cell>
        </row>
        <row r="119">
          <cell r="C119" t="str">
            <v>Function_AcuRev1320_006_02_case5</v>
          </cell>
        </row>
        <row r="120">
          <cell r="C120" t="str">
            <v>Function_AcuRev1320_006_03_case1</v>
          </cell>
        </row>
        <row r="121">
          <cell r="C121" t="str">
            <v>Function_AcuRev1320_006_03_case2</v>
          </cell>
        </row>
        <row r="122">
          <cell r="C122" t="str">
            <v>Function_AcuRev1320_006_03_case3</v>
          </cell>
        </row>
        <row r="123">
          <cell r="C123" t="str">
            <v>Function_AcuRev1320_006_03_case4</v>
          </cell>
        </row>
        <row r="124">
          <cell r="C124" t="str">
            <v>Function_AcuRev1320_007_01_case1</v>
          </cell>
        </row>
        <row r="125">
          <cell r="C125" t="str">
            <v>Function_AcuRev1320_007_01_case2</v>
          </cell>
        </row>
        <row r="126">
          <cell r="C126" t="str">
            <v>Function_AcuRev1320_007_01_case3</v>
          </cell>
        </row>
        <row r="127">
          <cell r="C127" t="str">
            <v>Function_AcuRev1320_007_01_case4</v>
          </cell>
        </row>
        <row r="128">
          <cell r="C128" t="str">
            <v>Function_AcuRev1320_007_01_case5</v>
          </cell>
        </row>
        <row r="129">
          <cell r="C129" t="str">
            <v>Function_AcuRev1320_007_01_case6</v>
          </cell>
        </row>
        <row r="130">
          <cell r="C130" t="str">
            <v>Function_AcuRev1320_007_01_case7</v>
          </cell>
        </row>
        <row r="131">
          <cell r="C131" t="str">
            <v>Function_AcuRev1320_007_02_case1</v>
          </cell>
        </row>
        <row r="132">
          <cell r="C132" t="str">
            <v>Function_AcuRev1320_007_02_case2</v>
          </cell>
        </row>
        <row r="133">
          <cell r="C133" t="str">
            <v>Function_AcuRev1320_007_02_case3</v>
          </cell>
        </row>
        <row r="134">
          <cell r="C134" t="str">
            <v>Function_AcuRev1320_007_02_case4</v>
          </cell>
        </row>
        <row r="135">
          <cell r="C135" t="str">
            <v>Function_AcuRev1320_007_02_case5</v>
          </cell>
        </row>
        <row r="136">
          <cell r="C136" t="str">
            <v>Function_AcuRev1320_007_02_case6</v>
          </cell>
        </row>
        <row r="137">
          <cell r="C137" t="str">
            <v>Function_AcuRev1320_007_02_case7</v>
          </cell>
        </row>
        <row r="138">
          <cell r="C138" t="str">
            <v>Function_AcuRev1320_007_03_case1</v>
          </cell>
        </row>
        <row r="139">
          <cell r="C139" t="str">
            <v>Function_AcuRev1320_007_03_case2</v>
          </cell>
        </row>
        <row r="140">
          <cell r="C140" t="str">
            <v>Function_AcuRev1320_007_03_case3</v>
          </cell>
        </row>
        <row r="141">
          <cell r="C141" t="str">
            <v>Function_AcuRev1320_007_03_case4</v>
          </cell>
        </row>
        <row r="142">
          <cell r="C142" t="str">
            <v>Function_AcuRev1320_007_03_case5</v>
          </cell>
        </row>
        <row r="143">
          <cell r="C143" t="str">
            <v>Function_AcuRev1320_007_03_case6</v>
          </cell>
        </row>
        <row r="144">
          <cell r="C144" t="str">
            <v>Function_AcuRev1320_007_03_case7</v>
          </cell>
        </row>
        <row r="145">
          <cell r="C145" t="str">
            <v>Function_AcuRev1320_007_03_case8</v>
          </cell>
        </row>
        <row r="146">
          <cell r="C146" t="str">
            <v>Function_AcuRev1320_007_03_case9</v>
          </cell>
        </row>
        <row r="147">
          <cell r="C147" t="str">
            <v>Function_AcuRev1320_007_04_case1</v>
          </cell>
        </row>
        <row r="148">
          <cell r="C148" t="str">
            <v>Function_AcuRev1320_007_04_case2</v>
          </cell>
        </row>
        <row r="149">
          <cell r="C149" t="str">
            <v>Function_AcuRev1320_007_04_case3</v>
          </cell>
        </row>
        <row r="150">
          <cell r="C150" t="str">
            <v>Function_AcuRev1320_007_04_case4</v>
          </cell>
        </row>
        <row r="151">
          <cell r="C151" t="str">
            <v>Function_AcuRev1320_007_04_case5</v>
          </cell>
        </row>
        <row r="152">
          <cell r="C152" t="str">
            <v>Function_AcuRev1320_007_04_case6</v>
          </cell>
        </row>
        <row r="153">
          <cell r="C153" t="str">
            <v>Function_AcuRev1320_007_04_case7</v>
          </cell>
        </row>
        <row r="154">
          <cell r="C154" t="str">
            <v>Function_AcuRev1320_007_04_case8</v>
          </cell>
        </row>
        <row r="155">
          <cell r="C155" t="str">
            <v>Function_AcuRev1320_007_04_case9</v>
          </cell>
        </row>
        <row r="156">
          <cell r="C156" t="str">
            <v>Function_AcuRev1320_007_04_case12</v>
          </cell>
        </row>
        <row r="157">
          <cell r="C157" t="str">
            <v>Function_AcuRev1320_007_04_case13</v>
          </cell>
        </row>
        <row r="158">
          <cell r="C158" t="str">
            <v>Function_AcuRev1320_008_01_case1</v>
          </cell>
        </row>
        <row r="159">
          <cell r="C159" t="str">
            <v>Function_AcuRev1320_008_01_case2</v>
          </cell>
        </row>
        <row r="160">
          <cell r="C160" t="str">
            <v>Function_AcuRev1320_008_01_case3</v>
          </cell>
        </row>
        <row r="161">
          <cell r="C161" t="str">
            <v>Function_AcuRev1320_008_01_case4</v>
          </cell>
        </row>
        <row r="162">
          <cell r="C162" t="str">
            <v>Function_AcuRev1320_008_01_case5</v>
          </cell>
        </row>
        <row r="163">
          <cell r="C163" t="str">
            <v>Function_AcuRev1320_008_01_case6</v>
          </cell>
        </row>
        <row r="164">
          <cell r="C164" t="str">
            <v>Function_AcuRev1320_008_02_case1</v>
          </cell>
        </row>
        <row r="165">
          <cell r="C165" t="str">
            <v>Function_AcuRev1320_008_02_case2</v>
          </cell>
        </row>
        <row r="166">
          <cell r="C166" t="str">
            <v>Function_AcuRev1320_008_02_case3</v>
          </cell>
        </row>
        <row r="167">
          <cell r="C167" t="str">
            <v>Function_AcuRev1320_008_02_case4</v>
          </cell>
        </row>
        <row r="168">
          <cell r="C168" t="str">
            <v>Function_AcuRev1320_008_02_case5</v>
          </cell>
        </row>
        <row r="169">
          <cell r="C169" t="str">
            <v>Function_AcuRev1320_008_02_case6</v>
          </cell>
        </row>
        <row r="170">
          <cell r="C170" t="str">
            <v>Function_AcuRev1320_009_01_case1</v>
          </cell>
        </row>
        <row r="171">
          <cell r="C171" t="str">
            <v>Function_AcuRev1320_009_01_case2</v>
          </cell>
        </row>
        <row r="172">
          <cell r="C172" t="str">
            <v>Function_AcuRev1320_009_01_case3</v>
          </cell>
        </row>
        <row r="173">
          <cell r="C173" t="str">
            <v>Function_AcuRev1320_009_01_case4</v>
          </cell>
        </row>
        <row r="174">
          <cell r="C174" t="str">
            <v>Function_AcuRev1320_009_01_case5</v>
          </cell>
        </row>
        <row r="175">
          <cell r="C175" t="str">
            <v>Function_AcuRev1320_009_01_case6</v>
          </cell>
        </row>
        <row r="176">
          <cell r="C176" t="str">
            <v>Function_AcuRev1320_009_01_case7</v>
          </cell>
        </row>
        <row r="177">
          <cell r="C177" t="str">
            <v>Function_AcuRev1320_009_01_case8</v>
          </cell>
        </row>
        <row r="178">
          <cell r="C178" t="str">
            <v>Function_AcuRev1320_009_01_case9</v>
          </cell>
        </row>
        <row r="179">
          <cell r="C179" t="str">
            <v>Function_AcuRev1320_009_01_case10</v>
          </cell>
        </row>
        <row r="180">
          <cell r="C180" t="str">
            <v>Function_AcuRev1320_009_01_case11</v>
          </cell>
        </row>
        <row r="181">
          <cell r="C181" t="str">
            <v>Function_AcuRev1320_009_01_case12</v>
          </cell>
        </row>
        <row r="182">
          <cell r="C182" t="str">
            <v>Function_AcuRev1320_009_01_case13</v>
          </cell>
        </row>
        <row r="183">
          <cell r="C183" t="str">
            <v>Function_AcuRev1320_009_01_case14</v>
          </cell>
        </row>
        <row r="184">
          <cell r="C184" t="str">
            <v>Function_AcuRev1320_009_01_case15</v>
          </cell>
        </row>
        <row r="185">
          <cell r="C185" t="str">
            <v>Function_AcuRev1320_009_01_case16</v>
          </cell>
        </row>
        <row r="186">
          <cell r="C186" t="str">
            <v>Function_AcuRev1320_009_01_case17</v>
          </cell>
        </row>
        <row r="187">
          <cell r="C187" t="str">
            <v>Function_AcuRev1320_009_01_case18</v>
          </cell>
        </row>
        <row r="188">
          <cell r="C188" t="str">
            <v>Function_AcuRev1320_009_01_case19</v>
          </cell>
        </row>
        <row r="189">
          <cell r="C189" t="str">
            <v>Function_AcuRev1320_009_01_case20</v>
          </cell>
        </row>
        <row r="190">
          <cell r="C190" t="str">
            <v>Function_AcuRev1320_009_01_case21</v>
          </cell>
        </row>
        <row r="191">
          <cell r="C191" t="str">
            <v>Function_AcuRev1320_009_01_case22</v>
          </cell>
        </row>
        <row r="192">
          <cell r="C192" t="str">
            <v>Function_AcuRev1320_009_01_case23</v>
          </cell>
        </row>
        <row r="193">
          <cell r="C193" t="str">
            <v>Function_AcuRev1320_009_01_case24</v>
          </cell>
        </row>
        <row r="194">
          <cell r="C194" t="str">
            <v>Function_AcuRev1320_009_01_case25</v>
          </cell>
        </row>
        <row r="195">
          <cell r="C195" t="str">
            <v>Function_AcuRev1320_009_01_case26</v>
          </cell>
        </row>
        <row r="196">
          <cell r="C196" t="str">
            <v>Function_AcuRev1320_009_01_case27</v>
          </cell>
        </row>
        <row r="197">
          <cell r="C197" t="str">
            <v>Function_AcuRev1320_009_01_case28</v>
          </cell>
        </row>
        <row r="198">
          <cell r="C198" t="str">
            <v>Function_AcuRev1320_009_01_case29</v>
          </cell>
        </row>
        <row r="199">
          <cell r="C199" t="str">
            <v>Function_AcuRev1320_009_01_case30</v>
          </cell>
        </row>
        <row r="200">
          <cell r="C200" t="str">
            <v>Function_AcuRev1320_009_01_case31</v>
          </cell>
        </row>
        <row r="201">
          <cell r="C201" t="str">
            <v>Function_AcuRev1320_009_02_case1</v>
          </cell>
        </row>
        <row r="202">
          <cell r="C202" t="str">
            <v>Function_AcuRev1320_009_02_case2</v>
          </cell>
        </row>
        <row r="203">
          <cell r="C203" t="str">
            <v>Function_AcuRev1320_009_02_case3</v>
          </cell>
        </row>
        <row r="204">
          <cell r="C204" t="str">
            <v>Function_AcuRev1320_009_02_case4</v>
          </cell>
        </row>
        <row r="205">
          <cell r="C205" t="str">
            <v>Function_AcuRev1320_009_02_case5</v>
          </cell>
        </row>
        <row r="206">
          <cell r="C206" t="str">
            <v>Function_AcuRev1320_009_02_case6</v>
          </cell>
        </row>
        <row r="207">
          <cell r="C207" t="str">
            <v>Function_AcuRev1320_009_02_case7</v>
          </cell>
        </row>
        <row r="208">
          <cell r="C208" t="str">
            <v>Function_AcuRev1320_009_02_case8</v>
          </cell>
        </row>
        <row r="209">
          <cell r="C209" t="str">
            <v>Function_AcuRev1320_009_03_case1</v>
          </cell>
        </row>
        <row r="210">
          <cell r="C210" t="str">
            <v>Function_AcuRev1320_009_03_case2</v>
          </cell>
        </row>
        <row r="211">
          <cell r="C211" t="str">
            <v>Function_AcuRev1320_009_03_case3</v>
          </cell>
        </row>
        <row r="212">
          <cell r="C212" t="str">
            <v>Function_AcuRev1320_009_03_case4</v>
          </cell>
        </row>
        <row r="213">
          <cell r="C213" t="str">
            <v>Function_AcuRev1320_009_03_case5</v>
          </cell>
        </row>
        <row r="214">
          <cell r="C214" t="str">
            <v>Function_AcuRev1320_009_03_case6</v>
          </cell>
        </row>
        <row r="215">
          <cell r="C215" t="str">
            <v>Function_AcuRev1320_009_03_case7</v>
          </cell>
        </row>
        <row r="216">
          <cell r="C216" t="str">
            <v>Function_AcuRev1320_009_03_case8</v>
          </cell>
        </row>
        <row r="217">
          <cell r="C217" t="str">
            <v>Function_AcuRev1320_009_03_case9</v>
          </cell>
        </row>
        <row r="218">
          <cell r="C218" t="str">
            <v>Function_AcuRev1320_009_03_case10</v>
          </cell>
        </row>
        <row r="219">
          <cell r="C219" t="str">
            <v>Function_AcuRev1320_009_03_case11</v>
          </cell>
        </row>
        <row r="220">
          <cell r="C220" t="str">
            <v>Function_AcuRev1320_009_03_case12</v>
          </cell>
        </row>
        <row r="221">
          <cell r="C221" t="str">
            <v>Function_AcuRev1320_009_03_case13</v>
          </cell>
        </row>
        <row r="222">
          <cell r="C222" t="str">
            <v>Function_AcuRev1320_009_03_case14</v>
          </cell>
        </row>
        <row r="223">
          <cell r="C223" t="str">
            <v>Function_AcuRev1320_009_03_case15</v>
          </cell>
        </row>
        <row r="224">
          <cell r="C224" t="str">
            <v>Function_AcuRev1320_010_01_case1</v>
          </cell>
        </row>
        <row r="225">
          <cell r="C225" t="str">
            <v>Function_AcuRev1320_010_01_case2</v>
          </cell>
        </row>
        <row r="226">
          <cell r="C226" t="str">
            <v>Function_AcuRev1320_010_01_case3</v>
          </cell>
        </row>
        <row r="227">
          <cell r="C227" t="str">
            <v>Function_AcuRev1320_010_01_case4</v>
          </cell>
        </row>
        <row r="228">
          <cell r="C228" t="str">
            <v>Function_AcuRev1320_010_01_case5</v>
          </cell>
        </row>
        <row r="229">
          <cell r="C229" t="str">
            <v>Function_AcuRev1320_010_01_case6</v>
          </cell>
        </row>
        <row r="230">
          <cell r="C230" t="str">
            <v>Function_AcuRev1320_010_01_case7</v>
          </cell>
        </row>
        <row r="231">
          <cell r="C231" t="str">
            <v>Function_AcuRev1320_010_01_case8</v>
          </cell>
        </row>
        <row r="232">
          <cell r="C232" t="str">
            <v>Function_AcuRev1320_010_01_case9</v>
          </cell>
        </row>
        <row r="233">
          <cell r="C233" t="str">
            <v>Function_AcuRev1320_010_01_case10</v>
          </cell>
        </row>
        <row r="234">
          <cell r="C234" t="str">
            <v>Function_AcuRev1320_010_01_case11</v>
          </cell>
        </row>
        <row r="235">
          <cell r="C235" t="str">
            <v>Function_AcuRev1320_010_01_case12</v>
          </cell>
        </row>
        <row r="236">
          <cell r="C236" t="str">
            <v>Function_AcuRev1320_010_01_case13</v>
          </cell>
        </row>
        <row r="237">
          <cell r="C237" t="str">
            <v>Function_AcuRev1320_010_01_case14</v>
          </cell>
        </row>
        <row r="238">
          <cell r="C238" t="str">
            <v>Function_AcuRev1320_010_01_case15</v>
          </cell>
        </row>
        <row r="239">
          <cell r="C239" t="str">
            <v>Function_AcuRev1320_010_01_case16</v>
          </cell>
        </row>
        <row r="240">
          <cell r="C240" t="str">
            <v>Function_AcuRev1320_010_01_case17</v>
          </cell>
        </row>
        <row r="241">
          <cell r="C241" t="str">
            <v>Function_AcuRev1320_010_01_case18</v>
          </cell>
        </row>
        <row r="242">
          <cell r="C242" t="str">
            <v>Function_AcuRev1320_010_01_case19</v>
          </cell>
        </row>
        <row r="243">
          <cell r="C243" t="str">
            <v>Function_AcuRev1320_010_01_case20</v>
          </cell>
        </row>
        <row r="244">
          <cell r="C244" t="str">
            <v>Function_AcuRev1320_010_01_case21</v>
          </cell>
        </row>
        <row r="245">
          <cell r="C245" t="str">
            <v>Function_AcuRev1320_010_01_case22</v>
          </cell>
        </row>
        <row r="246">
          <cell r="C246" t="str">
            <v>Function_AcuRev1320_010_01_case23</v>
          </cell>
        </row>
        <row r="247">
          <cell r="C247" t="str">
            <v>Function_AcuRev1320_010_01_case24</v>
          </cell>
        </row>
        <row r="248">
          <cell r="C248" t="str">
            <v>Function_AcuRev1320_010_01_case25</v>
          </cell>
        </row>
        <row r="249">
          <cell r="C249" t="str">
            <v>Function_AcuRev1320_010_01_case26</v>
          </cell>
        </row>
        <row r="250">
          <cell r="C250" t="str">
            <v>Function_AcuRev1320_010_01_case27</v>
          </cell>
        </row>
        <row r="251">
          <cell r="C251" t="str">
            <v>Function_AcuRev1320_010_01_case28</v>
          </cell>
        </row>
        <row r="252">
          <cell r="C252" t="str">
            <v>Function_AcuRev1320_010_01_case29</v>
          </cell>
        </row>
        <row r="253">
          <cell r="C253" t="str">
            <v>Function_AcuRev1320_010_01_case30</v>
          </cell>
        </row>
        <row r="254">
          <cell r="C254" t="str">
            <v>Function_AcuRev1320_010_01_case31</v>
          </cell>
        </row>
        <row r="255">
          <cell r="C255" t="str">
            <v>Function_AcuRev1320_010_01_case32</v>
          </cell>
        </row>
        <row r="256">
          <cell r="C256" t="str">
            <v>Function_AcuRev1320_010_01_case33</v>
          </cell>
        </row>
        <row r="257">
          <cell r="C257" t="str">
            <v>Function_AcuRev1320_010_01_case34</v>
          </cell>
        </row>
        <row r="258">
          <cell r="C258" t="str">
            <v>Function_AcuRev1320_010_01_case35</v>
          </cell>
        </row>
        <row r="259">
          <cell r="C259" t="str">
            <v>Function_AcuRev1320_010_01_case36</v>
          </cell>
        </row>
        <row r="260">
          <cell r="C260" t="str">
            <v>Function_AcuRev1320_010_01_case37</v>
          </cell>
        </row>
        <row r="261">
          <cell r="C261" t="str">
            <v>Function_AcuRev1320_010_01_case38</v>
          </cell>
        </row>
        <row r="262">
          <cell r="C262" t="str">
            <v>Function_AcuRev1320_010_02_case1</v>
          </cell>
        </row>
        <row r="263">
          <cell r="C263" t="str">
            <v>Function_AcuRev1320_010_02_case2</v>
          </cell>
        </row>
        <row r="264">
          <cell r="C264" t="str">
            <v>Function_AcuRev1320_010_02_case3</v>
          </cell>
        </row>
        <row r="265">
          <cell r="C265" t="str">
            <v>Function_AcuRev1320_010_02_case4</v>
          </cell>
        </row>
        <row r="266">
          <cell r="C266" t="str">
            <v>Function_AcuRev1320_010_02_case5</v>
          </cell>
        </row>
        <row r="267">
          <cell r="C267" t="str">
            <v>Function_AcuRev1320_010_02_case6</v>
          </cell>
        </row>
        <row r="268">
          <cell r="C268" t="str">
            <v>Function_AcuRev1320_010_02_case7</v>
          </cell>
        </row>
        <row r="269">
          <cell r="C269" t="str">
            <v>Function_AcuRev1320_010_02_case8</v>
          </cell>
        </row>
        <row r="270">
          <cell r="C270" t="str">
            <v>Function_AcuRev1320_010_02_case9</v>
          </cell>
        </row>
        <row r="271">
          <cell r="C271" t="str">
            <v>Function_AcuRev1320_010_02_case10</v>
          </cell>
        </row>
        <row r="272">
          <cell r="C272" t="str">
            <v>Function_AcuRev1320_010_02_case11</v>
          </cell>
        </row>
        <row r="273">
          <cell r="C273" t="str">
            <v>Function_AcuRev1320_010_02_case12</v>
          </cell>
        </row>
        <row r="274">
          <cell r="C274" t="str">
            <v>Function_AcuRev1320_010_02_case13</v>
          </cell>
        </row>
        <row r="275">
          <cell r="C275" t="str">
            <v>Function_AcuRev1320_010_02_case14</v>
          </cell>
        </row>
        <row r="276">
          <cell r="C276" t="str">
            <v>Function_AcuRev1320_010_02_case15</v>
          </cell>
        </row>
        <row r="277">
          <cell r="C277" t="str">
            <v>Function_AcuRev1320_010_02_case16</v>
          </cell>
        </row>
        <row r="278">
          <cell r="C278" t="str">
            <v>Function_AcuRev1320_010_02_case17</v>
          </cell>
        </row>
        <row r="279">
          <cell r="C279" t="str">
            <v>Function_AcuRev1320_010_02_case18</v>
          </cell>
        </row>
        <row r="280">
          <cell r="C280" t="str">
            <v>Function_AcuRev1320_010_02_case19</v>
          </cell>
        </row>
        <row r="281">
          <cell r="C281" t="str">
            <v>Function_AcuRev1320_010_02_case20</v>
          </cell>
        </row>
        <row r="282">
          <cell r="C282" t="str">
            <v>Function_AcuRev1320_010_02_case21</v>
          </cell>
        </row>
        <row r="283">
          <cell r="C283" t="str">
            <v>Function_AcuRev1320_010_02_case22</v>
          </cell>
        </row>
        <row r="284">
          <cell r="C284" t="str">
            <v>Function_AcuRev1320_010_02_case23</v>
          </cell>
        </row>
        <row r="285">
          <cell r="C285" t="str">
            <v>Function_AcuRev1320_010_02_case24</v>
          </cell>
        </row>
        <row r="286">
          <cell r="C286" t="str">
            <v>Function_AcuRev1320_010_02_case25</v>
          </cell>
        </row>
        <row r="287">
          <cell r="C287" t="str">
            <v>Function_AcuRev1320_010_02_case26</v>
          </cell>
        </row>
        <row r="288">
          <cell r="C288" t="str">
            <v>Function_AcuRev1320_010_02_case27</v>
          </cell>
        </row>
        <row r="289">
          <cell r="C289" t="str">
            <v>Function_AcuRev1320_010_02_case28</v>
          </cell>
        </row>
        <row r="290">
          <cell r="C290" t="str">
            <v>Function_AcuRev1320_010_02_case29</v>
          </cell>
        </row>
        <row r="291">
          <cell r="C291" t="str">
            <v>Function_AcuRev1320_010_02_case30</v>
          </cell>
        </row>
        <row r="292">
          <cell r="C292" t="str">
            <v>Function_AcuRev1320_010_02_case31</v>
          </cell>
        </row>
        <row r="293">
          <cell r="C293" t="str">
            <v>Function_AcuRev1320_010_03_case1</v>
          </cell>
        </row>
        <row r="294">
          <cell r="C294" t="str">
            <v>Function_AcuRev1320_010_03_case2</v>
          </cell>
        </row>
        <row r="295">
          <cell r="C295" t="str">
            <v>Function_AcuRev1320_010_03_case3</v>
          </cell>
        </row>
        <row r="296">
          <cell r="C296" t="str">
            <v>Function_AcuRev1320_010_03_case4</v>
          </cell>
        </row>
        <row r="297">
          <cell r="C297" t="str">
            <v>Function_AcuRev1320_010_03_case5</v>
          </cell>
        </row>
        <row r="298">
          <cell r="C298" t="str">
            <v>Function_AcuRev1320_010_03_case6</v>
          </cell>
        </row>
        <row r="299">
          <cell r="C299" t="str">
            <v>Function_AcuRev1320_010_03_case7</v>
          </cell>
        </row>
        <row r="300">
          <cell r="C300" t="str">
            <v>Function_AcuRev1320_010_03_case8</v>
          </cell>
        </row>
        <row r="301">
          <cell r="C301" t="str">
            <v>Function_AcuRev1320_010_03_case9</v>
          </cell>
        </row>
        <row r="302">
          <cell r="C302" t="str">
            <v>Function_AcuRev1320_010_03_case10</v>
          </cell>
        </row>
        <row r="303">
          <cell r="C303" t="str">
            <v>Function_AcuRev1320_010_03_case11</v>
          </cell>
        </row>
        <row r="304">
          <cell r="C304" t="str">
            <v>Function_AcuRev1320_010_03_case12</v>
          </cell>
        </row>
        <row r="305">
          <cell r="C305" t="str">
            <v>Function_AcuRev1320_010_03_case13</v>
          </cell>
        </row>
        <row r="306">
          <cell r="C306" t="str">
            <v>Function_AcuRev1320_010_03_case14</v>
          </cell>
        </row>
        <row r="307">
          <cell r="C307" t="str">
            <v>Function_AcuRev1320_010_03_case15</v>
          </cell>
        </row>
        <row r="308">
          <cell r="C308" t="str">
            <v>Function_AcuRev1320_010_03_case16</v>
          </cell>
        </row>
        <row r="309">
          <cell r="C309" t="str">
            <v>Function_AcuRev1320_010_03_case17</v>
          </cell>
        </row>
        <row r="310">
          <cell r="C310" t="str">
            <v>Function_AcuRev1320_010_03_case18</v>
          </cell>
        </row>
        <row r="311">
          <cell r="C311" t="str">
            <v>Function_AcuRev1320_010_03_case19</v>
          </cell>
        </row>
        <row r="312">
          <cell r="C312" t="str">
            <v>Function_AcuRev1320_010_03_case20</v>
          </cell>
        </row>
        <row r="313">
          <cell r="C313" t="str">
            <v>Function_AcuRev1320_010_03_case21</v>
          </cell>
        </row>
        <row r="314">
          <cell r="C314" t="str">
            <v>Function_AcuRev1320_010_03_case22</v>
          </cell>
        </row>
        <row r="315">
          <cell r="C315" t="str">
            <v>Function_AcuRev1320_010_03_case23</v>
          </cell>
        </row>
        <row r="316">
          <cell r="C316" t="str">
            <v>Function_AcuRev1320_010_03_case24</v>
          </cell>
        </row>
        <row r="317">
          <cell r="C317" t="str">
            <v>Function_AcuRev1320_010_04_case1</v>
          </cell>
        </row>
        <row r="318">
          <cell r="C318" t="str">
            <v>Function_AcuRev1320_010_04_case2</v>
          </cell>
        </row>
        <row r="319">
          <cell r="C319" t="str">
            <v>Function_AcuRev1320_010_04_case3</v>
          </cell>
        </row>
        <row r="320">
          <cell r="C320" t="str">
            <v>Function_AcuRev1320_010_04_case4</v>
          </cell>
        </row>
        <row r="321">
          <cell r="C321" t="str">
            <v>Function_AcuRev1320_010_04_case5</v>
          </cell>
        </row>
        <row r="322">
          <cell r="C322" t="str">
            <v>Function_AcuRev1320_010_04_case6</v>
          </cell>
        </row>
        <row r="323">
          <cell r="C323" t="str">
            <v>Function_AcuRev1320_010_04_case11</v>
          </cell>
        </row>
        <row r="324">
          <cell r="C324" t="str">
            <v>Function_AcuRev1320_010_04_case12</v>
          </cell>
        </row>
        <row r="325">
          <cell r="C325" t="str">
            <v>Function_AcuRev1320_010_05_case1</v>
          </cell>
        </row>
        <row r="326">
          <cell r="C326" t="str">
            <v>Function_AcuRev1320_010_05_case2</v>
          </cell>
        </row>
        <row r="327">
          <cell r="C327" t="str">
            <v>Function_AcuRev1320_010_05_case3</v>
          </cell>
        </row>
        <row r="328">
          <cell r="C328" t="str">
            <v>Function_AcuRev1320_010_05_case4</v>
          </cell>
        </row>
        <row r="329">
          <cell r="C329" t="str">
            <v>Function_AcuRev1320_010_05_case5</v>
          </cell>
        </row>
        <row r="330">
          <cell r="C330" t="str">
            <v>Function_AcuRev1320_010_05_case6</v>
          </cell>
        </row>
        <row r="331">
          <cell r="C331" t="str">
            <v>Function_AcuRev1320_010_05_case7</v>
          </cell>
        </row>
        <row r="332">
          <cell r="C332" t="str">
            <v>Function_AcuRev1320_010_05_case8</v>
          </cell>
        </row>
        <row r="333">
          <cell r="C333" t="str">
            <v>Function_AcuRev1320_010_05_case9</v>
          </cell>
        </row>
        <row r="334">
          <cell r="C334" t="str">
            <v>Function_AcuRev1320_010_05_case10</v>
          </cell>
        </row>
        <row r="335">
          <cell r="C335" t="str">
            <v>Function_AcuRev1320_010_05_case11</v>
          </cell>
        </row>
        <row r="336">
          <cell r="C336" t="str">
            <v>Function_AcuRev1320_010_05_case12</v>
          </cell>
        </row>
        <row r="337">
          <cell r="C337" t="str">
            <v>Function_AcuRev1320_010_05_case13</v>
          </cell>
        </row>
        <row r="338">
          <cell r="C338" t="str">
            <v>Function_AcuRev1320_011_01_case1</v>
          </cell>
        </row>
        <row r="339">
          <cell r="C339" t="str">
            <v>Function_AcuRev1320_011_01_case2</v>
          </cell>
        </row>
        <row r="340">
          <cell r="C340" t="str">
            <v>Function_AcuRev1320_011_01_case3</v>
          </cell>
        </row>
        <row r="341">
          <cell r="C341" t="str">
            <v>Function_AcuRev1320_011_01_case4</v>
          </cell>
        </row>
        <row r="342">
          <cell r="C342" t="str">
            <v>Function_AcuRev1320_011_01_case5</v>
          </cell>
        </row>
        <row r="343">
          <cell r="C343" t="str">
            <v>Function_AcuRev1320_011_01_case6</v>
          </cell>
        </row>
        <row r="344">
          <cell r="C344" t="str">
            <v>Function_AcuRev1320_011_01_case7</v>
          </cell>
        </row>
        <row r="345">
          <cell r="C345" t="str">
            <v>Function_AcuRev1320_011_01_case8</v>
          </cell>
        </row>
        <row r="346">
          <cell r="C346" t="str">
            <v>Function_AcuRev1320_011_01_case9</v>
          </cell>
        </row>
        <row r="347">
          <cell r="C347" t="str">
            <v>Function_AcuRev1320_011_01_case10</v>
          </cell>
        </row>
        <row r="348">
          <cell r="C348" t="str">
            <v>Function_AcuRev1320_011_01_case11</v>
          </cell>
        </row>
        <row r="349">
          <cell r="C349" t="str">
            <v>Function_AcuRev1320_011_01_case12</v>
          </cell>
        </row>
        <row r="350">
          <cell r="C350" t="str">
            <v>Function_AcuRev1320_011_01_case13</v>
          </cell>
        </row>
        <row r="351">
          <cell r="C351" t="str">
            <v>Function_AcuRev1320_011_01_case14</v>
          </cell>
        </row>
        <row r="352">
          <cell r="C352" t="str">
            <v>Function_AcuRev1320_011_01_case15</v>
          </cell>
        </row>
        <row r="353">
          <cell r="C353" t="str">
            <v>Function_AcuRev1320_011_01_case16</v>
          </cell>
        </row>
        <row r="354">
          <cell r="C354" t="str">
            <v>Function_AcuRev1320_011_01_case17</v>
          </cell>
        </row>
        <row r="355">
          <cell r="C355" t="str">
            <v>Function_AcuRev1320_011_02_case1</v>
          </cell>
        </row>
        <row r="356">
          <cell r="C356" t="str">
            <v>Function_AcuRev1320_011_02_case2</v>
          </cell>
        </row>
        <row r="357">
          <cell r="C357" t="str">
            <v>Function_AcuRev1320_011_02_case3</v>
          </cell>
        </row>
        <row r="358">
          <cell r="C358" t="str">
            <v>Function_AcuRev1320_011_02_case4</v>
          </cell>
        </row>
        <row r="359">
          <cell r="C359" t="str">
            <v>Function_AcuRev1320_011_02_case5</v>
          </cell>
        </row>
        <row r="360">
          <cell r="C360" t="str">
            <v>Function_AcuRev1320_011_02_case6</v>
          </cell>
        </row>
        <row r="361">
          <cell r="C361" t="str">
            <v>Function_AcuRev1320_011_02_case7</v>
          </cell>
        </row>
        <row r="362">
          <cell r="C362" t="str">
            <v>Function_AcuRev1320_011_02_case8</v>
          </cell>
        </row>
        <row r="363">
          <cell r="C363" t="str">
            <v>Function_AcuRev1320_011_02_case9</v>
          </cell>
        </row>
        <row r="364">
          <cell r="C364" t="str">
            <v>Function_AcuRev1320_011_02_case10</v>
          </cell>
        </row>
        <row r="365">
          <cell r="C365" t="str">
            <v>Function_AcuRev1320_011_02_case11</v>
          </cell>
        </row>
        <row r="366">
          <cell r="C366" t="str">
            <v>Function_AcuRev1320_011_02_case12</v>
          </cell>
        </row>
        <row r="367">
          <cell r="C367" t="str">
            <v>Function_AcuRev1320_012_01_case1</v>
          </cell>
        </row>
        <row r="368">
          <cell r="C368" t="str">
            <v>Function_AcuRev1320_012_01_case2</v>
          </cell>
        </row>
        <row r="369">
          <cell r="C369" t="str">
            <v>Function_AcuRev1320_012_01_case3</v>
          </cell>
        </row>
        <row r="370">
          <cell r="C370" t="str">
            <v>Function_AcuRev1320_012_01_case3_01</v>
          </cell>
        </row>
        <row r="371">
          <cell r="C371" t="str">
            <v>Function_AcuRev1320_012_02_case1</v>
          </cell>
        </row>
        <row r="372">
          <cell r="C372" t="str">
            <v>Function_AcuRev1320_012_02_case2</v>
          </cell>
        </row>
        <row r="373">
          <cell r="C373" t="str">
            <v>Function_AcuRev1320_012_02_case3</v>
          </cell>
        </row>
        <row r="374">
          <cell r="C374" t="str">
            <v>Function_AcuRev1320_012_02_case4</v>
          </cell>
        </row>
        <row r="375">
          <cell r="C375" t="str">
            <v>Function_AcuRev1320_012_02_case5</v>
          </cell>
        </row>
        <row r="376">
          <cell r="C376" t="str">
            <v>Function_AcuRev1320_012_02_case6</v>
          </cell>
        </row>
        <row r="377">
          <cell r="C377" t="str">
            <v>Function_AcuRev1320_012_02_case7</v>
          </cell>
        </row>
        <row r="378">
          <cell r="C378" t="str">
            <v>Function_AcuRev1320_012_02_case7_01</v>
          </cell>
        </row>
        <row r="379">
          <cell r="C379" t="str">
            <v>Function_AcuRev1320_012_03_case1</v>
          </cell>
        </row>
        <row r="380">
          <cell r="C380" t="str">
            <v>Function_AcuRev1320_012_03_case2</v>
          </cell>
        </row>
        <row r="381">
          <cell r="C381" t="str">
            <v>Function_AcuRev1320_012_03_case3</v>
          </cell>
        </row>
        <row r="382">
          <cell r="C382" t="str">
            <v>Function_AcuRev1320_012_03_case4</v>
          </cell>
        </row>
        <row r="383">
          <cell r="C383" t="str">
            <v>Function_AcuRev1320_012_03_case5</v>
          </cell>
        </row>
        <row r="384">
          <cell r="C384" t="str">
            <v>Function_AcuRev1320_012_03_case6</v>
          </cell>
        </row>
        <row r="385">
          <cell r="C385" t="str">
            <v>Function_AcuRev1320_012_03_case7</v>
          </cell>
        </row>
        <row r="386">
          <cell r="C386" t="str">
            <v>Function_AcuRev1320_012_03_case8</v>
          </cell>
        </row>
        <row r="387">
          <cell r="C387" t="str">
            <v>Function_AcuRev1320_012_03_case9</v>
          </cell>
        </row>
        <row r="388">
          <cell r="C388" t="str">
            <v>Function_AcuRev1320_012_03_case9_01</v>
          </cell>
        </row>
        <row r="389">
          <cell r="C389" t="str">
            <v>Function_AcuRev1320_012_04_case1</v>
          </cell>
        </row>
        <row r="390">
          <cell r="C390" t="str">
            <v>Function_AcuRev1320_012_04_case2</v>
          </cell>
        </row>
        <row r="391">
          <cell r="C391" t="str">
            <v>Function_AcuRev1320_012_04_case3</v>
          </cell>
        </row>
        <row r="392">
          <cell r="C392" t="str">
            <v>Function_AcuRev1320_012_04_case4</v>
          </cell>
        </row>
        <row r="393">
          <cell r="C393" t="str">
            <v>Function_AcuRev1320_012_04_case5</v>
          </cell>
        </row>
        <row r="394">
          <cell r="C394" t="str">
            <v>Function_AcuRev1320_012_04_case5_01</v>
          </cell>
        </row>
        <row r="395">
          <cell r="C395" t="str">
            <v>Function_AcuRev1320_012_05_case1</v>
          </cell>
        </row>
        <row r="396">
          <cell r="C396" t="str">
            <v>Function_AcuRev1320_012_05_case2</v>
          </cell>
        </row>
        <row r="397">
          <cell r="C397" t="str">
            <v>Function_AcuRev1320_012_05_case3</v>
          </cell>
        </row>
        <row r="398">
          <cell r="C398" t="str">
            <v>Function_AcuRev1320_012_05_case4</v>
          </cell>
        </row>
        <row r="399">
          <cell r="C399" t="str">
            <v>Function_AcuRev1320_012_05_case5</v>
          </cell>
        </row>
        <row r="400">
          <cell r="C400" t="str">
            <v>Function_AcuRev1320_012_05_case5_01</v>
          </cell>
        </row>
        <row r="401">
          <cell r="C401" t="str">
            <v>Function_AcuRev1320_012_06_case1</v>
          </cell>
        </row>
        <row r="402">
          <cell r="C402" t="str">
            <v>Function_AcuRev1320_012_06_case2</v>
          </cell>
        </row>
        <row r="403">
          <cell r="C403" t="str">
            <v>Function_AcuRev1320_012_06_case3</v>
          </cell>
        </row>
        <row r="404">
          <cell r="C404" t="str">
            <v>Function_AcuRev1320_012_06_case4</v>
          </cell>
        </row>
        <row r="405">
          <cell r="C405" t="str">
            <v>Function_AcuRev1320_012_06_case5</v>
          </cell>
        </row>
        <row r="406">
          <cell r="C406" t="str">
            <v>Function_AcuRev1320_012_06_case6</v>
          </cell>
        </row>
        <row r="407">
          <cell r="C407" t="str">
            <v>Function_AcuRev1320_012_06_case7</v>
          </cell>
        </row>
        <row r="408">
          <cell r="C408" t="str">
            <v>Function_AcuRev1320_012_06_case8</v>
          </cell>
        </row>
        <row r="409">
          <cell r="C409" t="str">
            <v>Function_AcuRev1320_012_06_case9</v>
          </cell>
        </row>
        <row r="410">
          <cell r="C410" t="str">
            <v>Function_AcuRev1320_012_06_case9_01</v>
          </cell>
        </row>
        <row r="411">
          <cell r="C411" t="str">
            <v>Function_AcuRev1320_012_07_case01</v>
          </cell>
        </row>
        <row r="412">
          <cell r="C412" t="str">
            <v>Function_AcuRev1320_012_07_case02</v>
          </cell>
        </row>
        <row r="413">
          <cell r="C413" t="str">
            <v>Function_AcuRev1320_013_01_case1</v>
          </cell>
        </row>
        <row r="414">
          <cell r="C414" t="str">
            <v>Function_AcuRev1320_013_01_case2</v>
          </cell>
        </row>
        <row r="415">
          <cell r="C415" t="str">
            <v>Function_AcuRev1320_013_01_case3</v>
          </cell>
        </row>
        <row r="416">
          <cell r="C416" t="str">
            <v>Function_AcuRev1320_013_01_case4</v>
          </cell>
        </row>
        <row r="417">
          <cell r="C417" t="str">
            <v>Function_AcuRev1320_013_01_case5</v>
          </cell>
        </row>
        <row r="418">
          <cell r="C418" t="str">
            <v>Function_AcuRev1320_013_01_case6</v>
          </cell>
        </row>
        <row r="419">
          <cell r="C419" t="str">
            <v>Function_AcuRev1320_013_01_case7</v>
          </cell>
        </row>
        <row r="420">
          <cell r="C420" t="str">
            <v>Function_AcuRev1320_013_01_case8</v>
          </cell>
        </row>
        <row r="421">
          <cell r="C421" t="str">
            <v>Function_AcuRev1320_013_01_case9</v>
          </cell>
        </row>
        <row r="422">
          <cell r="C422" t="str">
            <v>Function_AcuRev1320_013_01_case10</v>
          </cell>
        </row>
        <row r="423">
          <cell r="C423" t="str">
            <v>Function_AcuRev1320_013_01_case11</v>
          </cell>
        </row>
        <row r="424">
          <cell r="C424" t="str">
            <v>Function_AcuRev1320_013_01_case12</v>
          </cell>
        </row>
        <row r="425">
          <cell r="C425" t="str">
            <v>Function_AcuRev1320_013_01_case13</v>
          </cell>
        </row>
        <row r="426">
          <cell r="C426" t="str">
            <v>Function_AcuRev1320_013_01_case14</v>
          </cell>
        </row>
        <row r="427">
          <cell r="C427" t="str">
            <v>Function_AcuRev1320_013_01_case15</v>
          </cell>
        </row>
        <row r="428">
          <cell r="C428" t="str">
            <v>Function_AcuRev1320_013_01_case16</v>
          </cell>
        </row>
        <row r="429">
          <cell r="C429" t="str">
            <v>Function_AcuRev1320_013_01_case17</v>
          </cell>
        </row>
        <row r="430">
          <cell r="C430" t="str">
            <v>Function_AcuRev1320_013_01_case18</v>
          </cell>
        </row>
        <row r="431">
          <cell r="C431" t="str">
            <v>Function_AcuRev1320_013_01_case19</v>
          </cell>
        </row>
        <row r="432">
          <cell r="C432" t="str">
            <v>Function_AcuRev1320_013_01_case20</v>
          </cell>
        </row>
        <row r="433">
          <cell r="C433" t="str">
            <v>Function_AcuRev1320_013_01_case21</v>
          </cell>
        </row>
        <row r="434">
          <cell r="C434" t="str">
            <v>Function_AcuRev1320_013_01_case22</v>
          </cell>
        </row>
        <row r="435">
          <cell r="C435" t="str">
            <v>Function_AcuRev1320_013_02_case1</v>
          </cell>
        </row>
        <row r="436">
          <cell r="C436" t="str">
            <v>Function_AcuRev1320_013_02_case2</v>
          </cell>
        </row>
        <row r="437">
          <cell r="C437" t="str">
            <v>Function_AcuRev1320_013_02_case3</v>
          </cell>
        </row>
        <row r="438">
          <cell r="C438" t="str">
            <v>Function_AcuRev1320_013_02_case4</v>
          </cell>
        </row>
        <row r="439">
          <cell r="C439" t="str">
            <v>Function_AcuRev1320_013_02_case5</v>
          </cell>
        </row>
        <row r="440">
          <cell r="C440" t="str">
            <v>Function_AcuRev1320_013_02_case6</v>
          </cell>
        </row>
        <row r="441">
          <cell r="C441" t="str">
            <v>Function_AcuRev1320_013_02_case7</v>
          </cell>
        </row>
        <row r="442">
          <cell r="C442" t="str">
            <v>Function_AcuRev1320_013_02_case8</v>
          </cell>
        </row>
        <row r="443">
          <cell r="C443" t="str">
            <v>Function_AcuRev1320_013_02_case9</v>
          </cell>
        </row>
        <row r="444">
          <cell r="C444" t="str">
            <v>Function_AcuRev1320_013_02_case10</v>
          </cell>
        </row>
        <row r="445">
          <cell r="C445" t="str">
            <v>Function_AcuRev1320_013_02_case11</v>
          </cell>
        </row>
        <row r="446">
          <cell r="C446" t="str">
            <v>Function_AcuRev1320_013_02_case12</v>
          </cell>
        </row>
        <row r="447">
          <cell r="C447" t="str">
            <v>Function_AcuRev1320_013_02_case13</v>
          </cell>
        </row>
        <row r="448">
          <cell r="C448" t="str">
            <v>Function_AcuRev1320_013_02_case14</v>
          </cell>
        </row>
        <row r="449">
          <cell r="C449" t="str">
            <v>Function_AcuRev1320_013_02_case15</v>
          </cell>
        </row>
        <row r="450">
          <cell r="C450" t="str">
            <v>Function_AcuRev1320_013_02_case16</v>
          </cell>
        </row>
        <row r="451">
          <cell r="C451" t="str">
            <v>Function_AcuRev1320_013_02_case17</v>
          </cell>
        </row>
        <row r="452">
          <cell r="C452" t="str">
            <v>Function_AcuRev1320_013_02_case17_01</v>
          </cell>
        </row>
        <row r="453">
          <cell r="C453" t="str">
            <v>Function_AcuRev1320_013_02_case17_02</v>
          </cell>
        </row>
        <row r="454">
          <cell r="C454" t="str">
            <v>Function_AcuRev1320_013_02_case17_03</v>
          </cell>
        </row>
        <row r="455">
          <cell r="C455" t="str">
            <v>Function_AcuRev1320_013_02_case17_04</v>
          </cell>
        </row>
        <row r="456">
          <cell r="C456" t="str">
            <v>Function_AcuRev1320_013_03_case1</v>
          </cell>
        </row>
        <row r="457">
          <cell r="C457" t="str">
            <v>Function_AcuRev1320_013_03_case2</v>
          </cell>
        </row>
        <row r="458">
          <cell r="C458" t="str">
            <v>Function_AcuRev1320_013_03_case3</v>
          </cell>
        </row>
        <row r="459">
          <cell r="C459" t="str">
            <v>Function_AcuRev1320_013_03_case4</v>
          </cell>
        </row>
        <row r="460">
          <cell r="C460" t="str">
            <v>Function_AcuRev1320_013_03_case5</v>
          </cell>
        </row>
        <row r="461">
          <cell r="C461" t="str">
            <v>Function_AcuRev1320_013_03_case6</v>
          </cell>
        </row>
        <row r="462">
          <cell r="C462" t="str">
            <v>Function_AcuRev1320_013_03_case7</v>
          </cell>
        </row>
        <row r="463">
          <cell r="C463" t="str">
            <v>Function_AcuRev1320_013_03_case8</v>
          </cell>
        </row>
        <row r="464">
          <cell r="C464" t="str">
            <v>Function_AcuRev1320_013_03_case9</v>
          </cell>
        </row>
        <row r="465">
          <cell r="C465" t="str">
            <v>Function_AcuRev1320_013_03_case10</v>
          </cell>
        </row>
        <row r="466">
          <cell r="C466" t="str">
            <v>Function_AcuRev1320_013_03_case11</v>
          </cell>
        </row>
        <row r="467">
          <cell r="C467" t="str">
            <v>Function_AcuRev1320_013_03_case12</v>
          </cell>
        </row>
        <row r="468">
          <cell r="C468" t="str">
            <v>Function_AcuRev1320_013_03_case13</v>
          </cell>
        </row>
        <row r="469">
          <cell r="C469" t="str">
            <v>Function_AcuRev1320_013_04_case1</v>
          </cell>
        </row>
        <row r="470">
          <cell r="C470" t="str">
            <v>Function_AcuRev1320_013_04_case2</v>
          </cell>
        </row>
        <row r="471">
          <cell r="C471" t="str">
            <v>Function_AcuRev1320_013_04_case3</v>
          </cell>
        </row>
        <row r="472">
          <cell r="C472" t="str">
            <v>Function_AcuRev1320_013_04_case4</v>
          </cell>
        </row>
        <row r="473">
          <cell r="C473" t="str">
            <v>Function_AcuRev1320_013_04_case5</v>
          </cell>
        </row>
        <row r="474">
          <cell r="C474" t="str">
            <v>Function_AcuRev1320_013_04_case6</v>
          </cell>
        </row>
        <row r="475">
          <cell r="C475" t="str">
            <v>Function_AcuRev1320_013_04_case7</v>
          </cell>
        </row>
        <row r="476">
          <cell r="C476" t="str">
            <v>Function_AcuRev1320_013_04_case8</v>
          </cell>
        </row>
        <row r="477">
          <cell r="C477" t="str">
            <v>Function_AcuRev1320_013_04_case9</v>
          </cell>
        </row>
        <row r="478">
          <cell r="C478" t="str">
            <v>Function_AcuRev1320_013_04_case10</v>
          </cell>
        </row>
        <row r="479">
          <cell r="C479" t="str">
            <v>Function_AcuRev1320_013_04_case11</v>
          </cell>
        </row>
        <row r="480">
          <cell r="C480" t="str">
            <v>Function_AcuRev1320_013_04_case12</v>
          </cell>
        </row>
        <row r="481">
          <cell r="C481" t="str">
            <v>Function_AcuRev1320_013_04_case13</v>
          </cell>
        </row>
        <row r="482">
          <cell r="C482" t="str">
            <v>Function_AcuRev1320_013_04_case14</v>
          </cell>
        </row>
        <row r="483">
          <cell r="C483" t="str">
            <v>Function_AcuRev1320_013_04_case15</v>
          </cell>
        </row>
        <row r="484">
          <cell r="C484" t="str">
            <v>Function_AcuRev1320_013_04_case16</v>
          </cell>
        </row>
        <row r="485">
          <cell r="C485" t="str">
            <v>Function_AcuRev1320_013_04_case17</v>
          </cell>
        </row>
        <row r="486">
          <cell r="C486" t="str">
            <v>Function_AcuRev1320_013_04_case18</v>
          </cell>
        </row>
        <row r="487">
          <cell r="C487" t="str">
            <v>Function_AcuRev1320_013_04_case19</v>
          </cell>
        </row>
        <row r="488">
          <cell r="C488" t="str">
            <v>Function_AcuRev1320_013_04_case20</v>
          </cell>
        </row>
        <row r="489">
          <cell r="C489" t="str">
            <v>Function_AcuRev1320_013_04_case21</v>
          </cell>
        </row>
        <row r="490">
          <cell r="C490" t="str">
            <v>Function_AcuRev1320_013_04_case22</v>
          </cell>
        </row>
        <row r="491">
          <cell r="C491" t="str">
            <v>Function_AcuRev1320_013_04_case23</v>
          </cell>
        </row>
        <row r="492">
          <cell r="C492" t="str">
            <v>Function_AcuRev1320_013_05_case1</v>
          </cell>
        </row>
        <row r="493">
          <cell r="C493" t="str">
            <v>Function_AcuRev1320_013_05_case2</v>
          </cell>
        </row>
        <row r="494">
          <cell r="C494" t="str">
            <v>Function_AcuRev1320_013_05_case3</v>
          </cell>
        </row>
        <row r="495">
          <cell r="C495" t="str">
            <v>Function_AcuRev1320_013_05_case4</v>
          </cell>
        </row>
        <row r="496">
          <cell r="C496" t="str">
            <v>Function_AcuRev1320_013_05_case5</v>
          </cell>
        </row>
        <row r="497">
          <cell r="C497" t="str">
            <v>Function_AcuRev1320_013_05_case6</v>
          </cell>
        </row>
        <row r="498">
          <cell r="C498" t="str">
            <v>Function_AcuRev1320_013_05_case7</v>
          </cell>
        </row>
        <row r="499">
          <cell r="C499" t="str">
            <v>Function_AcuRev1320_013_05_case8</v>
          </cell>
        </row>
        <row r="500">
          <cell r="C500" t="str">
            <v>Function_AcuRev1320_013_05_case9</v>
          </cell>
        </row>
        <row r="501">
          <cell r="C501" t="str">
            <v>Function_AcuRev1320_013_06_case1</v>
          </cell>
        </row>
        <row r="502">
          <cell r="C502" t="str">
            <v>Function_AcuRev1320_013_06_case2</v>
          </cell>
        </row>
        <row r="503">
          <cell r="C503" t="str">
            <v>Function_AcuRev1320_013_06_case3</v>
          </cell>
        </row>
        <row r="504">
          <cell r="C504" t="str">
            <v>Function_AcuRev1320_014_01_case1</v>
          </cell>
        </row>
        <row r="505">
          <cell r="C505" t="str">
            <v>Function_AcuRev1320_014_01_case2</v>
          </cell>
        </row>
        <row r="506">
          <cell r="C506" t="str">
            <v>Function_AcuRev1320_014_01_case3</v>
          </cell>
        </row>
        <row r="507">
          <cell r="C507" t="str">
            <v>Function_AcuRev1320_014_01_case4</v>
          </cell>
        </row>
        <row r="508">
          <cell r="C508" t="str">
            <v>Function_AcuRev1320_014_01_case5</v>
          </cell>
        </row>
        <row r="509">
          <cell r="C509" t="str">
            <v>Function_AcuRev1320_014_01_case6</v>
          </cell>
        </row>
        <row r="510">
          <cell r="C510" t="str">
            <v>Function_AcuRev1320_014_01_case7</v>
          </cell>
        </row>
        <row r="511">
          <cell r="C511" t="str">
            <v>Function_AcuRev1320_014_01_case7_1</v>
          </cell>
        </row>
        <row r="512">
          <cell r="C512" t="str">
            <v>Function_AcuRev1320_014_01_case8</v>
          </cell>
        </row>
        <row r="513">
          <cell r="C513" t="str">
            <v>Function_AcuRev1320_014_01_case9</v>
          </cell>
        </row>
        <row r="514">
          <cell r="C514" t="str">
            <v>Function_AcuRev1320_014_01_case10</v>
          </cell>
        </row>
        <row r="515">
          <cell r="C515" t="str">
            <v>Function_AcuRev1320_014_01_case11</v>
          </cell>
        </row>
        <row r="516">
          <cell r="C516" t="str">
            <v>Function_AcuRev1320_014_01_case12</v>
          </cell>
        </row>
        <row r="517">
          <cell r="C517" t="str">
            <v>Function_AcuRev1320_014_01_case13</v>
          </cell>
        </row>
        <row r="518">
          <cell r="C518" t="str">
            <v>Function_AcuRev1320_014_01_case14</v>
          </cell>
        </row>
        <row r="519">
          <cell r="C519" t="str">
            <v>Function_AcuRev1320_014_01_case15</v>
          </cell>
        </row>
        <row r="520">
          <cell r="C520" t="str">
            <v>Function_AcuRev1320_014_01_case16</v>
          </cell>
        </row>
        <row r="521">
          <cell r="C521" t="str">
            <v>Function_AcuRev1320_014_01_case17</v>
          </cell>
        </row>
        <row r="522">
          <cell r="C522" t="str">
            <v>Function_AcuRev1320_014_01_case18</v>
          </cell>
        </row>
        <row r="523">
          <cell r="C523" t="str">
            <v>Function_AcuRev1320_014_01_case19</v>
          </cell>
        </row>
        <row r="524">
          <cell r="C524" t="str">
            <v>Function_AcuRev1320_014_01_case20</v>
          </cell>
        </row>
        <row r="525">
          <cell r="C525" t="str">
            <v>Function_AcuRev1320_014_01_case21</v>
          </cell>
        </row>
        <row r="526">
          <cell r="C526" t="str">
            <v>Function_AcuRev1320_014_01_case22</v>
          </cell>
        </row>
        <row r="527">
          <cell r="C527" t="str">
            <v>Function_AcuRev1320_014_01_case23</v>
          </cell>
        </row>
        <row r="528">
          <cell r="C528" t="str">
            <v>Function_AcuRev1320_014_01_case24</v>
          </cell>
        </row>
        <row r="529">
          <cell r="C529" t="str">
            <v>Function_AcuRev1320_014_01_case25</v>
          </cell>
        </row>
        <row r="530">
          <cell r="C530" t="str">
            <v>Function_AcuRev1320_014_01_case26</v>
          </cell>
        </row>
        <row r="531">
          <cell r="C531" t="str">
            <v>Function_AcuRev1320_014_01_case27</v>
          </cell>
        </row>
        <row r="532">
          <cell r="C532" t="str">
            <v>Function_AcuRev1320_014_01_case28</v>
          </cell>
        </row>
        <row r="533">
          <cell r="C533" t="str">
            <v>Function_AcuRev1320_014_01_case29</v>
          </cell>
        </row>
        <row r="534">
          <cell r="C534" t="str">
            <v>Function_AcuRev1320_014_01_case30</v>
          </cell>
        </row>
        <row r="535">
          <cell r="C535" t="str">
            <v>Function_AcuRev1320_014_01_case31</v>
          </cell>
        </row>
        <row r="536">
          <cell r="C536" t="str">
            <v>Function_AcuRev1320_014_01_case32</v>
          </cell>
        </row>
        <row r="537">
          <cell r="C537" t="str">
            <v>Function_AcuRev1320_014_01_case33</v>
          </cell>
        </row>
        <row r="538">
          <cell r="C538" t="str">
            <v>Function_AcuRev1320_014_01_case34</v>
          </cell>
        </row>
        <row r="539">
          <cell r="C539" t="str">
            <v>Function_AcuRev1320_014_01_case35</v>
          </cell>
        </row>
        <row r="540">
          <cell r="C540" t="str">
            <v>Function_AcuRev1320_014_01_case36</v>
          </cell>
        </row>
        <row r="541">
          <cell r="C541" t="str">
            <v>Function_AcuRev1320_014_01_case37</v>
          </cell>
        </row>
        <row r="542">
          <cell r="C542" t="str">
            <v>Function_AcuRev1320_014_01_case38</v>
          </cell>
        </row>
        <row r="543">
          <cell r="C543" t="str">
            <v>Function_AcuRev1320_014_01_case39</v>
          </cell>
        </row>
        <row r="544">
          <cell r="C544" t="str">
            <v>Function_AcuRev1320_014_01_case40</v>
          </cell>
        </row>
        <row r="545">
          <cell r="C545" t="str">
            <v>Function_AcuRev1320_014_01_case41</v>
          </cell>
        </row>
        <row r="546">
          <cell r="C546" t="str">
            <v>Function_AcuRev1320_014_01_case42</v>
          </cell>
        </row>
        <row r="547">
          <cell r="C547" t="str">
            <v>Function_AcuRev1320_014_01_case43</v>
          </cell>
        </row>
        <row r="548">
          <cell r="C548" t="str">
            <v>Function_AcuRev1320_014_01_case44</v>
          </cell>
        </row>
        <row r="549">
          <cell r="C549" t="str">
            <v>Function_AcuRev1320_014_01_case45</v>
          </cell>
        </row>
        <row r="550">
          <cell r="C550" t="str">
            <v>Function_AcuRev1320_014_01_case46</v>
          </cell>
        </row>
        <row r="551">
          <cell r="C551" t="str">
            <v>Function_AcuRev1320_014_01_case47</v>
          </cell>
        </row>
        <row r="552">
          <cell r="C552" t="str">
            <v>Function_AcuRev1320_014_01_case48</v>
          </cell>
        </row>
        <row r="553">
          <cell r="C553" t="str">
            <v>Function_AcuRev1320_014_01_case49</v>
          </cell>
        </row>
        <row r="554">
          <cell r="C554" t="str">
            <v>Function_AcuRev1320_014_01_case50</v>
          </cell>
        </row>
        <row r="555">
          <cell r="C555" t="str">
            <v>Function_AcuRev1320_014_01_case51</v>
          </cell>
        </row>
        <row r="556">
          <cell r="C556" t="str">
            <v>Function_AcuRev1320_014_01_case52</v>
          </cell>
        </row>
        <row r="557">
          <cell r="C557" t="str">
            <v>Function_AcuRev1320_014_01_case53</v>
          </cell>
        </row>
        <row r="558">
          <cell r="C558" t="str">
            <v>Function_AcuRev1320_014_01_case54</v>
          </cell>
        </row>
        <row r="559">
          <cell r="C559" t="str">
            <v>Function_AcuRev1320_014_01_case55</v>
          </cell>
        </row>
        <row r="560">
          <cell r="C560" t="str">
            <v>Function_AcuRev1320_014_01_case56</v>
          </cell>
        </row>
        <row r="561">
          <cell r="C561" t="str">
            <v>Function_AcuRev1320_014_01_case57</v>
          </cell>
        </row>
        <row r="562">
          <cell r="C562" t="str">
            <v>Function_AcuRev1320_014_01_case58</v>
          </cell>
        </row>
        <row r="563">
          <cell r="C563" t="str">
            <v>Function_AcuRev1320_014_01_case59</v>
          </cell>
        </row>
        <row r="564">
          <cell r="C564" t="str">
            <v>Function_AcuRev1320_014_01_case60</v>
          </cell>
        </row>
        <row r="565">
          <cell r="C565" t="str">
            <v>Function_AcuRev1320_014_01_case61</v>
          </cell>
        </row>
        <row r="566">
          <cell r="C566" t="str">
            <v>Function_AcuRev1320_014_01_case62</v>
          </cell>
        </row>
        <row r="567">
          <cell r="C567" t="str">
            <v>Function_AcuRev1320_014_01_case63</v>
          </cell>
        </row>
        <row r="568">
          <cell r="C568" t="str">
            <v>Function_AcuRev1320_014_01_case64</v>
          </cell>
        </row>
        <row r="569">
          <cell r="C569" t="str">
            <v>Function_AcuRev1320_014_01_case65</v>
          </cell>
        </row>
        <row r="570">
          <cell r="C570" t="str">
            <v>Function_AcuRev1320_014_01_case66</v>
          </cell>
        </row>
        <row r="571">
          <cell r="C571" t="str">
            <v>Function_AcuRev1320_014_01_case67</v>
          </cell>
        </row>
        <row r="572">
          <cell r="C572" t="str">
            <v>Function_AcuRev1320_014_02_case01</v>
          </cell>
        </row>
        <row r="573">
          <cell r="C573" t="str">
            <v>Function_AcuRev1320_014_02_case02</v>
          </cell>
        </row>
        <row r="574">
          <cell r="C574" t="str">
            <v>Function_AcuRev1320_014_02_case03</v>
          </cell>
        </row>
        <row r="575">
          <cell r="C575" t="str">
            <v>Function_AcuRev1320_014_02_case04</v>
          </cell>
        </row>
        <row r="576">
          <cell r="C576" t="str">
            <v>Function_AcuRev1320_014_02_case05</v>
          </cell>
        </row>
        <row r="577">
          <cell r="C577" t="str">
            <v>Function_AcuRev1320_014_02_case06</v>
          </cell>
        </row>
        <row r="578">
          <cell r="C578" t="str">
            <v>Function_AcuRev1320_014_02_case07</v>
          </cell>
        </row>
        <row r="579">
          <cell r="C579" t="str">
            <v>Function_AcuRev1320_014_02_case08</v>
          </cell>
        </row>
        <row r="580">
          <cell r="C580" t="str">
            <v>Function_AcuRev1320_014_03_case01</v>
          </cell>
        </row>
        <row r="581">
          <cell r="C581" t="str">
            <v>Function_AcuRev1320_014_03_case02</v>
          </cell>
        </row>
        <row r="582">
          <cell r="C582" t="str">
            <v>Function_AcuRev1320_014_03_case03</v>
          </cell>
        </row>
        <row r="583">
          <cell r="C583" t="str">
            <v>Function_AcuRev1320_014_03_case04</v>
          </cell>
        </row>
        <row r="584">
          <cell r="C584" t="str">
            <v>Function_AcuRev1320_014_03_case05</v>
          </cell>
        </row>
        <row r="585">
          <cell r="C585" t="str">
            <v>Function_AcuRev1320_014_03_case06</v>
          </cell>
        </row>
        <row r="586">
          <cell r="C586" t="str">
            <v>Function_AcuRev1320_014_03_case07</v>
          </cell>
        </row>
        <row r="587">
          <cell r="C587" t="str">
            <v>Function_AcuRev1320_014_03_case08</v>
          </cell>
        </row>
        <row r="588">
          <cell r="C588" t="str">
            <v>Function_AcuRev1320_014_03_case09</v>
          </cell>
        </row>
        <row r="589">
          <cell r="C589" t="str">
            <v>Function_AcuRev1320_014_03_case10</v>
          </cell>
        </row>
        <row r="590">
          <cell r="C590" t="str">
            <v>Function_AcuRev1320_014_03_case11</v>
          </cell>
        </row>
        <row r="591">
          <cell r="C591" t="str">
            <v>Function_AcuRev1320_014_03_case12</v>
          </cell>
        </row>
        <row r="592">
          <cell r="C592" t="str">
            <v>Function_AcuRev1320_014_03_case13</v>
          </cell>
        </row>
        <row r="593">
          <cell r="C593" t="str">
            <v>Function_AcuRev1320_014_03_case14</v>
          </cell>
        </row>
        <row r="594">
          <cell r="C594" t="str">
            <v>Function_AcuRev1320_014_03_case15</v>
          </cell>
        </row>
        <row r="595">
          <cell r="C595" t="str">
            <v>Function_AcuRev1320_014_03_case16</v>
          </cell>
        </row>
        <row r="596">
          <cell r="C596" t="str">
            <v>Function_AcuRev1320_014_04_case01</v>
          </cell>
        </row>
        <row r="597">
          <cell r="C597" t="str">
            <v>Function_AcuRev1320_014_04_case02</v>
          </cell>
        </row>
        <row r="598">
          <cell r="C598" t="str">
            <v>Function_AcuRev1320_014_04_case03</v>
          </cell>
        </row>
        <row r="599">
          <cell r="C599" t="str">
            <v>Function_AcuRev1320_014_04_case04</v>
          </cell>
        </row>
        <row r="600">
          <cell r="C600" t="str">
            <v>Function_AcuRev1320_014_04_case05</v>
          </cell>
        </row>
        <row r="601">
          <cell r="C601" t="str">
            <v>Function_AcuRev1320_014_04_case06</v>
          </cell>
        </row>
        <row r="602">
          <cell r="C602" t="str">
            <v>Function_AcuRev1320_014_04_case07</v>
          </cell>
        </row>
        <row r="603">
          <cell r="C603" t="str">
            <v>Function_AcuRev1320_014_04_case08</v>
          </cell>
        </row>
        <row r="604">
          <cell r="C604" t="str">
            <v>Function_AcuRev1320_014_04_case09</v>
          </cell>
        </row>
        <row r="605">
          <cell r="C605" t="str">
            <v>Function_AcuRev1320_014_04_case10</v>
          </cell>
        </row>
        <row r="606">
          <cell r="C606" t="str">
            <v>Function_AcuRev1320_014_04_case11</v>
          </cell>
        </row>
        <row r="607">
          <cell r="C607" t="str">
            <v>Function_AcuRev1320_014_04_case12</v>
          </cell>
        </row>
        <row r="608">
          <cell r="C608" t="str">
            <v>Function_AcuRev1320_014_04_case13</v>
          </cell>
        </row>
        <row r="609">
          <cell r="C609" t="str">
            <v>Function_AcuRev1320_014_04_case14</v>
          </cell>
        </row>
        <row r="610">
          <cell r="C610" t="str">
            <v>Function_AcuRev1320_014_04_case15</v>
          </cell>
        </row>
        <row r="611">
          <cell r="C611" t="str">
            <v>Function_AcuRev1320_014_04_case16</v>
          </cell>
        </row>
        <row r="612">
          <cell r="C612" t="str">
            <v>Function_AcuRev1320_014_04_case17</v>
          </cell>
        </row>
        <row r="613">
          <cell r="C613" t="str">
            <v>Function_AcuRev1320_014_04_case18</v>
          </cell>
        </row>
        <row r="614">
          <cell r="C614" t="str">
            <v>Function_AcuRev1320_014_04_case19</v>
          </cell>
        </row>
        <row r="615">
          <cell r="C615" t="str">
            <v>Function_AcuRev1320_014_04_case20</v>
          </cell>
        </row>
        <row r="616">
          <cell r="C616" t="str">
            <v>Function_AcuRev1320_014_04_case21</v>
          </cell>
        </row>
        <row r="617">
          <cell r="C617" t="str">
            <v>Function_AcuRev1320_014_04_case22</v>
          </cell>
        </row>
        <row r="618">
          <cell r="C618" t="str">
            <v>Function_AcuRev1320_014_04_case23</v>
          </cell>
        </row>
        <row r="619">
          <cell r="C619" t="str">
            <v>Function_AcuRev1320_014_04_case24</v>
          </cell>
        </row>
        <row r="620">
          <cell r="C620" t="str">
            <v>Function_AcuRev1320_014_04_case25</v>
          </cell>
        </row>
        <row r="621">
          <cell r="C621" t="str">
            <v>Function_AcuRev1320_014_04_case26</v>
          </cell>
        </row>
        <row r="622">
          <cell r="C622" t="str">
            <v>Function_AcuRev1320_014_04_case27</v>
          </cell>
        </row>
        <row r="623">
          <cell r="C623" t="str">
            <v>Function_AcuRev1320_014_04_case28</v>
          </cell>
        </row>
        <row r="624">
          <cell r="C624" t="str">
            <v>Function_AcuRev1320_014_04_case29</v>
          </cell>
        </row>
        <row r="625">
          <cell r="C625" t="str">
            <v>Function_AcuRev1320_014_04_case30</v>
          </cell>
        </row>
        <row r="626">
          <cell r="C626" t="str">
            <v>Function_AcuRev1320_014_04_case31</v>
          </cell>
        </row>
        <row r="627">
          <cell r="C627" t="str">
            <v>Function_AcuRev1320_014_04_case32</v>
          </cell>
        </row>
        <row r="628">
          <cell r="C628" t="str">
            <v>Function_AcuRev1320_014_04_case33</v>
          </cell>
        </row>
        <row r="629">
          <cell r="C629" t="str">
            <v>Function_AcuRev1320_014_04_case34</v>
          </cell>
        </row>
        <row r="630">
          <cell r="C630" t="str">
            <v>Function_AcuRev1320_014_04_case35</v>
          </cell>
        </row>
        <row r="631">
          <cell r="C631" t="str">
            <v>Function_AcuRev1320_014_04_case36</v>
          </cell>
        </row>
        <row r="632">
          <cell r="C632" t="str">
            <v>Function_AcuRev1320_014_04_case37</v>
          </cell>
        </row>
        <row r="633">
          <cell r="C633" t="str">
            <v>Function_AcuRev1320_014_04_case38</v>
          </cell>
        </row>
        <row r="634">
          <cell r="C634" t="str">
            <v>Function_AcuRev1320_014_04_case39</v>
          </cell>
        </row>
        <row r="635">
          <cell r="C635" t="str">
            <v>Function_AcuRev1320_014_04_case40</v>
          </cell>
        </row>
        <row r="636">
          <cell r="C636" t="str">
            <v>Function_AcuRev1320_014_04_case41</v>
          </cell>
        </row>
        <row r="637">
          <cell r="C637" t="str">
            <v>Function_AcuRev1320_014_04_case42</v>
          </cell>
        </row>
        <row r="638">
          <cell r="C638" t="str">
            <v>Function_AcuRev1320_014_04_case43</v>
          </cell>
        </row>
        <row r="639">
          <cell r="C639" t="str">
            <v>Function_AcuRev1320_014_04_case44</v>
          </cell>
        </row>
        <row r="640">
          <cell r="C640" t="str">
            <v>Function_AcuRev1320_014_04_case45</v>
          </cell>
        </row>
        <row r="641">
          <cell r="C641" t="str">
            <v>Function_AcuRev1320_014_04_case46</v>
          </cell>
        </row>
        <row r="642">
          <cell r="C642" t="str">
            <v>Function_AcuRev1320_015_01_case1</v>
          </cell>
        </row>
        <row r="643">
          <cell r="C643" t="str">
            <v>Function_AcuRev1320_015_01_case2</v>
          </cell>
        </row>
        <row r="644">
          <cell r="C644" t="str">
            <v>Function_AcuRev1320_015_01_case3</v>
          </cell>
        </row>
        <row r="645">
          <cell r="C645" t="str">
            <v>Function_AcuRev1320_015_01_case4</v>
          </cell>
        </row>
        <row r="646">
          <cell r="C646" t="str">
            <v>Function_AcuRev1320_015_01_case5</v>
          </cell>
        </row>
        <row r="647">
          <cell r="C647" t="str">
            <v>Function_AcuRev1320_015_01_case6</v>
          </cell>
        </row>
        <row r="648">
          <cell r="C648" t="str">
            <v>Function_AcuRev1320_015_01_case7</v>
          </cell>
        </row>
        <row r="649">
          <cell r="C649" t="str">
            <v>Function_AcuRev1320_015_01_case8</v>
          </cell>
        </row>
        <row r="650">
          <cell r="C650" t="str">
            <v>Function_AcuRev1320_015_01_case9</v>
          </cell>
        </row>
        <row r="651">
          <cell r="C651" t="str">
            <v>Function_AcuRev1320_015_01_case10</v>
          </cell>
        </row>
        <row r="652">
          <cell r="C652" t="str">
            <v>Function_AcuRev1320_015_01_case11</v>
          </cell>
        </row>
        <row r="653">
          <cell r="C653" t="str">
            <v>Function_AcuRev1320_015_01_case12</v>
          </cell>
        </row>
        <row r="654">
          <cell r="C654" t="str">
            <v>Function_AcuRev1320_015_01_case13</v>
          </cell>
        </row>
        <row r="655">
          <cell r="C655" t="str">
            <v>Function_AcuRev1320_015_01_case14</v>
          </cell>
        </row>
        <row r="656">
          <cell r="C656" t="str">
            <v>Function_AcuRev1320_015_01_case15</v>
          </cell>
        </row>
        <row r="657">
          <cell r="C657" t="str">
            <v>Function_AcuRev1320_015_01_case16</v>
          </cell>
        </row>
        <row r="658">
          <cell r="C658" t="str">
            <v>Function_AcuRev1320_015_01_case17</v>
          </cell>
        </row>
        <row r="659">
          <cell r="C659" t="str">
            <v>Function_AcuRev1320_015_01_case18</v>
          </cell>
        </row>
        <row r="660">
          <cell r="C660" t="str">
            <v>Function_AcuRev1320_015_01_case19</v>
          </cell>
        </row>
        <row r="661">
          <cell r="C661" t="str">
            <v>Function_AcuRev1320_015_01_case20</v>
          </cell>
        </row>
        <row r="662">
          <cell r="C662" t="str">
            <v>Function_AcuRev1320_015_01_case21</v>
          </cell>
        </row>
        <row r="663">
          <cell r="C663" t="str">
            <v>Function_AcuRev1320_015_02_case1</v>
          </cell>
        </row>
        <row r="664">
          <cell r="C664" t="str">
            <v>Function_AcuRev1320_015_02_case2</v>
          </cell>
        </row>
        <row r="665">
          <cell r="C665" t="str">
            <v>Function_AcuRev1320_015_02_case3</v>
          </cell>
        </row>
        <row r="666">
          <cell r="C666" t="str">
            <v>Function_AcuRev1320_015_02_case4</v>
          </cell>
        </row>
        <row r="667">
          <cell r="C667" t="str">
            <v>Function_AcuRev1320_015_03_case1</v>
          </cell>
        </row>
        <row r="668">
          <cell r="C668" t="str">
            <v>Function_AcuRev1320_015_03_case2</v>
          </cell>
        </row>
        <row r="669">
          <cell r="C669" t="str">
            <v>Function_AcuRev1320_015_03_case3</v>
          </cell>
        </row>
        <row r="670">
          <cell r="C670" t="str">
            <v>Function_AcuRev1320_015_03_case4</v>
          </cell>
        </row>
        <row r="671">
          <cell r="C671" t="str">
            <v>Function_AcuRev1320_015_03_case5</v>
          </cell>
        </row>
        <row r="672">
          <cell r="C672" t="str">
            <v>Function_AcuRev1320_015_03_case6</v>
          </cell>
        </row>
        <row r="673">
          <cell r="C673" t="str">
            <v>Function_AcuRev1320_015_03_case7</v>
          </cell>
        </row>
        <row r="674">
          <cell r="C674" t="str">
            <v>Function_AcuRev1320_015_03_case8</v>
          </cell>
        </row>
        <row r="675">
          <cell r="C675" t="str">
            <v>Function_AcuRev1320_015_03_case9</v>
          </cell>
        </row>
        <row r="676">
          <cell r="C676" t="str">
            <v>Function_AcuRev1320_015_03_case10</v>
          </cell>
        </row>
        <row r="677">
          <cell r="C677" t="str">
            <v>Function_AcuRev1320_015_03_case11</v>
          </cell>
        </row>
        <row r="678">
          <cell r="C678" t="str">
            <v>Function_AcuRev1320_015_03_case12</v>
          </cell>
        </row>
        <row r="679">
          <cell r="C679" t="str">
            <v>Function_AcuRev1320_015_03_case13</v>
          </cell>
        </row>
        <row r="680">
          <cell r="C680" t="str">
            <v>Function_AcuRev1320_015_03_case14</v>
          </cell>
        </row>
        <row r="681">
          <cell r="C681" t="str">
            <v>Function_AcuRev1320_015_03_case15</v>
          </cell>
        </row>
        <row r="682">
          <cell r="C682" t="str">
            <v>Function_AcuRev1320_015_03_case16</v>
          </cell>
        </row>
        <row r="683">
          <cell r="C683" t="str">
            <v>Function_AcuRev1320_015_03_case17</v>
          </cell>
        </row>
        <row r="684">
          <cell r="C684" t="str">
            <v>Function_AcuRev1320_015_03_case18</v>
          </cell>
        </row>
        <row r="685">
          <cell r="C685" t="str">
            <v>Function_AcuRev1320_015_03_case19</v>
          </cell>
        </row>
        <row r="686">
          <cell r="C686" t="str">
            <v>Function_AcuRev1320_015_03_case20</v>
          </cell>
        </row>
        <row r="687">
          <cell r="C687" t="str">
            <v>Function_AcuRev1320_015_03_case21</v>
          </cell>
        </row>
        <row r="688">
          <cell r="C688" t="str">
            <v>Function_AcuRev1320_015_03_case22</v>
          </cell>
        </row>
        <row r="689">
          <cell r="C689" t="str">
            <v>Function_AcuRev1320_015_03_case23</v>
          </cell>
        </row>
        <row r="690">
          <cell r="C690" t="str">
            <v>Function_AcuRev1320_015_03_case24</v>
          </cell>
        </row>
        <row r="691">
          <cell r="C691" t="str">
            <v>Function_AcuRev1320_015_03_case25</v>
          </cell>
        </row>
        <row r="692">
          <cell r="C692" t="str">
            <v>Function_AcuRev1320_015_03_case26</v>
          </cell>
        </row>
        <row r="693">
          <cell r="C693" t="str">
            <v>Function_AcuRev1320_015_03_case27</v>
          </cell>
        </row>
        <row r="694">
          <cell r="C694" t="str">
            <v>Function_AcuRev1320_015_03_case28</v>
          </cell>
        </row>
        <row r="695">
          <cell r="C695" t="str">
            <v>Function_AcuRev1320_015_03_case29</v>
          </cell>
        </row>
        <row r="696">
          <cell r="C696" t="str">
            <v>Function_AcuRev1320_015_03_case30</v>
          </cell>
        </row>
        <row r="697">
          <cell r="C697" t="str">
            <v>Function_AcuRev1320_015_03_case31</v>
          </cell>
        </row>
        <row r="698">
          <cell r="C698" t="str">
            <v>Function_AcuRev1320_015_03_case32</v>
          </cell>
        </row>
        <row r="699">
          <cell r="C699" t="str">
            <v>Function_AcuRev1320_015_03_case33</v>
          </cell>
        </row>
        <row r="700">
          <cell r="C700" t="str">
            <v>Function_AcuRev1320_015_03_case34</v>
          </cell>
        </row>
        <row r="701">
          <cell r="C701" t="str">
            <v>Function_AcuRev1320_015_03_case35</v>
          </cell>
        </row>
        <row r="702">
          <cell r="C702" t="str">
            <v>Function_AcuRev1320_015_03_case35-2</v>
          </cell>
        </row>
        <row r="703">
          <cell r="C703" t="str">
            <v>Function_AcuRev1320_015_03_case36</v>
          </cell>
        </row>
        <row r="704">
          <cell r="C704" t="str">
            <v>Function_AcuRev1320_015_03_case37</v>
          </cell>
        </row>
        <row r="705">
          <cell r="C705" t="str">
            <v>Function_AcuRev1320_015_03_case38</v>
          </cell>
        </row>
        <row r="706">
          <cell r="C706" t="str">
            <v>Function_AcuRev1320_015_03_case39</v>
          </cell>
        </row>
        <row r="707">
          <cell r="C707" t="str">
            <v>Function_AcuRev1320_015_03_case40</v>
          </cell>
        </row>
        <row r="708">
          <cell r="C708" t="str">
            <v>Function_AcuRev1320_015_04_case1</v>
          </cell>
        </row>
        <row r="709">
          <cell r="C709" t="str">
            <v>Function_AcuRev1320_015_04_case2</v>
          </cell>
        </row>
        <row r="710">
          <cell r="C710" t="str">
            <v>Function_AcuRev1320_015_04_case3</v>
          </cell>
        </row>
        <row r="711">
          <cell r="C711" t="str">
            <v>Function_AcuRev1320_015_04_case4</v>
          </cell>
        </row>
        <row r="712">
          <cell r="C712" t="str">
            <v>Function_AcuRev1320_015_04_case5</v>
          </cell>
        </row>
        <row r="713">
          <cell r="C713" t="str">
            <v>Function_AcuRev1320_015_04_case6</v>
          </cell>
        </row>
        <row r="714">
          <cell r="C714" t="str">
            <v>Function_AcuRev1320_015_04_case7</v>
          </cell>
        </row>
        <row r="715">
          <cell r="C715" t="str">
            <v>Function_AcuRev1320_015_04_case8</v>
          </cell>
        </row>
        <row r="716">
          <cell r="C716" t="str">
            <v>Function_AcuRev1320_015_04_case9</v>
          </cell>
        </row>
        <row r="717">
          <cell r="C717" t="str">
            <v>Function_AcuRev1320_015_04_case10</v>
          </cell>
        </row>
        <row r="718">
          <cell r="C718" t="str">
            <v>Function_AcuRev1320_015_04_case11</v>
          </cell>
        </row>
        <row r="719">
          <cell r="C719" t="str">
            <v>Function_AcuRev1320_015_04_case12</v>
          </cell>
        </row>
        <row r="720">
          <cell r="C720" t="str">
            <v>Function_AcuRev1320_015_04_case13</v>
          </cell>
        </row>
        <row r="721">
          <cell r="C721" t="str">
            <v>Function_AcuRev1320_015_05_case1</v>
          </cell>
        </row>
        <row r="722">
          <cell r="C722" t="str">
            <v>Function_AcuRev1320_015_05_case2</v>
          </cell>
        </row>
        <row r="723">
          <cell r="C723" t="str">
            <v>Function_AcuRev1320_015_05_case3</v>
          </cell>
        </row>
        <row r="724">
          <cell r="C724" t="str">
            <v>Function_AcuRev1320_015_05_case4</v>
          </cell>
        </row>
        <row r="725">
          <cell r="C725" t="str">
            <v>Function_AcuRev1320_015_05_case5</v>
          </cell>
        </row>
        <row r="726">
          <cell r="C726" t="str">
            <v>Function_AcuRev1320_015_05_case6</v>
          </cell>
        </row>
        <row r="727">
          <cell r="C727" t="str">
            <v>Function_AcuRev1320_015_05_case7</v>
          </cell>
        </row>
        <row r="728">
          <cell r="C728" t="str">
            <v>Function_AcuRev1320_015_05_case8</v>
          </cell>
        </row>
        <row r="729">
          <cell r="C729" t="str">
            <v>Function_AcuRev1320_015_05_case9</v>
          </cell>
        </row>
        <row r="730">
          <cell r="C730" t="str">
            <v>Function_AcuRev1320_015_06_case1</v>
          </cell>
        </row>
        <row r="731">
          <cell r="C731" t="str">
            <v>Function_AcuRev1320_015_06_case2</v>
          </cell>
        </row>
        <row r="732">
          <cell r="C732" t="str">
            <v>Function_AcuRev1320_015_06_case3</v>
          </cell>
        </row>
        <row r="733">
          <cell r="C733" t="str">
            <v>Function_AcuRev1320_015_06_case4</v>
          </cell>
        </row>
        <row r="734">
          <cell r="C734" t="str">
            <v>Function_AcuRev1320_015_06_case5</v>
          </cell>
        </row>
        <row r="735">
          <cell r="C735" t="str">
            <v>Function_AcuRev1320_016_01_case1</v>
          </cell>
        </row>
        <row r="736">
          <cell r="C736" t="str">
            <v>Function_AcuRev1320_016_01_case2</v>
          </cell>
        </row>
        <row r="737">
          <cell r="C737" t="str">
            <v>Function_AcuRev1320_016_01_case3</v>
          </cell>
        </row>
        <row r="738">
          <cell r="C738" t="str">
            <v>Function_AcuRev1320_016_01_case4</v>
          </cell>
        </row>
        <row r="739">
          <cell r="C739" t="str">
            <v>Function_AcuRev1320_016_01_case5</v>
          </cell>
        </row>
        <row r="740">
          <cell r="C740" t="str">
            <v>Function_AcuRev1320_016_01_case6</v>
          </cell>
        </row>
        <row r="741">
          <cell r="C741" t="str">
            <v>Function_AcuRev1320_016_01_case7</v>
          </cell>
        </row>
        <row r="742">
          <cell r="C742" t="str">
            <v>Function_AcuRev1320_016_01_case8</v>
          </cell>
        </row>
        <row r="743">
          <cell r="C743" t="str">
            <v>Function_AcuRev1320_016_01_case9</v>
          </cell>
        </row>
        <row r="744">
          <cell r="C744" t="str">
            <v>Function_AcuRev1320_016_01_case10</v>
          </cell>
        </row>
        <row r="745">
          <cell r="C745" t="str">
            <v>Function_AcuRev1320_016_01_case11</v>
          </cell>
        </row>
        <row r="746">
          <cell r="C746" t="str">
            <v>Function_AcuRev1320_016_01_case12</v>
          </cell>
        </row>
        <row r="747">
          <cell r="C747" t="str">
            <v>Function_AcuRev1320_016_01_case13</v>
          </cell>
        </row>
        <row r="748">
          <cell r="C748" t="str">
            <v>Function_AcuRev1320_016_01_case14</v>
          </cell>
        </row>
        <row r="749">
          <cell r="C749" t="str">
            <v>Function_AcuRev1320_016_01_case15</v>
          </cell>
        </row>
        <row r="750">
          <cell r="C750" t="str">
            <v>Function_AcuRev1320_016_01_case16</v>
          </cell>
        </row>
        <row r="751">
          <cell r="C751" t="str">
            <v>Function_AcuRev1320_016_01_case17</v>
          </cell>
        </row>
        <row r="752">
          <cell r="C752" t="str">
            <v>Function_AcuRev1320_016_01_case18</v>
          </cell>
        </row>
        <row r="753">
          <cell r="C753" t="str">
            <v>Function_AcuRev1320_016_01_case19</v>
          </cell>
        </row>
        <row r="754">
          <cell r="C754" t="str">
            <v>Function_AcuRev1320_016_01_case20</v>
          </cell>
        </row>
        <row r="755">
          <cell r="C755" t="str">
            <v>Function_AcuRev1320_016_01_case21</v>
          </cell>
        </row>
        <row r="756">
          <cell r="C756" t="str">
            <v>Function_AcuRev1320_016_01_case22</v>
          </cell>
        </row>
        <row r="757">
          <cell r="C757" t="str">
            <v>Function_AcuRev1320_016_01_case23</v>
          </cell>
        </row>
        <row r="758">
          <cell r="C758" t="str">
            <v>Function_AcuRev1320_016_01_case24</v>
          </cell>
        </row>
        <row r="759">
          <cell r="C759" t="str">
            <v>Function_AcuRev1320_016_01_case25</v>
          </cell>
        </row>
        <row r="760">
          <cell r="C760" t="str">
            <v>Function_AcuRev1320_016_01_case26</v>
          </cell>
        </row>
        <row r="761">
          <cell r="C761" t="str">
            <v>Function_AcuRev1320_016_01_case27</v>
          </cell>
        </row>
        <row r="762">
          <cell r="C762" t="str">
            <v>Function_AcuRev1320_016_01_case28</v>
          </cell>
        </row>
        <row r="763">
          <cell r="C763" t="str">
            <v>Function_AcuRev1320_016_01_case29</v>
          </cell>
        </row>
        <row r="764">
          <cell r="C764" t="str">
            <v>Function_AcuRev1320_016_01_case30</v>
          </cell>
        </row>
        <row r="765">
          <cell r="C765" t="str">
            <v>Function_AcuRev1320_016_01_case31</v>
          </cell>
        </row>
        <row r="766">
          <cell r="C766" t="str">
            <v>Function_AcuRev1320_016_02_case1</v>
          </cell>
        </row>
        <row r="767">
          <cell r="C767" t="str">
            <v>Function_AcuRev1320_016_02_case2</v>
          </cell>
        </row>
        <row r="768">
          <cell r="C768" t="str">
            <v>Function_AcuRev1320_016_02_case3</v>
          </cell>
        </row>
        <row r="769">
          <cell r="C769" t="str">
            <v>Function_AcuRev1320_016_02_case4</v>
          </cell>
        </row>
        <row r="770">
          <cell r="C770" t="str">
            <v>Function_AcuRev1320_016_02_case5</v>
          </cell>
        </row>
        <row r="771">
          <cell r="C771" t="str">
            <v>Function_AcuRev1320_016_02_case6</v>
          </cell>
        </row>
        <row r="772">
          <cell r="C772" t="str">
            <v>Function_AcuRev1320_016_02_case7</v>
          </cell>
        </row>
        <row r="773">
          <cell r="C773" t="str">
            <v>Function_AcuRev1320_016_02_case8</v>
          </cell>
        </row>
        <row r="774">
          <cell r="C774" t="str">
            <v>Function_AcuRev1320_016_02_case9</v>
          </cell>
        </row>
        <row r="775">
          <cell r="C775" t="str">
            <v>Function_AcuRev1320_016_02_case10</v>
          </cell>
        </row>
        <row r="776">
          <cell r="C776" t="str">
            <v>Function_AcuRev1320_016_02_case11</v>
          </cell>
        </row>
        <row r="777">
          <cell r="C777" t="str">
            <v>Function_AcuRev1320_016_02_case12</v>
          </cell>
        </row>
        <row r="778">
          <cell r="C778" t="str">
            <v>Function_AcuRev1320_016_03_case1</v>
          </cell>
        </row>
        <row r="779">
          <cell r="C779" t="str">
            <v>Function_AcuRev1320_016_03_case2</v>
          </cell>
        </row>
        <row r="780">
          <cell r="C780" t="str">
            <v>Function_AcuRev1320_016_03_case3</v>
          </cell>
        </row>
        <row r="781">
          <cell r="C781" t="str">
            <v>Function_AcuRev1320_016_03_case4</v>
          </cell>
        </row>
        <row r="782">
          <cell r="C782" t="str">
            <v>Function_AcuRev1320_016_03_case5</v>
          </cell>
        </row>
        <row r="783">
          <cell r="C783" t="str">
            <v>Function_AcuRev1320_017_01_case1</v>
          </cell>
        </row>
        <row r="784">
          <cell r="C784" t="str">
            <v>Function_AcuRev1320_017_01_case2</v>
          </cell>
        </row>
        <row r="785">
          <cell r="C785" t="str">
            <v>Function_AcuRev1320_017_01_case3</v>
          </cell>
        </row>
        <row r="786">
          <cell r="C786" t="str">
            <v>Function_AcuRev1320_017_01_case4</v>
          </cell>
        </row>
        <row r="787">
          <cell r="C787" t="str">
            <v>Function_AcuRev1320_017_01_case5</v>
          </cell>
        </row>
        <row r="788">
          <cell r="C788" t="str">
            <v>Function_AcuRev1320_017_01_case6</v>
          </cell>
        </row>
        <row r="789">
          <cell r="C789" t="str">
            <v>Function_AcuRev1320_017_01_case7</v>
          </cell>
        </row>
        <row r="790">
          <cell r="C790" t="str">
            <v>Function_AcuRev1320_017_01_case8</v>
          </cell>
        </row>
        <row r="791">
          <cell r="C791" t="str">
            <v>Function_AcuRev1320_017_01_case9</v>
          </cell>
        </row>
        <row r="792">
          <cell r="C792" t="str">
            <v>Function_AcuRev1320_017_01_case10</v>
          </cell>
        </row>
        <row r="793">
          <cell r="C793" t="str">
            <v>Function_AcuRev1320_017_01_case11</v>
          </cell>
        </row>
        <row r="794">
          <cell r="C794" t="str">
            <v>Function_AcuRev1320_017_01_case12</v>
          </cell>
        </row>
        <row r="795">
          <cell r="C795" t="str">
            <v>Function_AcuRev1320_017_01_case13</v>
          </cell>
        </row>
        <row r="796">
          <cell r="C796" t="str">
            <v>Function_AcuRev1320_017_01_case14</v>
          </cell>
        </row>
        <row r="797">
          <cell r="C797" t="str">
            <v>Function_AcuRev1320_017_01_case15</v>
          </cell>
        </row>
        <row r="798">
          <cell r="C798" t="str">
            <v>Function_AcuRev1320_017_01_case16</v>
          </cell>
        </row>
        <row r="799">
          <cell r="C799" t="str">
            <v>Function_AcuRev1320_017_01_case17</v>
          </cell>
        </row>
        <row r="800">
          <cell r="C800" t="str">
            <v>Function_AcuRev1320_017_01_case18</v>
          </cell>
        </row>
        <row r="801">
          <cell r="C801" t="str">
            <v>Function_AcuRev1320_017_01_case19</v>
          </cell>
        </row>
        <row r="802">
          <cell r="C802" t="str">
            <v>Function_AcuRev1320_017_01_case20</v>
          </cell>
        </row>
        <row r="803">
          <cell r="C803" t="str">
            <v>Function_AcuRev1320_017_01_case21</v>
          </cell>
        </row>
        <row r="804">
          <cell r="C804" t="str">
            <v>Function_AcuRev1320_017_01_case22</v>
          </cell>
        </row>
        <row r="805">
          <cell r="C805" t="str">
            <v>Function_AcuRev1320_017_01_case23</v>
          </cell>
        </row>
        <row r="806">
          <cell r="C806" t="str">
            <v>Function_AcuRev1320_017_01_case24</v>
          </cell>
        </row>
        <row r="807">
          <cell r="C807" t="str">
            <v>Function_AcuRev1320_017_01_case25</v>
          </cell>
        </row>
        <row r="808">
          <cell r="C808" t="str">
            <v>Function_AcuRev1320_017_01_case26</v>
          </cell>
        </row>
        <row r="809">
          <cell r="C809" t="str">
            <v>Function_AcuRev1320_017_01_case27</v>
          </cell>
        </row>
        <row r="810">
          <cell r="C810" t="str">
            <v>Function_AcuRev1320_017_01_case28</v>
          </cell>
        </row>
        <row r="811">
          <cell r="C811" t="str">
            <v>Function_AcuRev1320_017_01_case29</v>
          </cell>
        </row>
        <row r="812">
          <cell r="C812" t="str">
            <v>Function_AcuRev1320_017_01_case30</v>
          </cell>
        </row>
        <row r="813">
          <cell r="C813" t="str">
            <v>Function_AcuRev1320_017_01_case31</v>
          </cell>
        </row>
        <row r="814">
          <cell r="C814" t="str">
            <v>Function_AcuRev1320_017_02_case1</v>
          </cell>
        </row>
        <row r="815">
          <cell r="C815" t="str">
            <v>Function_AcuRev1320_017_02_case2</v>
          </cell>
        </row>
        <row r="816">
          <cell r="C816" t="str">
            <v>Function_AcuRev1320_017_02_case3</v>
          </cell>
        </row>
        <row r="817">
          <cell r="C817" t="str">
            <v>Function_AcuRev1320_017_02_case4</v>
          </cell>
        </row>
        <row r="818">
          <cell r="C818" t="str">
            <v>Function_AcuRev1320_017_02_case5</v>
          </cell>
        </row>
        <row r="819">
          <cell r="C819" t="str">
            <v>Function_AcuRev1320_017_02_case6</v>
          </cell>
        </row>
        <row r="820">
          <cell r="C820" t="str">
            <v>Function_AcuRev1320_017_02_case7</v>
          </cell>
        </row>
        <row r="821">
          <cell r="C821" t="str">
            <v>Function_AcuRev1320_017_02_case8</v>
          </cell>
        </row>
        <row r="822">
          <cell r="C822" t="str">
            <v>Function_AcuRev1320_017_02_case9</v>
          </cell>
        </row>
        <row r="823">
          <cell r="C823" t="str">
            <v>Function_AcuRev1320_017_02_case10</v>
          </cell>
        </row>
        <row r="824">
          <cell r="C824" t="str">
            <v>Function_AcuRev1320_017_02_case11</v>
          </cell>
        </row>
        <row r="825">
          <cell r="C825" t="str">
            <v>Function_AcuRev1320_017_02_case12</v>
          </cell>
        </row>
        <row r="826">
          <cell r="C826" t="str">
            <v>Function_AcuRev1320_017_02_case13</v>
          </cell>
        </row>
        <row r="827">
          <cell r="C827" t="str">
            <v>Function_AcuRev1320_017_02_case14</v>
          </cell>
        </row>
        <row r="828">
          <cell r="C828" t="str">
            <v>Function_AcuRev1320_017_02_case15</v>
          </cell>
        </row>
        <row r="829">
          <cell r="C829" t="str">
            <v>Function_AcuRev1320_017_02_case16</v>
          </cell>
        </row>
        <row r="830">
          <cell r="C830" t="str">
            <v>Function_AcuRev1320_017_02_case17</v>
          </cell>
        </row>
        <row r="831">
          <cell r="C831" t="str">
            <v>Function_AcuRev1320_017_02_case18</v>
          </cell>
        </row>
        <row r="832">
          <cell r="C832" t="str">
            <v>Function_AcuRev1320_017_02_case19</v>
          </cell>
        </row>
        <row r="833">
          <cell r="C833" t="str">
            <v>Function_AcuRev1320_017_03_case1</v>
          </cell>
        </row>
        <row r="834">
          <cell r="C834" t="str">
            <v>Function_AcuRev1320_017_03_case2</v>
          </cell>
        </row>
        <row r="835">
          <cell r="C835" t="str">
            <v>Function_AcuRev1320_017_03_case3</v>
          </cell>
        </row>
        <row r="836">
          <cell r="C836" t="str">
            <v>Function_AcuRev1320_017_03_case4</v>
          </cell>
        </row>
        <row r="837">
          <cell r="C837" t="str">
            <v>Function_AcuRev1320_017_03_case5</v>
          </cell>
        </row>
        <row r="838">
          <cell r="C838" t="str">
            <v>Function_AcuRev1320_017_03_case6</v>
          </cell>
        </row>
        <row r="839">
          <cell r="C839" t="str">
            <v>Function_AcuRev1320_017_03_case7</v>
          </cell>
        </row>
        <row r="840">
          <cell r="C840" t="str">
            <v>Function_AcuRev1320_017_03_case8</v>
          </cell>
        </row>
        <row r="841">
          <cell r="C841" t="str">
            <v>Function_AcuRev1320_017_03_case9</v>
          </cell>
        </row>
        <row r="842">
          <cell r="C842" t="str">
            <v>Function_AcuRev1320_017_03_case10</v>
          </cell>
        </row>
        <row r="843">
          <cell r="C843" t="str">
            <v>Function_AcuRev1320_017_03_case11</v>
          </cell>
        </row>
        <row r="844">
          <cell r="C844" t="str">
            <v>Function_AcuRev1320_017_03_case12</v>
          </cell>
        </row>
        <row r="845">
          <cell r="C845" t="str">
            <v>Function_AcuRev1320_017_04_case1</v>
          </cell>
        </row>
        <row r="846">
          <cell r="C846" t="str">
            <v>Function_AcuRev1320_017_04_case2</v>
          </cell>
        </row>
        <row r="847">
          <cell r="C847" t="str">
            <v>Function_AcuRev1320_017_04_case3</v>
          </cell>
        </row>
        <row r="848">
          <cell r="C848" t="str">
            <v>Function_AcuRev1320_017_04_case4</v>
          </cell>
        </row>
        <row r="849">
          <cell r="C849" t="str">
            <v>Function_AcuRev1320_017_04_case5</v>
          </cell>
        </row>
        <row r="850">
          <cell r="C850" t="str">
            <v>Function_AcuRev1320_017_04_case6</v>
          </cell>
        </row>
        <row r="851">
          <cell r="C851" t="str">
            <v>Function_AcuRev1320_017_05_case1</v>
          </cell>
        </row>
        <row r="852">
          <cell r="C852" t="str">
            <v>Function_AcuRev1320_017_05_case2</v>
          </cell>
        </row>
        <row r="853">
          <cell r="C853" t="str">
            <v>Function_AcuRev1320_017_05_case3</v>
          </cell>
        </row>
        <row r="854">
          <cell r="C854" t="str">
            <v>Function_AcuRev1320_017_05_case4</v>
          </cell>
        </row>
        <row r="855">
          <cell r="C855" t="str">
            <v>Function_AcuRev1320_017_05_case5</v>
          </cell>
        </row>
        <row r="856">
          <cell r="C856" t="str">
            <v>Function_AcuRev1320_017_06_case1</v>
          </cell>
        </row>
        <row r="857">
          <cell r="C857" t="str">
            <v>Function_AcuRev1320_017_06_case2</v>
          </cell>
        </row>
        <row r="858">
          <cell r="C858" t="str">
            <v>Function_AcuRev1320_017_06_case3</v>
          </cell>
        </row>
        <row r="859">
          <cell r="C859" t="str">
            <v>Function_AcuRev1320_018_01_case1</v>
          </cell>
        </row>
        <row r="860">
          <cell r="C860" t="str">
            <v>Function_AcuRev1320_018_01_case2</v>
          </cell>
        </row>
        <row r="861">
          <cell r="C861" t="str">
            <v>Function_AcuRev1320_018_01_case3</v>
          </cell>
        </row>
        <row r="862">
          <cell r="C862" t="str">
            <v>Function_AcuRev1320_018_01_case4</v>
          </cell>
        </row>
        <row r="863">
          <cell r="C863" t="str">
            <v>Function_AcuRev1320_018_01_case5</v>
          </cell>
        </row>
        <row r="864">
          <cell r="C864" t="str">
            <v>Function_AcuRev1320_018_01_case6</v>
          </cell>
        </row>
        <row r="865">
          <cell r="C865" t="str">
            <v>Function_AcuRev1320_018_01_case7</v>
          </cell>
        </row>
        <row r="866">
          <cell r="C866" t="str">
            <v>Function_AcuRev1320_018_01_case8</v>
          </cell>
        </row>
        <row r="867">
          <cell r="C867" t="str">
            <v>Function_AcuRev1320_018_01_case9</v>
          </cell>
        </row>
        <row r="868">
          <cell r="C868" t="str">
            <v>Function_AcuRev1320_018_01_case10</v>
          </cell>
        </row>
        <row r="869">
          <cell r="C869" t="str">
            <v>Function_AcuRev1320_018_01_case11</v>
          </cell>
        </row>
        <row r="870">
          <cell r="C870" t="str">
            <v>Function_AcuRev1320_018_01_case12</v>
          </cell>
        </row>
        <row r="871">
          <cell r="C871" t="str">
            <v>Function_AcuRev1320_018_01_case13</v>
          </cell>
        </row>
        <row r="872">
          <cell r="C872" t="str">
            <v>Function_AcuRev1320_018_01_case14</v>
          </cell>
        </row>
        <row r="873">
          <cell r="C873" t="str">
            <v>Function_AcuRev1320_018_01_case15</v>
          </cell>
        </row>
        <row r="874">
          <cell r="C874" t="str">
            <v>Function_AcuRev1320_018_01_case16</v>
          </cell>
        </row>
        <row r="875">
          <cell r="C875" t="str">
            <v>Function_AcuRev1320_018_01_case17</v>
          </cell>
        </row>
        <row r="876">
          <cell r="C876" t="str">
            <v>Function_AcuRev1320_018_01_case18</v>
          </cell>
        </row>
        <row r="877">
          <cell r="C877" t="str">
            <v>Function_AcuRev1320_018_01_case19</v>
          </cell>
        </row>
        <row r="878">
          <cell r="C878" t="str">
            <v>Function_AcuRev1320_018_01_case20</v>
          </cell>
        </row>
        <row r="879">
          <cell r="C879" t="str">
            <v>Function_AcuRev1320_018_01_case21</v>
          </cell>
        </row>
        <row r="880">
          <cell r="C880" t="str">
            <v>Function_AcuRev1320_018_01_case22</v>
          </cell>
        </row>
        <row r="881">
          <cell r="C881" t="str">
            <v>Function_AcuRev1320_018_01_case23</v>
          </cell>
        </row>
        <row r="882">
          <cell r="C882" t="str">
            <v>Function_AcuRev1320_018_01_case24</v>
          </cell>
        </row>
        <row r="883">
          <cell r="C883" t="str">
            <v>Function_AcuRev1320_018_01_case25</v>
          </cell>
        </row>
        <row r="884">
          <cell r="C884" t="str">
            <v>Function_AcuRev1320_018_01_case26</v>
          </cell>
        </row>
        <row r="885">
          <cell r="C885" t="str">
            <v>Function_AcuRev1320_018_01_case27</v>
          </cell>
        </row>
        <row r="886">
          <cell r="C886" t="str">
            <v>Function_AcuRev1320_018_01_case28</v>
          </cell>
        </row>
        <row r="887">
          <cell r="C887" t="str">
            <v>Function_AcuRev1320_018_01_case29</v>
          </cell>
        </row>
        <row r="888">
          <cell r="C888" t="str">
            <v>Function_AcuRev1320_018_01_case30</v>
          </cell>
        </row>
        <row r="889">
          <cell r="C889" t="str">
            <v>Function_AcuRev1320_018_01_case31</v>
          </cell>
        </row>
        <row r="890">
          <cell r="C890" t="str">
            <v>Function_AcuRev1320_018_01_case32</v>
          </cell>
        </row>
        <row r="891">
          <cell r="C891" t="str">
            <v>Function_AcuRev1320_018_01_case33</v>
          </cell>
        </row>
        <row r="892">
          <cell r="C892" t="str">
            <v>Function_AcuRev1320_018_01_case34</v>
          </cell>
        </row>
        <row r="893">
          <cell r="C893" t="str">
            <v>Function_AcuRev1320_018_01_case35</v>
          </cell>
        </row>
        <row r="894">
          <cell r="C894" t="str">
            <v>Function_AcuRev1320_018_01_case36</v>
          </cell>
        </row>
        <row r="895">
          <cell r="C895" t="str">
            <v>Function_AcuRev1320_018_01_case37</v>
          </cell>
        </row>
        <row r="896">
          <cell r="C896" t="str">
            <v>Function_AcuRev1320_018_01_case38</v>
          </cell>
        </row>
        <row r="897">
          <cell r="C897" t="str">
            <v>Function_AcuRev1320_018_01_case39</v>
          </cell>
        </row>
        <row r="898">
          <cell r="C898" t="str">
            <v>Function_AcuRev1320_018_01_case40</v>
          </cell>
        </row>
        <row r="899">
          <cell r="C899" t="str">
            <v>Function_AcuRev1320_018_01_case41</v>
          </cell>
        </row>
        <row r="900">
          <cell r="C900" t="str">
            <v>Function_AcuRev1320_018_02_case1</v>
          </cell>
        </row>
        <row r="901">
          <cell r="C901" t="str">
            <v>Function_AcuRev1320_018_02_case2</v>
          </cell>
        </row>
        <row r="902">
          <cell r="C902" t="str">
            <v>Function_AcuRev1320_018_02_case3</v>
          </cell>
        </row>
        <row r="903">
          <cell r="C903" t="str">
            <v>Function_AcuRev1320_018_02_case4</v>
          </cell>
        </row>
        <row r="904">
          <cell r="C904" t="str">
            <v>Function_AcuRev1320_018_02_case5</v>
          </cell>
        </row>
        <row r="905">
          <cell r="C905" t="str">
            <v>Function_AcuRev1320_018_02_case6</v>
          </cell>
        </row>
        <row r="906">
          <cell r="C906" t="str">
            <v>Function_AcuRev1320_018_02_case7</v>
          </cell>
        </row>
        <row r="907">
          <cell r="C907" t="str">
            <v>Function_AcuRev1320_018_02_case8</v>
          </cell>
        </row>
        <row r="908">
          <cell r="C908" t="str">
            <v>Function_AcuRev1320_018_02_case9</v>
          </cell>
        </row>
        <row r="909">
          <cell r="C909" t="str">
            <v>Function_AcuRev1320_018_02_case10</v>
          </cell>
        </row>
        <row r="910">
          <cell r="C910" t="str">
            <v>Function_AcuRev1320_018_02_case11</v>
          </cell>
        </row>
        <row r="911">
          <cell r="C911" t="str">
            <v>Function_AcuRev1320_018_02_case12</v>
          </cell>
        </row>
        <row r="912">
          <cell r="C912" t="str">
            <v>Function_AcuRev1320_018_02_case13</v>
          </cell>
        </row>
        <row r="913">
          <cell r="C913" t="str">
            <v>Function_AcuRev1320_018_02_case14</v>
          </cell>
        </row>
        <row r="914">
          <cell r="C914" t="str">
            <v>Function_AcuRev1320_018_02_case15</v>
          </cell>
        </row>
        <row r="915">
          <cell r="C915" t="str">
            <v>Function_AcuRev1320_018_02_case16</v>
          </cell>
        </row>
        <row r="916">
          <cell r="C916" t="str">
            <v>Function_AcuRev1320_018_02_case17</v>
          </cell>
        </row>
        <row r="917">
          <cell r="C917" t="str">
            <v>Function_AcuRev1320_018_02_case18</v>
          </cell>
        </row>
        <row r="918">
          <cell r="C918" t="str">
            <v>Function_AcuRev1320_019_01_case01</v>
          </cell>
        </row>
        <row r="919">
          <cell r="C919" t="str">
            <v>Function_AcuRev1320_019_01_case01_01</v>
          </cell>
        </row>
        <row r="920">
          <cell r="C920" t="str">
            <v>Function_AcuRev1320_019_01_case02</v>
          </cell>
        </row>
        <row r="921">
          <cell r="C921" t="str">
            <v>Function_AcuRev1320_019_01_case03</v>
          </cell>
        </row>
        <row r="922">
          <cell r="C922" t="str">
            <v>Function_AcuRev1320_019_01_case04</v>
          </cell>
        </row>
        <row r="923">
          <cell r="C923" t="str">
            <v>Function_AcuRev1320_019_01_case05</v>
          </cell>
        </row>
        <row r="924">
          <cell r="C924" t="str">
            <v>Function_AcuRev1320_019_01_case06</v>
          </cell>
        </row>
        <row r="925">
          <cell r="C925" t="str">
            <v>Function_AcuRev1320_019_01_case07</v>
          </cell>
        </row>
        <row r="926">
          <cell r="C926" t="str">
            <v>Function_AcuRev1320_019_01_case08</v>
          </cell>
        </row>
        <row r="927">
          <cell r="C927" t="str">
            <v>Function_AcuRev1320_019_01_case09</v>
          </cell>
        </row>
        <row r="928">
          <cell r="C928" t="str">
            <v>Function_AcuRev1320_019_01_case10</v>
          </cell>
        </row>
        <row r="929">
          <cell r="C929" t="str">
            <v>Function_AcuRev1320_019_01_case11</v>
          </cell>
        </row>
        <row r="930">
          <cell r="C930" t="str">
            <v>Function_AcuRev1320_019_01_case12</v>
          </cell>
        </row>
        <row r="931">
          <cell r="C931" t="str">
            <v>Function_AcuRev1320_019_01_case13</v>
          </cell>
        </row>
        <row r="932">
          <cell r="C932" t="str">
            <v>Function_AcuRev1320_019_01_case14</v>
          </cell>
        </row>
        <row r="933">
          <cell r="C933" t="str">
            <v>Function_AcuRev1320_019_01_case15</v>
          </cell>
        </row>
        <row r="934">
          <cell r="C934" t="str">
            <v>Function_AcuRev1320_019_01_case16</v>
          </cell>
        </row>
        <row r="935">
          <cell r="C935" t="str">
            <v>Function_AcuRev1320_019_01_case17</v>
          </cell>
        </row>
        <row r="936">
          <cell r="C936" t="str">
            <v>Function_AcuRev1320_019_01_case18</v>
          </cell>
        </row>
        <row r="937">
          <cell r="C937" t="str">
            <v>Function_AcuRev1320_019_01_case19</v>
          </cell>
        </row>
        <row r="938">
          <cell r="C938" t="str">
            <v>Function_AcuRev1320_019_01_case20</v>
          </cell>
        </row>
        <row r="939">
          <cell r="C939" t="str">
            <v>Function_AcuRev1320_019_01_case21</v>
          </cell>
        </row>
        <row r="940">
          <cell r="C940" t="str">
            <v>Function_AcuRev1320_019_01_case22</v>
          </cell>
        </row>
        <row r="941">
          <cell r="C941" t="str">
            <v>Function_AcuRev1320_019_01_case23</v>
          </cell>
        </row>
        <row r="942">
          <cell r="C942" t="str">
            <v>Function_AcuRev1320_019_01_case24</v>
          </cell>
        </row>
        <row r="943">
          <cell r="C943" t="str">
            <v>Function_AcuRev1320_019_01_case25</v>
          </cell>
        </row>
        <row r="944">
          <cell r="C944" t="str">
            <v>Function_AcuRev1320_019_01_case26</v>
          </cell>
        </row>
        <row r="945">
          <cell r="C945" t="str">
            <v>Function_AcuRev1320_019_01_case27</v>
          </cell>
        </row>
        <row r="946">
          <cell r="C946" t="str">
            <v>Function_AcuRev1320_020_01_case01</v>
          </cell>
        </row>
        <row r="947">
          <cell r="C947" t="str">
            <v>Function_AcuRev1320_020_01_case02</v>
          </cell>
        </row>
        <row r="948">
          <cell r="C948" t="str">
            <v>Function_AcuRev1320_020_01_case03</v>
          </cell>
        </row>
        <row r="949">
          <cell r="C949" t="str">
            <v>Function_AcuRev1320_020_01_case04</v>
          </cell>
        </row>
        <row r="950">
          <cell r="C950" t="str">
            <v>Function_AcuRev1320_020_01_case05</v>
          </cell>
        </row>
        <row r="951">
          <cell r="C951" t="str">
            <v>Function_AcuRev1320_020_01_case06</v>
          </cell>
        </row>
        <row r="952">
          <cell r="C952" t="str">
            <v>Function_AcuRev1320_020_01_case07</v>
          </cell>
        </row>
        <row r="953">
          <cell r="C953" t="str">
            <v>Function_AcuRev1320_020_01_case08</v>
          </cell>
        </row>
        <row r="954">
          <cell r="C954" t="str">
            <v>Function_AcuRev1320_020_01_case09</v>
          </cell>
        </row>
        <row r="955">
          <cell r="C955" t="str">
            <v>Function_AcuRev1320_020_01_case10</v>
          </cell>
        </row>
        <row r="956">
          <cell r="C956" t="str">
            <v>Function_AcuRev1320_020_01_case11</v>
          </cell>
        </row>
        <row r="957">
          <cell r="C957" t="str">
            <v>Function_AcuRev1320_020_01_case12</v>
          </cell>
        </row>
        <row r="958">
          <cell r="C958" t="str">
            <v>Function_AcuRev1320_020_01_case13</v>
          </cell>
        </row>
        <row r="959">
          <cell r="C959" t="str">
            <v>Function_AcuRev1320_020_01_case14</v>
          </cell>
        </row>
        <row r="960">
          <cell r="C960" t="str">
            <v>Function_AcuRev1320_020_01_case15</v>
          </cell>
        </row>
        <row r="961">
          <cell r="C961" t="str">
            <v>Function_AcuRev1320_020_01_case16</v>
          </cell>
        </row>
        <row r="962">
          <cell r="C962" t="str">
            <v>Function_AcuRev1320_020_01_case17</v>
          </cell>
        </row>
        <row r="963">
          <cell r="C963" t="str">
            <v>Function_AcuRev1320_020_01_case18</v>
          </cell>
        </row>
        <row r="964">
          <cell r="C964" t="str">
            <v>Function_AcuRev1320_020_01_case19</v>
          </cell>
        </row>
        <row r="965">
          <cell r="C965" t="str">
            <v>Function_AcuRev1320_020_01_case20</v>
          </cell>
        </row>
        <row r="966">
          <cell r="C966" t="str">
            <v>Function_AcuRev1320_020_01_case21</v>
          </cell>
        </row>
        <row r="967">
          <cell r="C967" t="str">
            <v>Function_AcuRev1320_020_01_case22</v>
          </cell>
        </row>
        <row r="968">
          <cell r="C968" t="str">
            <v>Function_AcuRev1320_020_01_case23</v>
          </cell>
        </row>
        <row r="969">
          <cell r="C969" t="str">
            <v>Function_AcuRev1320_020_01_case24</v>
          </cell>
        </row>
        <row r="970">
          <cell r="C970" t="str">
            <v>Function_AcuRev1320_020_01_case25</v>
          </cell>
        </row>
        <row r="971">
          <cell r="C971" t="str">
            <v>Function_AcuRev1320_020_01_case26</v>
          </cell>
        </row>
        <row r="972">
          <cell r="C972" t="str">
            <v>Function_AcuRev1320_020_01_case27</v>
          </cell>
        </row>
        <row r="973">
          <cell r="C973" t="str">
            <v>Function_AcuRev1320_020_01_case28</v>
          </cell>
        </row>
        <row r="974">
          <cell r="C974" t="str">
            <v>Function_AcuRev1320_020_01_case29</v>
          </cell>
        </row>
        <row r="975">
          <cell r="C975" t="str">
            <v>Function_AcuRev1320_020_01_case30</v>
          </cell>
        </row>
        <row r="976">
          <cell r="C976" t="str">
            <v>Function_AcuRev1320_020_01_case31</v>
          </cell>
        </row>
        <row r="977">
          <cell r="C977" t="str">
            <v>Function_AcuRev1320_020_01_case32</v>
          </cell>
        </row>
        <row r="978">
          <cell r="C978" t="str">
            <v>Function_AcuRev1320_021_01_case1</v>
          </cell>
        </row>
        <row r="979">
          <cell r="C979" t="str">
            <v>Function_AcuRev1320_021_01_case2</v>
          </cell>
        </row>
        <row r="980">
          <cell r="C980" t="str">
            <v>Function_AcuRev1320_021_01_case3</v>
          </cell>
        </row>
        <row r="981">
          <cell r="C981" t="str">
            <v>Function_AcuRev1320_021_01_case4</v>
          </cell>
        </row>
        <row r="982">
          <cell r="C982" t="str">
            <v>Function_AcuRev1320_021_01_case5</v>
          </cell>
        </row>
        <row r="983">
          <cell r="C983" t="str">
            <v>Function_AcuRev1320_021_01_case6</v>
          </cell>
        </row>
        <row r="984">
          <cell r="C984" t="str">
            <v>Function_AcuRev1320_021_01_case7</v>
          </cell>
        </row>
        <row r="985">
          <cell r="C985" t="str">
            <v>Function_AcuRev1320_021_01_case8</v>
          </cell>
        </row>
        <row r="986">
          <cell r="C986" t="str">
            <v>Function_AcuRev1320_021_01_case9</v>
          </cell>
        </row>
        <row r="987">
          <cell r="C987" t="str">
            <v>Function_AcuRev1320_021_01_case10</v>
          </cell>
        </row>
        <row r="988">
          <cell r="C988" t="str">
            <v>Function_AcuRev1320_021_01_case11</v>
          </cell>
        </row>
        <row r="989">
          <cell r="C989" t="str">
            <v>Function_AcuRev1320_021_01_case12</v>
          </cell>
        </row>
        <row r="990">
          <cell r="C990" t="str">
            <v>Function_AcuRev1320_021_01_case13</v>
          </cell>
        </row>
        <row r="991">
          <cell r="C991" t="str">
            <v>Function_AcuRev1320_021_01_case14</v>
          </cell>
        </row>
        <row r="992">
          <cell r="C992" t="str">
            <v>Function_AcuRev1320_021_01_case15</v>
          </cell>
        </row>
        <row r="993">
          <cell r="C993" t="str">
            <v>Function_AcuRev1320_021_01_case16</v>
          </cell>
        </row>
        <row r="994">
          <cell r="C994" t="str">
            <v>Function_AcuRev1320_021_01_case17</v>
          </cell>
        </row>
        <row r="995">
          <cell r="C995" t="str">
            <v>Function_AcuRev1320_021_01_case18</v>
          </cell>
        </row>
        <row r="996">
          <cell r="C996" t="str">
            <v>Function_AcuRev1320_021_01_case19</v>
          </cell>
        </row>
        <row r="997">
          <cell r="C997" t="str">
            <v>Function_AcuRev1320_021_01_case20</v>
          </cell>
        </row>
        <row r="998">
          <cell r="C998" t="str">
            <v>Function_AcuRev1320_021_01_case21</v>
          </cell>
        </row>
        <row r="999">
          <cell r="C999" t="str">
            <v>Function_AcuRev1320_021_01_case22</v>
          </cell>
        </row>
        <row r="1000">
          <cell r="C1000" t="str">
            <v>Function_AcuRev1320_021_01_case23</v>
          </cell>
        </row>
        <row r="1001">
          <cell r="C1001" t="str">
            <v>Function_AcuRev1320_021_01_case24</v>
          </cell>
        </row>
        <row r="1002">
          <cell r="C1002" t="str">
            <v>Function_AcuRev1320_021_01_case25</v>
          </cell>
        </row>
        <row r="1003">
          <cell r="C1003" t="str">
            <v>Function_AcuRev1320_021_01_case26</v>
          </cell>
        </row>
        <row r="1004">
          <cell r="C1004" t="str">
            <v>Function_AcuRev1320_021_01_case27</v>
          </cell>
        </row>
        <row r="1005">
          <cell r="C1005" t="str">
            <v>Function_AcuRev1320_021_01_case28</v>
          </cell>
        </row>
        <row r="1006">
          <cell r="C1006" t="str">
            <v>Function_AcuRev1320_021_01_case29</v>
          </cell>
        </row>
        <row r="1007">
          <cell r="C1007" t="str">
            <v>Function_AcuRev1320_021_01_case30</v>
          </cell>
        </row>
        <row r="1008">
          <cell r="C1008" t="str">
            <v>Function_AcuRev1320_021_01_case31</v>
          </cell>
        </row>
        <row r="1009">
          <cell r="C1009" t="str">
            <v>Function_AcuRev1320_021_01_case32</v>
          </cell>
        </row>
        <row r="1010">
          <cell r="C1010" t="str">
            <v>Function_AcuRev1320_021_01_case33</v>
          </cell>
        </row>
        <row r="1011">
          <cell r="C1011" t="str">
            <v>Function_AcuRev1320_021_01_case34</v>
          </cell>
        </row>
        <row r="1012">
          <cell r="C1012" t="str">
            <v>Function_AcuRev1320_021_01_case35</v>
          </cell>
        </row>
        <row r="1013">
          <cell r="C1013" t="str">
            <v>Function_AcuRev1320_021_01_case36</v>
          </cell>
        </row>
        <row r="1014">
          <cell r="C1014" t="str">
            <v>Function_AcuRev1320_021_01_case37</v>
          </cell>
        </row>
        <row r="1015">
          <cell r="C1015" t="str">
            <v>Function_AcuRev1320_021_01_case40</v>
          </cell>
        </row>
        <row r="1016">
          <cell r="C1016" t="str">
            <v>Function_AcuRev1320_021_01_case41</v>
          </cell>
        </row>
        <row r="1017">
          <cell r="C1017" t="str">
            <v>Function_AcuRev1320_021_01_case42</v>
          </cell>
        </row>
        <row r="1018">
          <cell r="C1018" t="str">
            <v>Function_AcuRev1320_021_01_case43</v>
          </cell>
        </row>
        <row r="1019">
          <cell r="C1019" t="str">
            <v>Function_AcuRev1320_021_01_case44</v>
          </cell>
        </row>
        <row r="1020">
          <cell r="C1020" t="str">
            <v>Function_AcuRev1320_021_01_case45</v>
          </cell>
        </row>
        <row r="1021">
          <cell r="C1021" t="str">
            <v>Function_AcuRev1320_021_01_case46</v>
          </cell>
        </row>
        <row r="1022">
          <cell r="C1022" t="str">
            <v>Function_AcuRev1320_021_01_case47</v>
          </cell>
        </row>
        <row r="1023">
          <cell r="C1023" t="str">
            <v>Function_AcuRev1320_021_01_case48</v>
          </cell>
        </row>
        <row r="1024">
          <cell r="C1024" t="str">
            <v>Function_AcuRev1320_021_01_case49</v>
          </cell>
        </row>
        <row r="1025">
          <cell r="C1025" t="str">
            <v>Function_AcuRev1320_021_01_case50</v>
          </cell>
        </row>
        <row r="1026">
          <cell r="C1026" t="str">
            <v>Function_AcuRev1320_021_01_case51</v>
          </cell>
        </row>
        <row r="1027">
          <cell r="C1027" t="str">
            <v>Function_AcuRev1320_021_01_case52</v>
          </cell>
        </row>
        <row r="1028">
          <cell r="C1028" t="str">
            <v>Function_AcuRev1320_021_01_case53</v>
          </cell>
        </row>
        <row r="1029">
          <cell r="C1029" t="str">
            <v>Function_AcuRev1320_021_01_case54</v>
          </cell>
        </row>
        <row r="1030">
          <cell r="C1030" t="str">
            <v>Function_AcuRev1320_021_01_case55</v>
          </cell>
        </row>
        <row r="1031">
          <cell r="C1031" t="str">
            <v>Function_AcuRev1320_021_01_case56</v>
          </cell>
        </row>
        <row r="1032">
          <cell r="C1032" t="str">
            <v>Function_AcuRev1320_021_02_case1</v>
          </cell>
        </row>
        <row r="1033">
          <cell r="C1033" t="str">
            <v>Function_AcuRev1320_021_02_case2</v>
          </cell>
        </row>
        <row r="1034">
          <cell r="C1034" t="str">
            <v>Function_AcuRev1320_021_02_case3</v>
          </cell>
        </row>
        <row r="1035">
          <cell r="C1035" t="str">
            <v>Function_AcuRev1320_021_02_case4</v>
          </cell>
        </row>
        <row r="1036">
          <cell r="C1036" t="str">
            <v>Function_AcuRev1320_021_02_case5</v>
          </cell>
        </row>
        <row r="1037">
          <cell r="C1037" t="str">
            <v>Function_AcuRev1320_021_02_case6</v>
          </cell>
        </row>
        <row r="1038">
          <cell r="C1038" t="str">
            <v>Function_AcuRev1320_021_02_case7</v>
          </cell>
        </row>
        <row r="1039">
          <cell r="C1039" t="str">
            <v>Function_AcuRev1320_021_02_case8</v>
          </cell>
        </row>
        <row r="1040">
          <cell r="C1040" t="str">
            <v>Function_AcuRev1320_021_02_case9</v>
          </cell>
        </row>
        <row r="1041">
          <cell r="C1041" t="str">
            <v>Function_AcuRev1320_021_02_case10</v>
          </cell>
        </row>
        <row r="1042">
          <cell r="C1042" t="str">
            <v>Function_AcuRev1320_021_03_case1</v>
          </cell>
        </row>
        <row r="1043">
          <cell r="C1043" t="str">
            <v>Function_AcuRev1320_021_03_case2</v>
          </cell>
        </row>
        <row r="1044">
          <cell r="C1044" t="str">
            <v>Function_AcuRev1320_021_03_case3</v>
          </cell>
        </row>
        <row r="1045">
          <cell r="C1045" t="str">
            <v>Function_AcuRev1320_021_03_case4</v>
          </cell>
        </row>
        <row r="1046">
          <cell r="C1046" t="str">
            <v>Function_AcuRev1320_021_03_case5</v>
          </cell>
        </row>
        <row r="1047">
          <cell r="C1047" t="str">
            <v>Function_AcuRev1320_021_03_case6</v>
          </cell>
        </row>
        <row r="1048">
          <cell r="C1048" t="str">
            <v>Function_AcuRev1320_021_04_case1</v>
          </cell>
        </row>
        <row r="1049">
          <cell r="C1049" t="str">
            <v>Function_AcuRev1320_021_04_case2</v>
          </cell>
        </row>
        <row r="1050">
          <cell r="C1050" t="str">
            <v>Function_AcuRev1320_021_04_case3</v>
          </cell>
        </row>
        <row r="1051">
          <cell r="C1051" t="str">
            <v>Function_AcuRev1320_021_04_case4</v>
          </cell>
        </row>
        <row r="1052">
          <cell r="C1052" t="str">
            <v>Function_AcuRev1320_021_04_case5</v>
          </cell>
        </row>
        <row r="1053">
          <cell r="C1053" t="str">
            <v>Function_AcuRev1320_021_04_case6</v>
          </cell>
        </row>
        <row r="1054">
          <cell r="C1054" t="str">
            <v>Function_AcuRev1320_021_04_case7</v>
          </cell>
        </row>
        <row r="1055">
          <cell r="C1055" t="str">
            <v>Function_AcuRev1320_021_04_case8</v>
          </cell>
        </row>
        <row r="1056">
          <cell r="C1056" t="str">
            <v>Function_AcuRev1320_021_04_case9</v>
          </cell>
        </row>
        <row r="1057">
          <cell r="C1057" t="str">
            <v>Function_AcuRev1320_021_04_case10</v>
          </cell>
        </row>
        <row r="1058">
          <cell r="C1058" t="str">
            <v>Function_AcuRev1320_021_04_case11</v>
          </cell>
        </row>
        <row r="1059">
          <cell r="C1059" t="str">
            <v>Function_AcuRev1320_021_04_case12</v>
          </cell>
        </row>
        <row r="1060">
          <cell r="C1060" t="str">
            <v>Function_AcuRev1320_021_04_case13</v>
          </cell>
        </row>
        <row r="1061">
          <cell r="C1061" t="str">
            <v>Function_AcuRev1320_021_04_case14</v>
          </cell>
        </row>
        <row r="1062">
          <cell r="C1062" t="str">
            <v>Function_AcuRev1320_021_04_case15</v>
          </cell>
        </row>
        <row r="1063">
          <cell r="C1063" t="str">
            <v>Function_AcuRev1320_022_01_case1</v>
          </cell>
        </row>
        <row r="1064">
          <cell r="C1064" t="str">
            <v>Function_AcuRev1320_022_01_case2</v>
          </cell>
        </row>
        <row r="1065">
          <cell r="C1065" t="str">
            <v>Function_AcuRev1320_022_01_case3</v>
          </cell>
        </row>
        <row r="1066">
          <cell r="C1066" t="str">
            <v>Function_AcuRev1320_022_01_case4</v>
          </cell>
        </row>
        <row r="1067">
          <cell r="C1067" t="str">
            <v>Function_AcuRev1320_022_01_case5</v>
          </cell>
        </row>
        <row r="1068">
          <cell r="C1068" t="str">
            <v>Function_AcuRev1320_022_01_case6</v>
          </cell>
        </row>
        <row r="1069">
          <cell r="C1069" t="str">
            <v>Function_AcuRev1320_022_01_case7</v>
          </cell>
        </row>
        <row r="1070">
          <cell r="C1070" t="str">
            <v>Function_AcuRev1320_022_01_case8</v>
          </cell>
        </row>
        <row r="1071">
          <cell r="C1071" t="str">
            <v>Function_AcuRev1320_022_01_case9</v>
          </cell>
        </row>
        <row r="1072">
          <cell r="C1072" t="str">
            <v>Function_AcuRev1320_022_01_case10</v>
          </cell>
        </row>
        <row r="1073">
          <cell r="C1073" t="str">
            <v>Function_AcuRev1320_022_01_case11</v>
          </cell>
        </row>
        <row r="1074">
          <cell r="C1074" t="str">
            <v>Function_AcuRev1320_022_01_case12</v>
          </cell>
        </row>
        <row r="1075">
          <cell r="C1075" t="str">
            <v>Function_AcuRev1320_022_01_case13</v>
          </cell>
        </row>
        <row r="1076">
          <cell r="C1076" t="str">
            <v>Function_AcuRev1320_022_01_case15</v>
          </cell>
        </row>
        <row r="1077">
          <cell r="C1077" t="str">
            <v>Function_AcuRev1320_022_01_case16</v>
          </cell>
        </row>
        <row r="1078">
          <cell r="C1078" t="str">
            <v>Function_AcuRev1320_022_01_case17</v>
          </cell>
        </row>
        <row r="1079">
          <cell r="C1079" t="str">
            <v>Function_AcuRev1320_022_01_case18</v>
          </cell>
        </row>
        <row r="1080">
          <cell r="C1080" t="str">
            <v>Function_AcuRev1320_022_01_case19</v>
          </cell>
        </row>
        <row r="1081">
          <cell r="C1081" t="str">
            <v>Function_AcuRev1320_022_01_case20</v>
          </cell>
        </row>
        <row r="1082">
          <cell r="C1082" t="str">
            <v>Function_AcuRev1320_022_01_case21</v>
          </cell>
        </row>
        <row r="1083">
          <cell r="C1083" t="str">
            <v>Function_AcuRev1320_022_01_case22</v>
          </cell>
        </row>
        <row r="1084">
          <cell r="C1084" t="str">
            <v>Function_AcuRev1320_022_01_case23</v>
          </cell>
        </row>
        <row r="1085">
          <cell r="C1085" t="str">
            <v>Function_AcuRev1320_022_01_case24</v>
          </cell>
        </row>
        <row r="1086">
          <cell r="C1086" t="str">
            <v>Function_AcuRev1320_023_01_case1</v>
          </cell>
        </row>
        <row r="1087">
          <cell r="C1087" t="str">
            <v>Function_AcuRev1320_023_01_case2</v>
          </cell>
        </row>
        <row r="1088">
          <cell r="C1088" t="str">
            <v>Function_AcuRev1320_023_01_case3</v>
          </cell>
        </row>
        <row r="1089">
          <cell r="C1089" t="str">
            <v>Function_AcuRev1320_023_01_case4</v>
          </cell>
        </row>
        <row r="1090">
          <cell r="C1090" t="str">
            <v>Function_AcuRev1320_023_01_case4_01</v>
          </cell>
        </row>
        <row r="1091">
          <cell r="C1091" t="str">
            <v>Function_AcuRev1320_023_01_case5</v>
          </cell>
        </row>
        <row r="1092">
          <cell r="C1092" t="str">
            <v>Function_AcuRev1320_023_01_case6</v>
          </cell>
        </row>
        <row r="1093">
          <cell r="C1093" t="str">
            <v>Function_AcuRev1320_023_01_case7</v>
          </cell>
        </row>
        <row r="1094">
          <cell r="C1094" t="str">
            <v>Function_AcuRev1320_023_01_case8</v>
          </cell>
        </row>
        <row r="1095">
          <cell r="C1095" t="str">
            <v>Function_AcuRev1320_023_01_case9</v>
          </cell>
        </row>
        <row r="1096">
          <cell r="C1096" t="str">
            <v>Function_AcuRev1320_023_01_case9_1</v>
          </cell>
        </row>
        <row r="1097">
          <cell r="C1097" t="str">
            <v>Function_AcuRev1320_023_01_case9_2</v>
          </cell>
        </row>
        <row r="1098">
          <cell r="C1098" t="str">
            <v>Function_AcuRev1320_023_01_case10</v>
          </cell>
        </row>
        <row r="1099">
          <cell r="C1099" t="str">
            <v>Function_AcuRev1320_023_01_case11</v>
          </cell>
        </row>
        <row r="1100">
          <cell r="C1100" t="str">
            <v>Function_AcuRev1320_023_01_case11_1</v>
          </cell>
        </row>
        <row r="1101">
          <cell r="C1101" t="str">
            <v>Function_AcuRev1320_023_01_case11_2</v>
          </cell>
        </row>
        <row r="1102">
          <cell r="C1102" t="str">
            <v>Function_AcuRev1320_023_01_case11_3</v>
          </cell>
        </row>
        <row r="1103">
          <cell r="C1103" t="str">
            <v>Function_AcuRev1320_023_01_case11_4</v>
          </cell>
        </row>
        <row r="1104">
          <cell r="C1104" t="str">
            <v>Function_AcuRev1320_023_01_case11_5</v>
          </cell>
        </row>
        <row r="1105">
          <cell r="C1105" t="str">
            <v>Function_AcuRev1320_023_01_case11_01</v>
          </cell>
        </row>
        <row r="1106">
          <cell r="C1106" t="str">
            <v>Function_AcuRev1320_023_01_case11_02</v>
          </cell>
        </row>
        <row r="1107">
          <cell r="C1107" t="str">
            <v>Stable_AcuRev1320_023_01_case12</v>
          </cell>
        </row>
        <row r="1108">
          <cell r="C1108" t="str">
            <v>Stable_AcuRev1320_023_01_case13</v>
          </cell>
        </row>
        <row r="1109">
          <cell r="C1109" t="str">
            <v>Function_AcuRev1320_023_01_case14</v>
          </cell>
        </row>
        <row r="1110">
          <cell r="C1110" t="str">
            <v>Function_AcuRev1320_023_01_case15</v>
          </cell>
        </row>
        <row r="1111">
          <cell r="C1111" t="str">
            <v>Function_AcuRev1320_023_01_case16</v>
          </cell>
        </row>
        <row r="1112">
          <cell r="C1112" t="str">
            <v>Function_AcuRev1320_023_01_case17</v>
          </cell>
        </row>
        <row r="1113">
          <cell r="C1113" t="str">
            <v>Function_AcuRev1320_023_01_case18</v>
          </cell>
        </row>
        <row r="1114">
          <cell r="C1114" t="str">
            <v>Function_AcuRev1320_023_01_case19</v>
          </cell>
        </row>
        <row r="1115">
          <cell r="C1115" t="str">
            <v>Function_AcuRev1320_023_02_case1</v>
          </cell>
        </row>
        <row r="1116">
          <cell r="C1116" t="str">
            <v>Function_AcuRev1320_023_02_case2</v>
          </cell>
        </row>
        <row r="1117">
          <cell r="C1117" t="str">
            <v>Function_AcuRev1320_023_02_case2_01</v>
          </cell>
        </row>
        <row r="1118">
          <cell r="C1118" t="str">
            <v>Function_AcuRev1320_023_02_case3</v>
          </cell>
        </row>
        <row r="1119">
          <cell r="C1119" t="str">
            <v>Function_AcuRev1320_023_02_case4</v>
          </cell>
        </row>
        <row r="1120">
          <cell r="C1120" t="str">
            <v>Function_AcuRev1320_023_02_case4_01</v>
          </cell>
        </row>
        <row r="1121">
          <cell r="C1121" t="str">
            <v>Function_AcuRev1320_023_02_case5</v>
          </cell>
        </row>
        <row r="1122">
          <cell r="C1122" t="str">
            <v>Function_AcuRev1320_023_02_case6</v>
          </cell>
        </row>
        <row r="1123">
          <cell r="C1123" t="str">
            <v>Function_AcuRev1320_023_02_case7</v>
          </cell>
        </row>
        <row r="1124">
          <cell r="C1124" t="str">
            <v>Function_AcuRev1320_023_02_case7_1</v>
          </cell>
        </row>
        <row r="1125">
          <cell r="C1125" t="str">
            <v>Function_AcuRev1320_023_02_case7_2</v>
          </cell>
        </row>
        <row r="1126">
          <cell r="C1126" t="str">
            <v>Function_AcuRev1320_024_01_case1</v>
          </cell>
        </row>
        <row r="1127">
          <cell r="C1127" t="str">
            <v>Function_AcuRev1320_024_01_case2</v>
          </cell>
        </row>
        <row r="1128">
          <cell r="C1128" t="str">
            <v>Function_AcuRev1320_024_01_case3</v>
          </cell>
        </row>
        <row r="1129">
          <cell r="C1129" t="str">
            <v>Function_AcuRev1320_024_01_case4</v>
          </cell>
        </row>
        <row r="1130">
          <cell r="C1130" t="str">
            <v>Function_AcuRev1320_024_01_case5</v>
          </cell>
        </row>
        <row r="1131">
          <cell r="C1131" t="str">
            <v>Function_AcuRev1320_024_01_case6</v>
          </cell>
        </row>
        <row r="1132">
          <cell r="C1132" t="str">
            <v>Function_AcuRev1320_024_01_case7</v>
          </cell>
        </row>
        <row r="1133">
          <cell r="C1133" t="str">
            <v>Function_AcuRev1320_024_01_case8</v>
          </cell>
        </row>
        <row r="1134">
          <cell r="C1134" t="str">
            <v>Function_AcuRev1320_024_01_case9</v>
          </cell>
        </row>
        <row r="1135">
          <cell r="C1135" t="str">
            <v>Function_AcuRev1320_024_01_case10</v>
          </cell>
        </row>
        <row r="1136">
          <cell r="C1136" t="str">
            <v>Function_AcuRev1320_024_01_case11</v>
          </cell>
        </row>
        <row r="1137">
          <cell r="C1137" t="str">
            <v>Function_AcuRev1320_024_01_case12</v>
          </cell>
        </row>
        <row r="1138">
          <cell r="C1138" t="str">
            <v>Function_AcuRev1320_024_01_case13</v>
          </cell>
        </row>
        <row r="1139">
          <cell r="C1139" t="str">
            <v>Function_AcuRev1320_024_01_case14</v>
          </cell>
        </row>
        <row r="1140">
          <cell r="C1140" t="str">
            <v>Function_AcuRev1320_024_01_case15</v>
          </cell>
        </row>
        <row r="1141">
          <cell r="C1141" t="str">
            <v>Function_AcuRev1320_024_01_case16</v>
          </cell>
        </row>
        <row r="1142">
          <cell r="C1142" t="str">
            <v>Function_AcuRev1320_024_01_case17</v>
          </cell>
        </row>
        <row r="1143">
          <cell r="C1143" t="str">
            <v>Function_AcuRev1320_024_01_case18</v>
          </cell>
        </row>
        <row r="1144">
          <cell r="C1144" t="str">
            <v>Function_AcuRev1320_024_01_case19</v>
          </cell>
        </row>
        <row r="1145">
          <cell r="C1145" t="str">
            <v>Function_AcuRev1320_024_01_case20</v>
          </cell>
        </row>
        <row r="1146">
          <cell r="C1146" t="str">
            <v>Function_AcuRev1320_024_01_case21</v>
          </cell>
        </row>
        <row r="1147">
          <cell r="C1147" t="str">
            <v>Function_AcuRev1320_024_01_case22</v>
          </cell>
        </row>
        <row r="1148">
          <cell r="C1148" t="str">
            <v>Function_AcuRev1320_024_01_case23</v>
          </cell>
        </row>
        <row r="1149">
          <cell r="C1149" t="str">
            <v>Function_AcuRev1320_024_01_case24</v>
          </cell>
        </row>
        <row r="1150">
          <cell r="C1150" t="str">
            <v>Function_AcuRev1320_024_01_case25</v>
          </cell>
        </row>
        <row r="1151">
          <cell r="C1151" t="str">
            <v>Function_AcuRev1320_024_01_case26</v>
          </cell>
        </row>
        <row r="1152">
          <cell r="C1152" t="str">
            <v>Function_AcuRev1320_024_01_case27</v>
          </cell>
        </row>
        <row r="1153">
          <cell r="C1153" t="str">
            <v>Function_AcuRev1320_024_01_case28</v>
          </cell>
        </row>
        <row r="1154">
          <cell r="C1154" t="str">
            <v>Function_AcuRev1320_024_01_case29</v>
          </cell>
        </row>
        <row r="1155">
          <cell r="C1155" t="str">
            <v>Function_AcuRev1320_024_01_case30</v>
          </cell>
        </row>
        <row r="1156">
          <cell r="C1156" t="str">
            <v>Function_AcuRev1320_024_01_case31</v>
          </cell>
        </row>
        <row r="1157">
          <cell r="C1157" t="str">
            <v>Function_AcuRev1320_024_01_case32</v>
          </cell>
        </row>
        <row r="1158">
          <cell r="C1158" t="str">
            <v>Function_AcuRev1320_024_01_case33</v>
          </cell>
        </row>
        <row r="1159">
          <cell r="C1159" t="str">
            <v>Function_AcuRev1320_024_01_case34</v>
          </cell>
        </row>
        <row r="1160">
          <cell r="C1160" t="str">
            <v>Function_AcuRev1320_024_01_case35</v>
          </cell>
        </row>
        <row r="1161">
          <cell r="C1161" t="str">
            <v>Function_AcuRev1320_024_01_case36</v>
          </cell>
        </row>
        <row r="1162">
          <cell r="C1162" t="str">
            <v>Function_AcuRev1320_024_01_case37</v>
          </cell>
        </row>
        <row r="1163">
          <cell r="C1163" t="str">
            <v>Function_AcuRev1320_024_01_case38</v>
          </cell>
        </row>
        <row r="1164">
          <cell r="C1164" t="str">
            <v>Function_AcuRev1320_024_01_case39</v>
          </cell>
        </row>
        <row r="1165">
          <cell r="C1165" t="str">
            <v>Function_AcuRev1320_024_01_case40</v>
          </cell>
        </row>
        <row r="1166">
          <cell r="C1166" t="str">
            <v>Function_AcuRev1320_024_01_case41</v>
          </cell>
        </row>
        <row r="1167">
          <cell r="C1167" t="str">
            <v>Function_AcuRev1320_024_01_case42</v>
          </cell>
        </row>
        <row r="1168">
          <cell r="C1168" t="str">
            <v>Function_AcuRev1320_024_02_case1</v>
          </cell>
        </row>
        <row r="1169">
          <cell r="C1169" t="str">
            <v>Function_AcuRev1320_024_02_case2</v>
          </cell>
        </row>
        <row r="1170">
          <cell r="C1170" t="str">
            <v>Function_AcuRev1320_024_02_case3</v>
          </cell>
        </row>
        <row r="1171">
          <cell r="C1171" t="str">
            <v>Function_AcuRev1320_024_02_case4</v>
          </cell>
        </row>
        <row r="1172">
          <cell r="C1172" t="str">
            <v>Function_AcuRev1320_024_02_case5</v>
          </cell>
        </row>
        <row r="1173">
          <cell r="C1173" t="str">
            <v>Function_AcuRev1320_024_02_case6</v>
          </cell>
        </row>
        <row r="1174">
          <cell r="C1174" t="str">
            <v>Function_AcuRev1320_024_02_case7</v>
          </cell>
        </row>
        <row r="1175">
          <cell r="C1175" t="str">
            <v>Function_AcuRev1320_024_02_case8</v>
          </cell>
        </row>
        <row r="1176">
          <cell r="C1176" t="str">
            <v>Function_AcuRev1320_024_02_case9</v>
          </cell>
        </row>
        <row r="1177">
          <cell r="C1177" t="str">
            <v>Function_AcuRev1320_024_02_case10</v>
          </cell>
        </row>
        <row r="1178">
          <cell r="C1178" t="str">
            <v>Function_AcuRev1320_024_02_case11</v>
          </cell>
        </row>
        <row r="1179">
          <cell r="C1179" t="str">
            <v>Function_AcuRev1320_024_02_case12</v>
          </cell>
        </row>
        <row r="1180">
          <cell r="C1180" t="str">
            <v>Function_AcuRev1320_024_02_case13</v>
          </cell>
        </row>
        <row r="1181">
          <cell r="C1181" t="str">
            <v>Function_AcuRev1320_024_02_case14</v>
          </cell>
        </row>
        <row r="1182">
          <cell r="C1182" t="str">
            <v>Function_AcuRev1320_024_02_case15</v>
          </cell>
        </row>
        <row r="1183">
          <cell r="C1183" t="str">
            <v>Function_AcuRev1320_024_02_case16</v>
          </cell>
        </row>
        <row r="1184">
          <cell r="C1184" t="str">
            <v>Function_AcuRev1320_024_02_case17</v>
          </cell>
        </row>
        <row r="1185">
          <cell r="C1185" t="str">
            <v>Function_AcuRev1320_024_02_case18</v>
          </cell>
        </row>
        <row r="1186">
          <cell r="C1186" t="str">
            <v>Function_AcuRev1320_024_02_case19</v>
          </cell>
        </row>
        <row r="1187">
          <cell r="C1187" t="str">
            <v>Function_AcuRev1320_025_01_case1</v>
          </cell>
        </row>
        <row r="1188">
          <cell r="C1188" t="str">
            <v>Function_AcuRev1320_025_01_case2</v>
          </cell>
        </row>
        <row r="1189">
          <cell r="C1189" t="str">
            <v>Function_AcuRev1320_025_01_case3</v>
          </cell>
        </row>
        <row r="1190">
          <cell r="C1190" t="str">
            <v>Function_AcuRev1320_025_01_case4</v>
          </cell>
        </row>
        <row r="1191">
          <cell r="C1191" t="str">
            <v>Function_AcuRev1320_025_01_case5</v>
          </cell>
        </row>
        <row r="1192">
          <cell r="C1192" t="str">
            <v>Function_AcuRev1320_025_01_case6</v>
          </cell>
        </row>
        <row r="1193">
          <cell r="C1193" t="str">
            <v>Function_AcuRev1320_026_01_case1</v>
          </cell>
        </row>
        <row r="1194">
          <cell r="C1194" t="str">
            <v>Function_AcuRev1320_026_01_case2</v>
          </cell>
        </row>
        <row r="1195">
          <cell r="C1195" t="str">
            <v>Function_AcuRev1320_026_01_case3</v>
          </cell>
        </row>
        <row r="1196">
          <cell r="C1196" t="str">
            <v>Function_AcuRev1320_026_01_case4</v>
          </cell>
        </row>
        <row r="1197">
          <cell r="C1197" t="str">
            <v>Function_AcuRev1320_026_01_case5</v>
          </cell>
        </row>
        <row r="1198">
          <cell r="C1198" t="str">
            <v>Function_AcuRev1320_026_01_case6</v>
          </cell>
        </row>
        <row r="1199">
          <cell r="C1199" t="str">
            <v>Function_AcuRev1320_026_01_case7</v>
          </cell>
        </row>
        <row r="1200">
          <cell r="C1200" t="str">
            <v>Function_AcuRev1320_026_01_case8</v>
          </cell>
        </row>
        <row r="1201">
          <cell r="C1201" t="str">
            <v>Function_AcuRev1320_026_01_case9</v>
          </cell>
        </row>
        <row r="1202">
          <cell r="C1202" t="str">
            <v>Function_AcuRev1320_026_01_case10</v>
          </cell>
        </row>
        <row r="1203">
          <cell r="C1203" t="str">
            <v>Function_AcuRev1320_026_01_case11</v>
          </cell>
        </row>
        <row r="1204">
          <cell r="C1204" t="str">
            <v>Function_AcuRev1320_026_01_case12</v>
          </cell>
        </row>
        <row r="1205">
          <cell r="C1205" t="str">
            <v>Function_AcuRev1320_026_01_case13</v>
          </cell>
        </row>
        <row r="1206">
          <cell r="C1206" t="str">
            <v>Function_AcuRev1320_026_01_case14</v>
          </cell>
        </row>
        <row r="1207">
          <cell r="C1207" t="str">
            <v>Function_AcuRev1320_026_01_case15</v>
          </cell>
        </row>
        <row r="1208">
          <cell r="C1208" t="str">
            <v>Function_AcuRev1320_026_01_case16</v>
          </cell>
        </row>
        <row r="1209">
          <cell r="C1209" t="str">
            <v>Function_AcuRev1320_026_01_case17</v>
          </cell>
        </row>
        <row r="1210">
          <cell r="C1210" t="str">
            <v>Function_AcuRev1320_026_01_case18</v>
          </cell>
        </row>
        <row r="1211">
          <cell r="C1211" t="str">
            <v>Function_AcuRev1320_026_01_case19</v>
          </cell>
        </row>
        <row r="1212">
          <cell r="C1212" t="str">
            <v>Function_AcuRev1320_026_01_case20</v>
          </cell>
        </row>
        <row r="1213">
          <cell r="C1213" t="str">
            <v>Function_AcuRev1320_026_01_case21</v>
          </cell>
        </row>
        <row r="1214">
          <cell r="C1214" t="str">
            <v>Function_AcuRev1320_026_01_case22</v>
          </cell>
        </row>
        <row r="1215">
          <cell r="C1215" t="str">
            <v>Function_AcuRev1320_026_01_case23</v>
          </cell>
        </row>
        <row r="1216">
          <cell r="C1216" t="str">
            <v>Function_AcuRev1320_026_01_case24</v>
          </cell>
        </row>
        <row r="1217">
          <cell r="C1217" t="str">
            <v>Function_AcuRev1320_026_01_case25</v>
          </cell>
        </row>
        <row r="1218">
          <cell r="C1218" t="str">
            <v>Function_AcuRev1320_026_01_case26</v>
          </cell>
        </row>
        <row r="1219">
          <cell r="C1219" t="str">
            <v>Function_AcuRev1320_026_01_case27</v>
          </cell>
        </row>
        <row r="1220">
          <cell r="C1220" t="str">
            <v>Function_AcuRev1320_026_01_case28</v>
          </cell>
        </row>
        <row r="1221">
          <cell r="C1221" t="str">
            <v>Function_AcuRev1320_026_01_case29</v>
          </cell>
        </row>
        <row r="1222">
          <cell r="C1222" t="str">
            <v>Function_AcuRev1320_026_01_case30</v>
          </cell>
        </row>
        <row r="1223">
          <cell r="C1223" t="str">
            <v>Function_AcuRev1320_026_01_case31</v>
          </cell>
        </row>
        <row r="1224">
          <cell r="C1224" t="str">
            <v>Function_AcuRev1320_026_01_case32</v>
          </cell>
        </row>
        <row r="1225">
          <cell r="C1225" t="str">
            <v>Function_AcuRev1320_026_01_case33</v>
          </cell>
        </row>
        <row r="1226">
          <cell r="C1226" t="str">
            <v>Function_AcuRev1320_026_01_case34</v>
          </cell>
        </row>
        <row r="1227">
          <cell r="C1227" t="str">
            <v>Function_AcuRev1320_026_01_case35</v>
          </cell>
        </row>
        <row r="1228">
          <cell r="C1228" t="str">
            <v>Function_AcuRev1320_026_01_case36</v>
          </cell>
        </row>
        <row r="1229">
          <cell r="C1229" t="str">
            <v>Function_AcuRev1320_026_01_case37</v>
          </cell>
        </row>
        <row r="1230">
          <cell r="C1230" t="str">
            <v>Function_AcuRev1320_026_01_case38</v>
          </cell>
        </row>
        <row r="1231">
          <cell r="C1231" t="str">
            <v>Function_AcuRev1320_026_01_case39</v>
          </cell>
        </row>
        <row r="1232">
          <cell r="C1232" t="str">
            <v>Function_AcuRev1320_026_01_case40</v>
          </cell>
        </row>
        <row r="1233">
          <cell r="C1233" t="str">
            <v>Function_AcuRev1320_026_01_case41</v>
          </cell>
        </row>
        <row r="1234">
          <cell r="C1234" t="str">
            <v>Function_AcuRev1320_026_01_case42</v>
          </cell>
        </row>
        <row r="1235">
          <cell r="C1235" t="str">
            <v>Function_AcuRev1320_026_01_case43</v>
          </cell>
        </row>
        <row r="1236">
          <cell r="C1236" t="str">
            <v>Function_AcuRev1320_026_01_case44</v>
          </cell>
        </row>
        <row r="1237">
          <cell r="C1237" t="str">
            <v>Function_AcuRev1320_026_01_case45</v>
          </cell>
        </row>
        <row r="1238">
          <cell r="C1238" t="str">
            <v>Function_AcuRev1320_026_01_case46</v>
          </cell>
        </row>
        <row r="1239">
          <cell r="C1239" t="str">
            <v>Function_AcuRev1320_026_01_case47</v>
          </cell>
        </row>
        <row r="1240">
          <cell r="C1240" t="str">
            <v>Function_AcuRev1320_026_01_case48</v>
          </cell>
        </row>
        <row r="1241">
          <cell r="C1241" t="str">
            <v>Function_AcuRev1320_026_01_case49</v>
          </cell>
        </row>
        <row r="1242">
          <cell r="C1242" t="str">
            <v>Function_AcuRev1320_026_01_case50</v>
          </cell>
        </row>
        <row r="1243">
          <cell r="C1243" t="str">
            <v>Function_AcuRev1320_026_01_case51</v>
          </cell>
        </row>
        <row r="1244">
          <cell r="C1244" t="str">
            <v>Function_AcuRev1320_026_01_case52</v>
          </cell>
        </row>
        <row r="1245">
          <cell r="C1245" t="str">
            <v>Function_AcuRev1320_026_01_case53</v>
          </cell>
        </row>
        <row r="1246">
          <cell r="C1246" t="str">
            <v>Function_AcuRev1320_026_01_case54</v>
          </cell>
        </row>
        <row r="1247">
          <cell r="C1247" t="str">
            <v>Function_AcuRev1320_026_01_case55</v>
          </cell>
        </row>
        <row r="1248">
          <cell r="C1248" t="str">
            <v>Function_AcuRev1320_026_01_case56</v>
          </cell>
        </row>
        <row r="1249">
          <cell r="C1249" t="str">
            <v>Function_AcuRev1320_026_01_case57</v>
          </cell>
        </row>
        <row r="1250">
          <cell r="C1250" t="str">
            <v>Function_AcuRev1320_026_01_case58</v>
          </cell>
        </row>
        <row r="1251">
          <cell r="C1251" t="str">
            <v>Function_AcuRev1320_026_01_case59</v>
          </cell>
        </row>
        <row r="1252">
          <cell r="C1252" t="str">
            <v>Function_AcuRev1320_026_01_case60</v>
          </cell>
        </row>
        <row r="1253">
          <cell r="C1253" t="str">
            <v>Function_AcuRev1320_026_01_case61</v>
          </cell>
        </row>
        <row r="1254">
          <cell r="C1254" t="str">
            <v>Function_AcuRev1320_026_01_case62</v>
          </cell>
        </row>
        <row r="1255">
          <cell r="C1255" t="str">
            <v>Function_AcuRev1320_026_01_case63</v>
          </cell>
        </row>
        <row r="1256">
          <cell r="C1256" t="str">
            <v>Function_AcuRev1320_026_01_case64</v>
          </cell>
        </row>
        <row r="1257">
          <cell r="C1257" t="str">
            <v>Function_AcuRev1320_026_01_case65</v>
          </cell>
        </row>
        <row r="1258">
          <cell r="C1258" t="str">
            <v>Function_AcuRev1320_026_01_case66</v>
          </cell>
        </row>
        <row r="1259">
          <cell r="C1259" t="str">
            <v>Function_AcuRev1320_026_01_case67</v>
          </cell>
        </row>
        <row r="1260">
          <cell r="C1260" t="str">
            <v>Function_AcuRev1320_026_01_case68</v>
          </cell>
        </row>
        <row r="1261">
          <cell r="C1261" t="str">
            <v>Function_AcuRev1320_026_01_case69</v>
          </cell>
        </row>
        <row r="1262">
          <cell r="C1262" t="str">
            <v>Function_AcuRev1320_026_01_case70</v>
          </cell>
        </row>
        <row r="1263">
          <cell r="C1263" t="str">
            <v>Function_AcuRev1320_026_01_case71</v>
          </cell>
        </row>
        <row r="1264">
          <cell r="C1264" t="str">
            <v>Function_AcuRev1320_026_01_case72</v>
          </cell>
        </row>
        <row r="1265">
          <cell r="C1265" t="str">
            <v>Function_AcuRev1320_026_01_case73</v>
          </cell>
        </row>
        <row r="1266">
          <cell r="C1266" t="str">
            <v>Function_AcuRev1320_026_01_case74</v>
          </cell>
        </row>
        <row r="1267">
          <cell r="C1267" t="str">
            <v>Function_AcuRev1320_026_01_case75</v>
          </cell>
        </row>
        <row r="1268">
          <cell r="C1268" t="str">
            <v>Function_AcuRev1320_026_01_case76</v>
          </cell>
        </row>
        <row r="1269">
          <cell r="C1269" t="str">
            <v>Function_AcuRev1320_026_01_case77</v>
          </cell>
        </row>
        <row r="1270">
          <cell r="C1270" t="str">
            <v>Function_AcuRev1320_026_01_case78</v>
          </cell>
        </row>
        <row r="1271">
          <cell r="C1271" t="str">
            <v>Function_AcuRev1320_026_01_case79</v>
          </cell>
        </row>
        <row r="1272">
          <cell r="C1272" t="str">
            <v>Function_AcuRev1320_026_01_case80</v>
          </cell>
        </row>
        <row r="1273">
          <cell r="C1273" t="str">
            <v>Function_AcuRev1320_026_01_case81</v>
          </cell>
        </row>
        <row r="1274">
          <cell r="C1274" t="str">
            <v>Function_AcuRev1320_026_01_case82</v>
          </cell>
        </row>
        <row r="1275">
          <cell r="C1275" t="str">
            <v>Function_AcuRev1320_026_01_case83</v>
          </cell>
        </row>
        <row r="1276">
          <cell r="C1276" t="str">
            <v>Function_AcuRev1320_026_01_case84</v>
          </cell>
        </row>
        <row r="1277">
          <cell r="C1277" t="str">
            <v>Function_AcuRev1320_026_01_case85</v>
          </cell>
        </row>
        <row r="1278">
          <cell r="C1278" t="str">
            <v>Function_AcuRev1320_026_01_case86</v>
          </cell>
        </row>
        <row r="1279">
          <cell r="C1279" t="str">
            <v>Function_AcuRev1320_026_01_case87</v>
          </cell>
        </row>
        <row r="1280">
          <cell r="C1280" t="str">
            <v>Function_AcuRev1320_026_01_case88</v>
          </cell>
        </row>
        <row r="1281">
          <cell r="C1281" t="str">
            <v>Function_AcuRev1320_026_01_case89</v>
          </cell>
        </row>
        <row r="1282">
          <cell r="C1282" t="str">
            <v>Function_AcuRev1320_027_01_case1</v>
          </cell>
        </row>
        <row r="1283">
          <cell r="C1283" t="str">
            <v>Function_AcuRev1320_027_01_case1_1</v>
          </cell>
        </row>
        <row r="1284">
          <cell r="C1284" t="str">
            <v>Function_AcuRev1320_027_01_case2</v>
          </cell>
        </row>
        <row r="1285">
          <cell r="C1285" t="str">
            <v>Function_AcuRev1320_027_01_case3</v>
          </cell>
        </row>
        <row r="1286">
          <cell r="C1286" t="str">
            <v>Function_AcuRev1320_027_01_case4</v>
          </cell>
        </row>
        <row r="1287">
          <cell r="C1287" t="str">
            <v>Function_AcuRev1320_027_01_case5</v>
          </cell>
        </row>
        <row r="1288">
          <cell r="C1288" t="str">
            <v>Function_AcuRev1320_027_01_case6</v>
          </cell>
        </row>
        <row r="1289">
          <cell r="C1289" t="str">
            <v>Function_AcuRev1320_027_01_case7</v>
          </cell>
        </row>
        <row r="1290">
          <cell r="C1290" t="str">
            <v>Function_AcuRev1320_027_01_case8</v>
          </cell>
        </row>
        <row r="1291">
          <cell r="C1291" t="str">
            <v>Function_AcuRev1320_027_01_case9</v>
          </cell>
        </row>
        <row r="1292">
          <cell r="C1292" t="str">
            <v>Function_AcuRev1320_027_01_case10</v>
          </cell>
        </row>
        <row r="1293">
          <cell r="C1293" t="str">
            <v>Function_AcuRev1320_027_02_case1</v>
          </cell>
        </row>
        <row r="1294">
          <cell r="C1294" t="str">
            <v>Function_AcuRev1320_027_02_case2</v>
          </cell>
        </row>
        <row r="1295">
          <cell r="C1295" t="str">
            <v>Function_AcuRev1320_027_02_case3</v>
          </cell>
        </row>
        <row r="1296">
          <cell r="C1296" t="str">
            <v>Function_AcuRev1320_027_02_case4</v>
          </cell>
        </row>
        <row r="1297">
          <cell r="C1297" t="str">
            <v>Function_AcuRev1320_027_02_case5</v>
          </cell>
        </row>
        <row r="1298">
          <cell r="C1298" t="str">
            <v>Function_AcuRev1320_027_02_case6</v>
          </cell>
        </row>
        <row r="1299">
          <cell r="C1299" t="str">
            <v>Function_AcuRev1320_027_02_case7</v>
          </cell>
        </row>
        <row r="1300">
          <cell r="C1300" t="str">
            <v>Function_AcuRev1320_027_02_case8</v>
          </cell>
        </row>
        <row r="1301">
          <cell r="C1301" t="str">
            <v>Function_AcuRev1320_027_02_case9</v>
          </cell>
        </row>
        <row r="1302">
          <cell r="C1302" t="str">
            <v>Function_AcuRev1320_027_02_case10</v>
          </cell>
        </row>
        <row r="1303">
          <cell r="C1303" t="str">
            <v>Function_AcuRev1320_027_02_case11</v>
          </cell>
        </row>
        <row r="1304">
          <cell r="C1304" t="str">
            <v>Function_AcuRev1320_027_03_case1</v>
          </cell>
        </row>
        <row r="1305">
          <cell r="C1305" t="str">
            <v>Function_AcuRev1320_027_03_case2</v>
          </cell>
        </row>
        <row r="1306">
          <cell r="C1306" t="str">
            <v>Function_AcuRev1320_027_03_case3</v>
          </cell>
        </row>
        <row r="1307">
          <cell r="C1307" t="str">
            <v>Function_AcuRev1320_027_03_case4</v>
          </cell>
        </row>
        <row r="1308">
          <cell r="C1308" t="str">
            <v>Function_AcuRev1320_027_03_case5</v>
          </cell>
        </row>
        <row r="1309">
          <cell r="C1309" t="str">
            <v>Function_AcuRev1320_027_03_case6</v>
          </cell>
        </row>
        <row r="1310">
          <cell r="C1310" t="str">
            <v>Function_AcuRev1320_027_03_case7</v>
          </cell>
        </row>
        <row r="1311">
          <cell r="C1311" t="str">
            <v>Function_AcuRev1320_027_03_case8</v>
          </cell>
        </row>
        <row r="1312">
          <cell r="C1312" t="str">
            <v>Function_AcuRev1320_027_03_case9</v>
          </cell>
        </row>
        <row r="1313">
          <cell r="C1313" t="str">
            <v>Function_AcuRev1320_027_03_case10</v>
          </cell>
        </row>
        <row r="1314">
          <cell r="C1314" t="str">
            <v>Function_AcuRev1320_027_03_case11</v>
          </cell>
        </row>
        <row r="1315">
          <cell r="C1315" t="str">
            <v>Function_AcuRev1320_027_03_case12</v>
          </cell>
        </row>
        <row r="1316">
          <cell r="C1316" t="str">
            <v>Function_AcuRev1320_028_01_case1</v>
          </cell>
        </row>
        <row r="1317">
          <cell r="C1317" t="str">
            <v>Function_AcuRev1320_028_01_case3</v>
          </cell>
        </row>
        <row r="1318">
          <cell r="C1318" t="str">
            <v>Function_AcuRev1320_029_02_case1</v>
          </cell>
        </row>
        <row r="1319">
          <cell r="C1319" t="str">
            <v>Function_AcuRev1320_029_02_case2</v>
          </cell>
        </row>
        <row r="1320">
          <cell r="C1320" t="str">
            <v>Function_AcuRev1320_029_02_case2_01</v>
          </cell>
        </row>
        <row r="1321">
          <cell r="C1321" t="str">
            <v>Stable_AcuRev1320_030_01_case1</v>
          </cell>
        </row>
        <row r="1322">
          <cell r="C1322" t="str">
            <v>Stable_AcuRev1320_030_01_case2</v>
          </cell>
        </row>
        <row r="1323">
          <cell r="C1323" t="str">
            <v>Stable_AcuRev1320_030_01_case3</v>
          </cell>
        </row>
        <row r="1324">
          <cell r="C1324" t="str">
            <v>Stable_AcuRev1320_030_01_case4</v>
          </cell>
        </row>
        <row r="1325">
          <cell r="C1325" t="str">
            <v>Stable_AcuRev1320_030_01_case5</v>
          </cell>
        </row>
        <row r="1326">
          <cell r="C1326" t="str">
            <v>Stable_AcuRev1320_030_01_case6</v>
          </cell>
        </row>
        <row r="1327">
          <cell r="C1327" t="str">
            <v>Stable_AcuRev1320_030_02_case1</v>
          </cell>
        </row>
        <row r="1328">
          <cell r="C1328" t="str">
            <v>Stable_AcuRev1320_030_02_case2</v>
          </cell>
        </row>
        <row r="1329">
          <cell r="C1329" t="str">
            <v>Stable_AcuRev1320_030_02_case3</v>
          </cell>
        </row>
        <row r="1330">
          <cell r="C1330" t="str">
            <v>Stable_AcuRev1320_030_02_case4</v>
          </cell>
        </row>
        <row r="1331">
          <cell r="C1331" t="str">
            <v>Stable_AcuRev1320_030_02_case5</v>
          </cell>
        </row>
        <row r="1332">
          <cell r="C1332" t="str">
            <v>Stable_AcuRev1320_030_02_case6</v>
          </cell>
        </row>
        <row r="1333">
          <cell r="C1333" t="str">
            <v>Stress_AcuRev1320_030_02_case8</v>
          </cell>
        </row>
        <row r="1334">
          <cell r="C1334" t="str">
            <v>Stress_AcuRev1320_030_02_case9</v>
          </cell>
        </row>
        <row r="1335">
          <cell r="C1335" t="str">
            <v>Function_AcuRev1320_031_01_case1</v>
          </cell>
        </row>
        <row r="1336">
          <cell r="C1336" t="str">
            <v>Function_AcuRev1320_031_01_case1</v>
          </cell>
        </row>
        <row r="1337">
          <cell r="C1337" t="str">
            <v>Function_AcuRev1320_031_01_case2</v>
          </cell>
        </row>
        <row r="1338">
          <cell r="C1338" t="str">
            <v>Function_AcuRev1320_031_01_case3</v>
          </cell>
        </row>
        <row r="1339">
          <cell r="C1339" t="str">
            <v>Function_AcuRev1320_031_01_case4</v>
          </cell>
        </row>
        <row r="1340">
          <cell r="C1340" t="str">
            <v>Function_AcuRev1320_031_01_case5</v>
          </cell>
        </row>
        <row r="1341">
          <cell r="C1341" t="str">
            <v>Function_AcuRev1320_031_01_case6</v>
          </cell>
        </row>
        <row r="1342">
          <cell r="C1342" t="str">
            <v>Function_AcuRev1320_031_01_case7</v>
          </cell>
        </row>
        <row r="1343">
          <cell r="C1343" t="str">
            <v>Function_AcuRev1320_032_01_case1</v>
          </cell>
        </row>
        <row r="1344">
          <cell r="C1344" t="str">
            <v>Function_AcuRev1320_032_01_case2</v>
          </cell>
        </row>
        <row r="1345">
          <cell r="C1345" t="str">
            <v>Function_AcuRev1320_032_01_case3</v>
          </cell>
        </row>
        <row r="1346">
          <cell r="C1346" t="str">
            <v>Function_AcuRev1320_032_01_case4</v>
          </cell>
        </row>
        <row r="1347">
          <cell r="C1347" t="str">
            <v>Function_AcuRev1320_032_01_case5</v>
          </cell>
        </row>
        <row r="1348">
          <cell r="C1348" t="str">
            <v>Function_AcuRev1320_032_01_case6</v>
          </cell>
        </row>
        <row r="1349">
          <cell r="C1349" t="str">
            <v>Function_AcuRev1320_032_01_case7</v>
          </cell>
        </row>
        <row r="1350">
          <cell r="C1350" t="str">
            <v>Function_AcuRev1320_032_01_case8</v>
          </cell>
        </row>
        <row r="1351">
          <cell r="C1351" t="str">
            <v>Function_AcuRev1320_032_01_case9</v>
          </cell>
        </row>
        <row r="1352">
          <cell r="C1352" t="str">
            <v>Function_AcuRev1320_032_01_case10</v>
          </cell>
        </row>
        <row r="1353">
          <cell r="C1353" t="str">
            <v>Function_AcuRev1320_032_01_case11</v>
          </cell>
        </row>
        <row r="1354">
          <cell r="C1354" t="str">
            <v>Function_AcuRev1320_032_01_case12</v>
          </cell>
        </row>
        <row r="1355">
          <cell r="C1355" t="str">
            <v>Function_AcuRev1320_032_01_case13</v>
          </cell>
        </row>
        <row r="1356">
          <cell r="C1356" t="str">
            <v>Function_AcuRev1320_032_01_case14</v>
          </cell>
        </row>
        <row r="1357">
          <cell r="C1357" t="str">
            <v>Function_AcuRev1320_032_01_case15</v>
          </cell>
        </row>
        <row r="1358">
          <cell r="C1358" t="str">
            <v>Function_AcuRev1320_032_01_case16</v>
          </cell>
        </row>
        <row r="1359">
          <cell r="C1359" t="str">
            <v>Function_AcuRev1320_032_01_case17</v>
          </cell>
        </row>
        <row r="1360">
          <cell r="C1360" t="str">
            <v>Function_AcuRev1320_032_01_case18</v>
          </cell>
        </row>
        <row r="1361">
          <cell r="C1361" t="str">
            <v>Function_AcuRev1320_032_01_case19</v>
          </cell>
        </row>
        <row r="1362">
          <cell r="C1362" t="str">
            <v>Function_AcuRev1320_032_01_case20</v>
          </cell>
        </row>
        <row r="1363">
          <cell r="C1363" t="str">
            <v>Function_AcuRev1320_032_02_case01</v>
          </cell>
        </row>
        <row r="1364">
          <cell r="C1364" t="str">
            <v>Function_AcuRev1320_032_02_case02</v>
          </cell>
        </row>
        <row r="1365">
          <cell r="C1365" t="str">
            <v>Function_AcuRev1320_032_02_case03</v>
          </cell>
        </row>
        <row r="1366">
          <cell r="C1366" t="str">
            <v>Function_AcuRev1320_032_02_case04</v>
          </cell>
        </row>
        <row r="1367">
          <cell r="C1367" t="str">
            <v>Function_AcuRev1320_032_02_case05</v>
          </cell>
        </row>
        <row r="1368">
          <cell r="C1368" t="str">
            <v>Function_AcuRev1320_032_02_case06</v>
          </cell>
        </row>
        <row r="1369">
          <cell r="C1369" t="str">
            <v>Function_AcuRev1320_032_02_case07</v>
          </cell>
        </row>
        <row r="1370">
          <cell r="C1370" t="str">
            <v>Function_AcuRev1320_032_02_case08</v>
          </cell>
        </row>
        <row r="1371">
          <cell r="C1371" t="str">
            <v>Function_AcuRev1320_032_02_case09</v>
          </cell>
        </row>
        <row r="1372">
          <cell r="C1372" t="str">
            <v>Function_AcuRev1320_032_02_case10</v>
          </cell>
        </row>
        <row r="1373">
          <cell r="C1373" t="str">
            <v>Function_AcuRev1320_033_01_case1</v>
          </cell>
        </row>
        <row r="1374">
          <cell r="C1374" t="str">
            <v>Function_AcuRev1320_033_01_case2</v>
          </cell>
        </row>
        <row r="1375">
          <cell r="C1375" t="str">
            <v>Function_AcuRev1320_033_01_case3</v>
          </cell>
        </row>
        <row r="1376">
          <cell r="C1376" t="str">
            <v>Function_AcuRev1320_033_01_case4</v>
          </cell>
        </row>
        <row r="1377">
          <cell r="C1377" t="str">
            <v>Function_AcuRev1320_033_01_case5</v>
          </cell>
        </row>
        <row r="1378">
          <cell r="C1378" t="str">
            <v>Function_AcuRev1320_033_01_case6</v>
          </cell>
        </row>
        <row r="1379">
          <cell r="C1379" t="str">
            <v>Function_AcuRev1320_033_01_case7</v>
          </cell>
        </row>
        <row r="1380">
          <cell r="C1380" t="str">
            <v>Function_AcuRev1320_034_01_case1</v>
          </cell>
        </row>
        <row r="1381">
          <cell r="C1381" t="str">
            <v>Function_AcuRev1320_034_01_case2</v>
          </cell>
        </row>
        <row r="1382">
          <cell r="C1382" t="str">
            <v>Function_AcuRev1320_034_01_case3</v>
          </cell>
        </row>
        <row r="1383">
          <cell r="C1383" t="str">
            <v>Function_AcuRev1320_034_01_case4</v>
          </cell>
        </row>
        <row r="1384">
          <cell r="C1384" t="str">
            <v>Function_AcuRev1320_034_01_case5</v>
          </cell>
        </row>
        <row r="1385">
          <cell r="C1385" t="str">
            <v>Function_AcuRev1320_034_01_case6</v>
          </cell>
        </row>
        <row r="1386">
          <cell r="C1386" t="str">
            <v>Function_AcuRev1320_034_02_case1</v>
          </cell>
        </row>
        <row r="1387">
          <cell r="C1387" t="str">
            <v>Function_AcuRev1320_034_02_case2</v>
          </cell>
        </row>
        <row r="1388">
          <cell r="C1388" t="str">
            <v>Function_AcuRev1320_034_02_case3</v>
          </cell>
        </row>
        <row r="1389">
          <cell r="C1389" t="str">
            <v>Function_AcuRev1320_034_02_case4</v>
          </cell>
        </row>
        <row r="1390">
          <cell r="C1390" t="str">
            <v>Function_AcuRev1320_035_01_case01</v>
          </cell>
        </row>
        <row r="1391">
          <cell r="C1391" t="str">
            <v>Function_AcuRev1320_035_01_case02</v>
          </cell>
        </row>
        <row r="1392">
          <cell r="C1392" t="str">
            <v>Function_AcuRev1320_035_01_case03</v>
          </cell>
        </row>
        <row r="1393">
          <cell r="C1393" t="str">
            <v>Function_AcuRev1320_035_01_case04</v>
          </cell>
        </row>
        <row r="1394">
          <cell r="C1394" t="str">
            <v>Function_AcuRev1320_035_02_case01</v>
          </cell>
        </row>
        <row r="1395">
          <cell r="C1395" t="str">
            <v>Function_AcuRev1320_035_02_case02</v>
          </cell>
        </row>
        <row r="1396">
          <cell r="C1396" t="str">
            <v>Function_AcuRev1320_035_03_case01</v>
          </cell>
        </row>
        <row r="1397">
          <cell r="C1397" t="str">
            <v>Function_AcuRev1320_035_03_case02</v>
          </cell>
        </row>
        <row r="1398">
          <cell r="C1398" t="str">
            <v>Function_AcuRev1320_035_03_case03</v>
          </cell>
        </row>
        <row r="1399">
          <cell r="C1399" t="str">
            <v>Function_AcuRev1320_035_03_case04</v>
          </cell>
        </row>
        <row r="1400">
          <cell r="C1400" t="str">
            <v>Function_AcuRev1320_035_04_case01</v>
          </cell>
        </row>
        <row r="1401">
          <cell r="C1401" t="str">
            <v>Function_AcuRev1320_035_04_case02</v>
          </cell>
        </row>
        <row r="1402">
          <cell r="C1402" t="str">
            <v>Function_AcuRev1320_035_04_case03</v>
          </cell>
        </row>
        <row r="1403">
          <cell r="C1403" t="str">
            <v>Function_AcuRev1320_035_05_case01</v>
          </cell>
        </row>
        <row r="1404">
          <cell r="C1404" t="str">
            <v>Function_AcuRev1320_035_05_case02</v>
          </cell>
        </row>
        <row r="1405">
          <cell r="C1405" t="str">
            <v>Function_AcuRev1320_036_01_case1</v>
          </cell>
        </row>
        <row r="1406">
          <cell r="C1406" t="str">
            <v>Function_AcuRev1320_036_01_case2</v>
          </cell>
        </row>
        <row r="1407">
          <cell r="C1407" t="str">
            <v>Function_AcuRev1320_036_01_case3</v>
          </cell>
        </row>
        <row r="1408">
          <cell r="C1408" t="str">
            <v>Function_AcuRev1320_036_01_case4</v>
          </cell>
        </row>
        <row r="1409">
          <cell r="C1409" t="str">
            <v>Function_AcuRev1320_036_01_case5</v>
          </cell>
        </row>
        <row r="1410">
          <cell r="C1410" t="str">
            <v>Function_AcuRev1320_036_02_case01</v>
          </cell>
        </row>
        <row r="1411">
          <cell r="C1411" t="str">
            <v>Function_AcuRev1320_036_02_case02</v>
          </cell>
        </row>
        <row r="1412">
          <cell r="C1412" t="str">
            <v>Function_AcuRev1320_036_02_case03</v>
          </cell>
        </row>
        <row r="1413">
          <cell r="C1413" t="str">
            <v>Function_AcuRev1320_036_02_case04</v>
          </cell>
        </row>
        <row r="1414">
          <cell r="C1414" t="str">
            <v>Function_AcuRev1320_036_03_case01</v>
          </cell>
        </row>
        <row r="1415">
          <cell r="C1415" t="str">
            <v>Function_AcuRev1320_036_03_case02</v>
          </cell>
        </row>
        <row r="1416">
          <cell r="C1416" t="str">
            <v>Function_AcuRev1320_036_04_case01</v>
          </cell>
        </row>
        <row r="1417">
          <cell r="C1417" t="str">
            <v>Function_AcuRev1320_036_04_case02</v>
          </cell>
        </row>
        <row r="1418">
          <cell r="C1418" t="str">
            <v>Function_AcuRev1320_036_04_case03</v>
          </cell>
        </row>
        <row r="1419">
          <cell r="C1419" t="str">
            <v>Function_AcuRev1320_036_05_case01</v>
          </cell>
        </row>
        <row r="1420">
          <cell r="C1420" t="str">
            <v>Function_AcuRev1320_036_05_case02</v>
          </cell>
        </row>
        <row r="1421">
          <cell r="C1421" t="str">
            <v>Function_AcuRev1320_036_05_case03</v>
          </cell>
        </row>
        <row r="1422">
          <cell r="C1422" t="str">
            <v>Function_AcuRev1320_036_05_case04</v>
          </cell>
        </row>
        <row r="1423">
          <cell r="C1423" t="str">
            <v>Function_AcuRev1320_036_06_case01</v>
          </cell>
        </row>
        <row r="1424">
          <cell r="C1424" t="str">
            <v>Function_AcuRev1320_036_06_case02</v>
          </cell>
        </row>
        <row r="1425">
          <cell r="C1425" t="str">
            <v>Function_AcuRev1320_036_06_case03</v>
          </cell>
        </row>
        <row r="1426">
          <cell r="C1426" t="str">
            <v>Function_AcuRev1320_036_07_case01</v>
          </cell>
        </row>
        <row r="1427">
          <cell r="C1427" t="str">
            <v>Function_AcuRev1320_036_07_case02</v>
          </cell>
        </row>
        <row r="1428">
          <cell r="C1428" t="str">
            <v>Function_AcuRev1320_036_07_case03</v>
          </cell>
        </row>
        <row r="1429">
          <cell r="C1429" t="str">
            <v>Function_AcuRev1320_036_07_case04</v>
          </cell>
        </row>
        <row r="1430">
          <cell r="C1430" t="str">
            <v>Function_AcuRev1320_036_07_case05</v>
          </cell>
        </row>
        <row r="1431">
          <cell r="C1431" t="str">
            <v>Function_AcuRev1320_036_07_case06</v>
          </cell>
        </row>
        <row r="1432">
          <cell r="C1432" t="str">
            <v>Function_AcuRev1320_036_07_case07</v>
          </cell>
        </row>
        <row r="1433">
          <cell r="C1433" t="str">
            <v>Function_AcuRev1320_036_07_case08</v>
          </cell>
        </row>
        <row r="1434">
          <cell r="C1434" t="str">
            <v>Function_AcuRev1320_036_07_case09</v>
          </cell>
        </row>
        <row r="1435">
          <cell r="C1435" t="str">
            <v>Function_AcuRev1320_036_07_case10</v>
          </cell>
        </row>
        <row r="1436">
          <cell r="C1436" t="str">
            <v>Function_AcuRev1320_036_07_case11</v>
          </cell>
        </row>
        <row r="1437">
          <cell r="C1437" t="str">
            <v>Function_AcuRev1320_036_07_case12</v>
          </cell>
        </row>
        <row r="1438">
          <cell r="C1438" t="str">
            <v>Function_AcuRev1320_036_07_case13</v>
          </cell>
        </row>
        <row r="1439">
          <cell r="C1439" t="str">
            <v>Function_AcuRev1320_036_07_case14</v>
          </cell>
        </row>
        <row r="1440">
          <cell r="C1440" t="str">
            <v>Function_AcuRev1320_036_07_case15</v>
          </cell>
        </row>
        <row r="1441">
          <cell r="C1441" t="str">
            <v>Function_AcuRev1320_036_07_case16</v>
          </cell>
        </row>
        <row r="1442">
          <cell r="C1442" t="str">
            <v>Function_AcuRev1320_036_07_case17</v>
          </cell>
        </row>
        <row r="1443">
          <cell r="C1443" t="str">
            <v>Function_AcuRev1320_036_08_case01</v>
          </cell>
        </row>
        <row r="1444">
          <cell r="C1444" t="str">
            <v>Function_AcuRev1320_036_08_case02</v>
          </cell>
        </row>
        <row r="1445">
          <cell r="C1445" t="str">
            <v>Function_AcuRev1320_036_08_case03</v>
          </cell>
        </row>
        <row r="1446">
          <cell r="C1446" t="str">
            <v>Function_AcuRev1320_036_08_case04</v>
          </cell>
        </row>
        <row r="1447">
          <cell r="C1447" t="str">
            <v>Function_AcuRev1320_036_08_case05</v>
          </cell>
        </row>
        <row r="1448">
          <cell r="C1448" t="str">
            <v>Function_AcuRev1320_036_08_case06</v>
          </cell>
        </row>
        <row r="1449">
          <cell r="C1449" t="str">
            <v>Function_AcuRev1320_036_08_case07</v>
          </cell>
        </row>
        <row r="1450">
          <cell r="C1450" t="str">
            <v>Function_AcuRev1320_036_09_case01</v>
          </cell>
        </row>
        <row r="1451">
          <cell r="C1451" t="str">
            <v>Function_AcuRev1320_036_09_case02</v>
          </cell>
        </row>
        <row r="1452">
          <cell r="C1452" t="str">
            <v>Function_AcuRev1320_036_09_case03</v>
          </cell>
        </row>
        <row r="1453">
          <cell r="C1453" t="str">
            <v>Function_AcuRev1320_036_09_case04</v>
          </cell>
        </row>
        <row r="1454">
          <cell r="C1454" t="str">
            <v>Function_AcuRev1320_036_09_case05</v>
          </cell>
        </row>
        <row r="1455">
          <cell r="C1455" t="str">
            <v>Function_AcuRev1320_036_09_case06</v>
          </cell>
        </row>
        <row r="1456">
          <cell r="C1456" t="str">
            <v>Function_AcuRev1320_037_01_case1</v>
          </cell>
        </row>
        <row r="1457">
          <cell r="C1457" t="str">
            <v>Function_AcuRev1320_037_01_case2</v>
          </cell>
        </row>
        <row r="1458">
          <cell r="C1458" t="str">
            <v>Function_AcuRev1320_037_01_case3</v>
          </cell>
        </row>
        <row r="1459">
          <cell r="C1459" t="str">
            <v>Function_AcuRev1320_037_01_case4</v>
          </cell>
        </row>
        <row r="1460">
          <cell r="C1460" t="str">
            <v>Function_AcuRev1320_037_01_case5</v>
          </cell>
        </row>
        <row r="1461">
          <cell r="C1461" t="str">
            <v>Function_AcuRev1320_037_02_case1</v>
          </cell>
        </row>
        <row r="1462">
          <cell r="C1462" t="str">
            <v>Function_AcuRev1320_037_02_case2</v>
          </cell>
        </row>
        <row r="1463">
          <cell r="C1463" t="str">
            <v>Function_AcuRev1320_037_02_case3</v>
          </cell>
        </row>
        <row r="1464">
          <cell r="C1464" t="str">
            <v>Function_AcuRev1320_037_02_case4</v>
          </cell>
        </row>
        <row r="1466">
          <cell r="C1466" t="str">
            <v>Function_AcuRev1320_038_01_case1</v>
          </cell>
        </row>
        <row r="1467">
          <cell r="C1467" t="str">
            <v>Function_AcuRev1320_038_01_case2</v>
          </cell>
        </row>
        <row r="1468">
          <cell r="C1468" t="str">
            <v>Function_AcuRev1320_038_01_case3</v>
          </cell>
        </row>
        <row r="1469">
          <cell r="C1469" t="str">
            <v>Function_AcuRev1320_038_01_case4</v>
          </cell>
        </row>
        <row r="1470">
          <cell r="C1470" t="str">
            <v>Function_AcuRev1320_038_01_case5</v>
          </cell>
        </row>
        <row r="1471">
          <cell r="C1471" t="str">
            <v>Function_AcuRev1320_038_01_case6</v>
          </cell>
        </row>
        <row r="1472">
          <cell r="C1472" t="str">
            <v>Function_AcuRev1320_038_01_case7</v>
          </cell>
        </row>
        <row r="1473">
          <cell r="C1473" t="str">
            <v>Function_AcuRev1320_038_01_case7_1</v>
          </cell>
        </row>
        <row r="1474">
          <cell r="C1474" t="str">
            <v>Function_AcuRev1320_038_01_case8</v>
          </cell>
        </row>
        <row r="1475">
          <cell r="C1475" t="str">
            <v>Function_AcuRev1320_038_01_case9</v>
          </cell>
        </row>
        <row r="1476">
          <cell r="C1476" t="str">
            <v>Function_AcuRev1320_038_01_case10</v>
          </cell>
        </row>
        <row r="1477">
          <cell r="C1477" t="str">
            <v>Function_AcuRev1320_038_01_case11</v>
          </cell>
        </row>
        <row r="1478">
          <cell r="C1478" t="str">
            <v>Function_AcuRev1320_038_01_case12</v>
          </cell>
        </row>
        <row r="1479">
          <cell r="C1479" t="str">
            <v>Function_AcuRev1320_039_01_case1</v>
          </cell>
        </row>
        <row r="1480">
          <cell r="C1480" t="str">
            <v>Function_AcuRev1320_039_01_case2</v>
          </cell>
        </row>
        <row r="1481">
          <cell r="C1481" t="str">
            <v>Function_AcuRev1320_039_01_case3</v>
          </cell>
        </row>
        <row r="1482">
          <cell r="C1482" t="str">
            <v>Function_AcuRev1320_039_01_case4</v>
          </cell>
        </row>
        <row r="1483">
          <cell r="C1483" t="str">
            <v>Function_AcuRev1320_039_01_case5</v>
          </cell>
        </row>
        <row r="1484">
          <cell r="C1484" t="str">
            <v>Function_AcuRev1320_039_01_case6</v>
          </cell>
        </row>
        <row r="1485">
          <cell r="C1485" t="str">
            <v>Function_AcuRev1320_039_01_case7</v>
          </cell>
        </row>
        <row r="1486">
          <cell r="C1486" t="str">
            <v>Function_AcuRev1320_039_03_case1</v>
          </cell>
        </row>
        <row r="1487">
          <cell r="C1487" t="str">
            <v>Function_AcuRev1320_039_03_case2</v>
          </cell>
        </row>
        <row r="1488">
          <cell r="C1488" t="str">
            <v>Function_AcuRev1320_039_03_case3</v>
          </cell>
        </row>
        <row r="1489">
          <cell r="C1489" t="str">
            <v>Function_AcuRev1320_039_03_case4</v>
          </cell>
        </row>
        <row r="1490">
          <cell r="C1490" t="str">
            <v>Function_AcuRev1320_039_03_case5</v>
          </cell>
        </row>
        <row r="1491">
          <cell r="C1491" t="str">
            <v>Function_AcuRev1320_039_03_case6</v>
          </cell>
        </row>
        <row r="1492">
          <cell r="C1492" t="str">
            <v>Function_AcuRev1320_039_03_case7</v>
          </cell>
        </row>
        <row r="1493">
          <cell r="C1493" t="str">
            <v>Function_AcuRev1320_039_03_case8</v>
          </cell>
        </row>
        <row r="1494">
          <cell r="C1494" t="str">
            <v>Function_AcuRev1320_040_01_case1</v>
          </cell>
        </row>
        <row r="1495">
          <cell r="C1495" t="str">
            <v>Function_AcuRev1320_040_01_case2</v>
          </cell>
        </row>
        <row r="1496">
          <cell r="C1496" t="str">
            <v>Function_AcuRev1320_040_01_case3</v>
          </cell>
        </row>
        <row r="1497">
          <cell r="C1497" t="str">
            <v>Function_AcuRev1320_040_01_case4</v>
          </cell>
        </row>
        <row r="1498">
          <cell r="C1498" t="str">
            <v>Function_AcuRev1320_040_01_case5</v>
          </cell>
        </row>
        <row r="1499">
          <cell r="C1499" t="str">
            <v>Function_AcuRev1320_040_01_case6</v>
          </cell>
        </row>
        <row r="1500">
          <cell r="C1500" t="str">
            <v>Function_AcuRev1320_040_01_case7</v>
          </cell>
        </row>
        <row r="1501">
          <cell r="C1501" t="str">
            <v>Function_AcuRev1320_040_01_case8</v>
          </cell>
        </row>
        <row r="1502">
          <cell r="C1502" t="str">
            <v>Function_AcuRev1320_040_01_case9</v>
          </cell>
        </row>
        <row r="1503">
          <cell r="C1503" t="str">
            <v>Function_AcuRev1320_040_01_case10</v>
          </cell>
        </row>
        <row r="1504">
          <cell r="C1504" t="str">
            <v>Function_AcuRev1320_040_02_case1</v>
          </cell>
        </row>
        <row r="1505">
          <cell r="C1505" t="str">
            <v>Function_AcuRev1320_040_02_case2</v>
          </cell>
        </row>
        <row r="1506">
          <cell r="C1506" t="str">
            <v>Function_AcuRev1320_040_03_case1</v>
          </cell>
        </row>
        <row r="1507">
          <cell r="C1507" t="str">
            <v>Function_AcuRev1320_040_03_case2</v>
          </cell>
        </row>
        <row r="1508">
          <cell r="C1508" t="str">
            <v>Function_AcuRev1320_040_04_case1</v>
          </cell>
        </row>
        <row r="1509">
          <cell r="C1509" t="str">
            <v>Function_AcuRev1320_040_04_case2</v>
          </cell>
        </row>
        <row r="1510">
          <cell r="C1510" t="str">
            <v>Function_AcuRev1320_042_01_case1</v>
          </cell>
        </row>
        <row r="1511">
          <cell r="C1511" t="str">
            <v>Function_AcuRev1320_042_01_case2</v>
          </cell>
        </row>
        <row r="1512">
          <cell r="C1512" t="str">
            <v>Function_AcuRev1320_042_01_case3</v>
          </cell>
        </row>
        <row r="1513">
          <cell r="C1513" t="str">
            <v>Function_AcuRev1320_042_01_case4</v>
          </cell>
        </row>
        <row r="1514">
          <cell r="C1514" t="str">
            <v>Function_AcuRev1320_042_01_case5</v>
          </cell>
        </row>
        <row r="1515">
          <cell r="C1515" t="str">
            <v>Function_AcuRev1320_042_01_case6</v>
          </cell>
        </row>
        <row r="1516">
          <cell r="C1516" t="str">
            <v>Function_AcuRev1320_042_01_case7</v>
          </cell>
        </row>
        <row r="1517">
          <cell r="C1517" t="str">
            <v>Function_AcuRev1320_042_01_case8</v>
          </cell>
        </row>
        <row r="1518">
          <cell r="C1518" t="str">
            <v>Function_AcuRev1320_042_01_case9</v>
          </cell>
        </row>
        <row r="1519">
          <cell r="C1519" t="str">
            <v>Function_AcuRev1320_042_01_case10</v>
          </cell>
        </row>
        <row r="1520">
          <cell r="C1520" t="str">
            <v>Function_AcuRev1320_042_01_case11</v>
          </cell>
        </row>
        <row r="1521">
          <cell r="C1521" t="str">
            <v>Function_AcuRev1320_042_01_case12</v>
          </cell>
        </row>
        <row r="1522">
          <cell r="C1522" t="str">
            <v>Function_AcuRev1320_042_01_case13</v>
          </cell>
        </row>
        <row r="1523">
          <cell r="C1523" t="str">
            <v>Function_AcuRev1320_042_01_case14</v>
          </cell>
        </row>
        <row r="1524">
          <cell r="C1524" t="str">
            <v>Function_AcuRev1320_042_02_case1</v>
          </cell>
        </row>
        <row r="1525">
          <cell r="C1525" t="str">
            <v>Function_AcuRev1320_042_02_case2</v>
          </cell>
        </row>
        <row r="1526">
          <cell r="C1526" t="str">
            <v>Function_AcuRev1320_042_02_case3</v>
          </cell>
        </row>
        <row r="1527">
          <cell r="C1527" t="str">
            <v>Function_AcuRev1320_042_02_case4</v>
          </cell>
        </row>
        <row r="1528">
          <cell r="C1528" t="str">
            <v>Function_AcuRev1320_042_02_case5</v>
          </cell>
        </row>
        <row r="1529">
          <cell r="C1529" t="str">
            <v>Function_AcuRev1320_042_02_case6</v>
          </cell>
        </row>
        <row r="1530">
          <cell r="C1530" t="str">
            <v>Function_AcuRev1320_042_02_case7</v>
          </cell>
        </row>
        <row r="1531">
          <cell r="C1531" t="str">
            <v>Function_AcuRev1320_042_02_case8</v>
          </cell>
        </row>
        <row r="1532">
          <cell r="C1532" t="str">
            <v>Function_AcuRev1320_042_02_case9</v>
          </cell>
        </row>
        <row r="1533">
          <cell r="C1533" t="str">
            <v>Function_AcuRev1320_042_02_case10</v>
          </cell>
        </row>
        <row r="1534">
          <cell r="C1534" t="str">
            <v>Function_AcuRev1320_042_02_case11</v>
          </cell>
        </row>
        <row r="1535">
          <cell r="C1535" t="str">
            <v>Function_AcuRev1320_042_02_case12</v>
          </cell>
        </row>
        <row r="1536">
          <cell r="C1536" t="str">
            <v>Function_AcuRev1320_042_02_case13</v>
          </cell>
        </row>
        <row r="1537">
          <cell r="C1537" t="str">
            <v>Function_AcuRev1320_042_03_case1</v>
          </cell>
        </row>
        <row r="1538">
          <cell r="C1538" t="str">
            <v>Function_AcuRev1320_042_03_case2</v>
          </cell>
        </row>
        <row r="1539">
          <cell r="C1539" t="str">
            <v>Function_AcuRev1320_042_03_case3</v>
          </cell>
        </row>
        <row r="1540">
          <cell r="C1540" t="str">
            <v>Function_AcuRev1320_042_03_case4</v>
          </cell>
        </row>
        <row r="1541">
          <cell r="C1541" t="str">
            <v>Function_AcuRev1320_042_03_case5</v>
          </cell>
        </row>
        <row r="1542">
          <cell r="C1542" t="str">
            <v>Function_AcuRev1320_042_03_case6</v>
          </cell>
        </row>
        <row r="1543">
          <cell r="C1543" t="str">
            <v>Function_AcuRev1320_042_03_case7</v>
          </cell>
        </row>
        <row r="1544">
          <cell r="C1544" t="str">
            <v>Function_AcuRev1320_042_03_case8</v>
          </cell>
        </row>
        <row r="1545">
          <cell r="C1545" t="str">
            <v>Function_AcuRev1320_042_03_case9</v>
          </cell>
        </row>
        <row r="1546">
          <cell r="C1546" t="str">
            <v>Function_AcuRev1320_042_03_case10</v>
          </cell>
        </row>
        <row r="1547">
          <cell r="C1547" t="str">
            <v>Function_AcuRev1320_042_03_case11</v>
          </cell>
        </row>
        <row r="1548">
          <cell r="C1548" t="str">
            <v>Function_AcuRev1320_042_03_case12</v>
          </cell>
        </row>
        <row r="1549">
          <cell r="C1549" t="str">
            <v>Function_AcuRev1320_042_03_case13</v>
          </cell>
        </row>
        <row r="1550">
          <cell r="C1550" t="str">
            <v>Function_AcuRev1320_042_03_case14</v>
          </cell>
        </row>
        <row r="1551">
          <cell r="C1551" t="str">
            <v>Function_AcuRev1320_042_03_case15</v>
          </cell>
        </row>
        <row r="1552">
          <cell r="C1552" t="str">
            <v>Function_AcuRev1320_042_03_case16</v>
          </cell>
        </row>
        <row r="1553">
          <cell r="C1553" t="str">
            <v>Function_AcuRev1320_042_04_case1</v>
          </cell>
        </row>
        <row r="1554">
          <cell r="C1554" t="str">
            <v>Function_AcuRev1320_042_04_case2</v>
          </cell>
        </row>
        <row r="1555">
          <cell r="C1555" t="str">
            <v>Function_AcuRev1320_042_04_case3</v>
          </cell>
        </row>
        <row r="1556">
          <cell r="C1556" t="str">
            <v>Function_AcuRev1320_042_04_case4</v>
          </cell>
        </row>
        <row r="1557">
          <cell r="C1557" t="str">
            <v>Function_AcuRev1320_042_04_case5</v>
          </cell>
        </row>
        <row r="1558">
          <cell r="C1558" t="str">
            <v>Function_AcuRev1320_042_04_case6</v>
          </cell>
        </row>
        <row r="1559">
          <cell r="C1559" t="str">
            <v>Function_AcuRev1320_042_04_case7</v>
          </cell>
        </row>
        <row r="1560">
          <cell r="C1560" t="str">
            <v>Function_AcuRev1320_042_04_case8</v>
          </cell>
        </row>
        <row r="1561">
          <cell r="C1561" t="str">
            <v>Function_AcuRev1320_042_04_case9</v>
          </cell>
        </row>
        <row r="1562">
          <cell r="C1562" t="str">
            <v>Function_AcuRev1320_042_04_case10</v>
          </cell>
        </row>
        <row r="1563">
          <cell r="C1563" t="str">
            <v>Function_AcuRev1320_042_04_case11</v>
          </cell>
        </row>
        <row r="1564">
          <cell r="C1564" t="str">
            <v>Function_AcuRev1320_042_04_case12</v>
          </cell>
        </row>
        <row r="1565">
          <cell r="C1565" t="str">
            <v>Function_AcuRev1320_042_04_case12_1</v>
          </cell>
        </row>
        <row r="1566">
          <cell r="C1566" t="str">
            <v>Function_AcuRev1320_042_04_case13</v>
          </cell>
        </row>
        <row r="1567">
          <cell r="C1567" t="str">
            <v>Function_AcuRev1320_042_04_case14</v>
          </cell>
        </row>
        <row r="1568">
          <cell r="C1568" t="str">
            <v>Function_AcuRev1320_042_04_case15</v>
          </cell>
        </row>
        <row r="1569">
          <cell r="C1569" t="str">
            <v>Function_AcuRev1320_042_04_case16</v>
          </cell>
        </row>
        <row r="1570">
          <cell r="C1570" t="str">
            <v>Function_AcuRev1320_042_04_case17</v>
          </cell>
        </row>
        <row r="1571">
          <cell r="C1571" t="str">
            <v>Function_AcuRev1320_042_05_case1</v>
          </cell>
        </row>
        <row r="1572">
          <cell r="C1572" t="str">
            <v>Function_AcuRev1320_042_05_case2</v>
          </cell>
        </row>
        <row r="1573">
          <cell r="C1573" t="str">
            <v>Function_AcuRev1320_042_05_case3</v>
          </cell>
        </row>
        <row r="1574">
          <cell r="C1574" t="str">
            <v>Function_AcuRev1320_042_05_case4</v>
          </cell>
        </row>
        <row r="1575">
          <cell r="C1575" t="str">
            <v>Function_AcuRev1320_043_01_case1</v>
          </cell>
        </row>
        <row r="1576">
          <cell r="C1576" t="str">
            <v>Function_AcuRev1320_043_01_case2</v>
          </cell>
        </row>
        <row r="1577">
          <cell r="C1577" t="str">
            <v>Function_AcuRev1320_043_01_case3</v>
          </cell>
        </row>
        <row r="1578">
          <cell r="C1578" t="str">
            <v>Function_AcuRev1320_043_01_case4</v>
          </cell>
        </row>
        <row r="1579">
          <cell r="C1579" t="str">
            <v>Function_AcuRev1320_043_01_case5</v>
          </cell>
        </row>
        <row r="1580">
          <cell r="C1580" t="str">
            <v>Function_AcuRev1320_043_01_case6</v>
          </cell>
        </row>
        <row r="1581">
          <cell r="C1581" t="str">
            <v>Function_AcuRev1320_043_01_case7</v>
          </cell>
        </row>
        <row r="1582">
          <cell r="C1582" t="str">
            <v>Function_AcuRev1320_043_01_case8</v>
          </cell>
        </row>
        <row r="1583">
          <cell r="C1583" t="str">
            <v>Function_AcuRev1320_043_01_case9</v>
          </cell>
        </row>
        <row r="1584">
          <cell r="C1584" t="str">
            <v>Function_AcuRev1320_043_01_case10</v>
          </cell>
        </row>
        <row r="1585">
          <cell r="C1585" t="str">
            <v>Function_AcuRev1320_043_01_case11</v>
          </cell>
        </row>
        <row r="1586">
          <cell r="C1586" t="str">
            <v>Function_AcuRev1320_043_01_case12</v>
          </cell>
        </row>
        <row r="1587">
          <cell r="C1587" t="str">
            <v>Function_AcuRev1320_043_01_case13</v>
          </cell>
        </row>
        <row r="1588">
          <cell r="C1588" t="str">
            <v>Function_AcuRev1320_043_01_case14</v>
          </cell>
        </row>
        <row r="1589">
          <cell r="C1589" t="str">
            <v>Function_AcuRev1320_043_01_case15</v>
          </cell>
        </row>
        <row r="1590">
          <cell r="C1590" t="str">
            <v>Function_AcuRev1320_043_01_case16</v>
          </cell>
        </row>
        <row r="1591">
          <cell r="C1591" t="str">
            <v>Function_AcuRev1320_043_01_case17</v>
          </cell>
        </row>
        <row r="1592">
          <cell r="C1592" t="str">
            <v>Function_AcuRev1320_043_03_case1</v>
          </cell>
        </row>
        <row r="1593">
          <cell r="C1593" t="str">
            <v>Function_AcuRev1320_043_03_case2</v>
          </cell>
        </row>
        <row r="1594">
          <cell r="C1594" t="str">
            <v>Function_AcuRev1320_043_03_case3</v>
          </cell>
        </row>
        <row r="1595">
          <cell r="C1595" t="str">
            <v>Function_AcuRev1320_043_03_case4</v>
          </cell>
        </row>
        <row r="1596">
          <cell r="C1596" t="str">
            <v>Function_AcuRev1320_043_03_case5</v>
          </cell>
        </row>
        <row r="1597">
          <cell r="C1597" t="str">
            <v>Function_AcuRev1320_043_03_case6</v>
          </cell>
        </row>
        <row r="1598">
          <cell r="C1598" t="str">
            <v>Function_AcuRev1320_043_03_case7</v>
          </cell>
        </row>
        <row r="1599">
          <cell r="C1599" t="str">
            <v>Function_AcuRev1320_043_03_case7_1</v>
          </cell>
        </row>
        <row r="1600">
          <cell r="C1600" t="str">
            <v>Function_AcuRev1320_043_03_case8</v>
          </cell>
        </row>
        <row r="1601">
          <cell r="C1601" t="str">
            <v>Function_AcuRev1320_043_03_case9</v>
          </cell>
        </row>
        <row r="1602">
          <cell r="C1602" t="str">
            <v>Function_AcuRev1320_043_04_case1</v>
          </cell>
        </row>
        <row r="1603">
          <cell r="C1603" t="str">
            <v>Function_AcuRev1320_043_04_case2</v>
          </cell>
        </row>
        <row r="1604">
          <cell r="C1604" t="str">
            <v>Function_AcuRev1320_043_04_case2_1</v>
          </cell>
        </row>
        <row r="1605">
          <cell r="C1605" t="str">
            <v>Function_AcuRev1320_043_04_case3</v>
          </cell>
        </row>
        <row r="1606">
          <cell r="C1606" t="str">
            <v>Function_AcuRev1320_043_04_case4</v>
          </cell>
        </row>
        <row r="1607">
          <cell r="C1607" t="str">
            <v>Function_AcuRev1320_043_04_case5</v>
          </cell>
        </row>
        <row r="1608">
          <cell r="C1608" t="str">
            <v>Function_AcuRev1320_043_04_case6</v>
          </cell>
        </row>
        <row r="1609">
          <cell r="C1609" t="str">
            <v>Function_AcuRev1320_043_04_case7</v>
          </cell>
        </row>
        <row r="1610">
          <cell r="C1610" t="str">
            <v>Function_AcuRev1320_043_04_case8</v>
          </cell>
        </row>
        <row r="1611">
          <cell r="C1611" t="str">
            <v>Function_AcuRev1320_043_05_case1</v>
          </cell>
        </row>
        <row r="1612">
          <cell r="C1612" t="str">
            <v>Function_AcuRev1320_043_05_case2</v>
          </cell>
        </row>
        <row r="1613">
          <cell r="C1613" t="str">
            <v>Function_AcuRev1320_043_05_case3</v>
          </cell>
        </row>
        <row r="1614">
          <cell r="C1614" t="str">
            <v>Function_AcuRev1320_043_05_case4</v>
          </cell>
        </row>
        <row r="1615">
          <cell r="C1615" t="str">
            <v>Function_AcuRev1320_043_05_case5</v>
          </cell>
        </row>
        <row r="1616">
          <cell r="C1616" t="str">
            <v>Function_AcuRev1320_043_05_case6</v>
          </cell>
        </row>
        <row r="1617">
          <cell r="C1617" t="str">
            <v>Function_AcuRev1320_043_05_case7</v>
          </cell>
        </row>
        <row r="1618">
          <cell r="C1618" t="str">
            <v>Function_AcuRev1320_043_05_case8</v>
          </cell>
        </row>
        <row r="1619">
          <cell r="C1619" t="str">
            <v>Function_AcuRev1320_043_07_case1</v>
          </cell>
        </row>
        <row r="1620">
          <cell r="C1620" t="str">
            <v>Function_AcuRev1320_043_07_case3</v>
          </cell>
        </row>
        <row r="1621">
          <cell r="C1621" t="str">
            <v>Function_AcuRev1320_043_08_case1</v>
          </cell>
        </row>
        <row r="1622">
          <cell r="C1622" t="str">
            <v>Function_AcuRev1320_043_08_case2</v>
          </cell>
        </row>
        <row r="1623">
          <cell r="C1623" t="str">
            <v>Function_AcuRev1320_043_08_case3</v>
          </cell>
        </row>
        <row r="1624">
          <cell r="C1624" t="str">
            <v>Function_AcuRev1320_043_08_case4</v>
          </cell>
        </row>
        <row r="1625">
          <cell r="C1625" t="str">
            <v>Function_AcuRev1320_043_08_case5</v>
          </cell>
        </row>
        <row r="1626">
          <cell r="C1626" t="str">
            <v>Function_AcuRev1320_043_08_case6</v>
          </cell>
        </row>
        <row r="1627">
          <cell r="C1627" t="str">
            <v>Function_AcuRev1320_043_08_case7</v>
          </cell>
        </row>
        <row r="1628">
          <cell r="C1628" t="str">
            <v>Function_AcuRev1320_043_08_case8</v>
          </cell>
        </row>
        <row r="1629">
          <cell r="C1629" t="str">
            <v>Function_AcuRev1320_043_08_case9</v>
          </cell>
        </row>
        <row r="1630">
          <cell r="C1630" t="str">
            <v>Function_AcuRev1320_043_08_case10</v>
          </cell>
        </row>
        <row r="1631">
          <cell r="C1631" t="str">
            <v>Function_AcuRev1320_043_10_case1</v>
          </cell>
        </row>
        <row r="1632">
          <cell r="C1632" t="str">
            <v>Function_AcuRev1320_043_10_case2</v>
          </cell>
        </row>
        <row r="1633">
          <cell r="C1633" t="str">
            <v>Function_AcuRev1320_043_10_case2_1</v>
          </cell>
        </row>
        <row r="1634">
          <cell r="C1634" t="str">
            <v>Function_AcuRev1320_043_10_case3</v>
          </cell>
        </row>
        <row r="1635">
          <cell r="C1635" t="str">
            <v>Function_AcuRev1320_044_01_case1</v>
          </cell>
        </row>
        <row r="1636">
          <cell r="C1636" t="str">
            <v>Function_AcuRev1320_044_01_case2</v>
          </cell>
        </row>
        <row r="1637">
          <cell r="C1637" t="str">
            <v>Function_AcuRev1320_044_01_case3</v>
          </cell>
        </row>
        <row r="1638">
          <cell r="C1638" t="str">
            <v>Function_AcuRev1320_044_01_case4</v>
          </cell>
        </row>
        <row r="1639">
          <cell r="C1639" t="str">
            <v>Function_AcuRev1320_044_02_case1</v>
          </cell>
        </row>
        <row r="1640">
          <cell r="C1640" t="str">
            <v>Function_AcuRev1320_044_02_case2</v>
          </cell>
        </row>
        <row r="1641">
          <cell r="C1641" t="str">
            <v>Function_AcuRev1320_044_02_case3</v>
          </cell>
        </row>
        <row r="1642">
          <cell r="C1642" t="str">
            <v>Function_AcuRev1320_044_02_case4</v>
          </cell>
        </row>
        <row r="1643">
          <cell r="C1643" t="str">
            <v>Function_AcuRev1320_044_02_case5</v>
          </cell>
        </row>
        <row r="1644">
          <cell r="C1644" t="str">
            <v>Function_AcuRev1320_044_03_case1</v>
          </cell>
        </row>
        <row r="1645">
          <cell r="C1645" t="str">
            <v>Function_AcuRev1320_044_03_case2</v>
          </cell>
        </row>
        <row r="1646">
          <cell r="C1646" t="str">
            <v>Function_AcuRev1320_044_03_case3</v>
          </cell>
        </row>
        <row r="1647">
          <cell r="C1647" t="str">
            <v>Function_AcuRev1320_044_05_case1</v>
          </cell>
        </row>
        <row r="1648">
          <cell r="C1648" t="str">
            <v>Function_AcuRev1320_044_05_case2</v>
          </cell>
        </row>
        <row r="1649">
          <cell r="C1649" t="str">
            <v>Function_AcuRev1320_044_05_case3</v>
          </cell>
        </row>
        <row r="1650">
          <cell r="C1650" t="str">
            <v>Function_AcuRev1320_044_06_case1</v>
          </cell>
        </row>
        <row r="1651">
          <cell r="C1651" t="str">
            <v>Function_AcuRev1320_044_06_case2</v>
          </cell>
        </row>
        <row r="1652">
          <cell r="C1652" t="str">
            <v>Function_AcuRev1320_044_06_case3</v>
          </cell>
        </row>
        <row r="1653">
          <cell r="C1653" t="str">
            <v>Function_AcuRev1320_044_07_case1</v>
          </cell>
        </row>
        <row r="1654">
          <cell r="C1654" t="str">
            <v>Function_AcuRev1320_044_07_case2</v>
          </cell>
        </row>
        <row r="1655">
          <cell r="C1655" t="str">
            <v>Function_AcuRev1320_044_07_case3</v>
          </cell>
        </row>
        <row r="1656">
          <cell r="C1656" t="str">
            <v>Function_AcuRev1320_044_07_case4</v>
          </cell>
        </row>
        <row r="1657">
          <cell r="C1657" t="str">
            <v>Function_AcuRev1320_044_08_case1</v>
          </cell>
        </row>
        <row r="1658">
          <cell r="C1658" t="str">
            <v>Function_AcuRev1320_044_08_case2</v>
          </cell>
        </row>
        <row r="1659">
          <cell r="C1659" t="str">
            <v>Function_AcuRev1320_044_08_case3</v>
          </cell>
        </row>
        <row r="1660">
          <cell r="C1660" t="str">
            <v>Function_AcuRev1320_045_01_case1</v>
          </cell>
        </row>
        <row r="1661">
          <cell r="C1661" t="str">
            <v>Function_AcuRev1320_045_01_case2</v>
          </cell>
        </row>
        <row r="1662">
          <cell r="C1662" t="str">
            <v>Function_AcuRev1320_045_01_case3</v>
          </cell>
        </row>
        <row r="1663">
          <cell r="C1663" t="str">
            <v>Function_AcuRev1320_045_01_case4</v>
          </cell>
        </row>
        <row r="1664">
          <cell r="C1664" t="str">
            <v>Function_AcuRev1320_045_01_case5</v>
          </cell>
        </row>
        <row r="1665">
          <cell r="C1665" t="str">
            <v>Function_AcuRev1320_045_01_case6</v>
          </cell>
        </row>
        <row r="1666">
          <cell r="C1666" t="str">
            <v>Function_AcuRev1320_045_01_case7</v>
          </cell>
        </row>
        <row r="1667">
          <cell r="C1667" t="str">
            <v>Function_AcuRev1320_045_01_case8</v>
          </cell>
        </row>
        <row r="1668">
          <cell r="C1668" t="str">
            <v>Function_AcuRev1320_045_01_case9</v>
          </cell>
        </row>
        <row r="1669">
          <cell r="C1669" t="str">
            <v>Function_AcuRev1320_045_01_case10</v>
          </cell>
        </row>
        <row r="1670">
          <cell r="C1670" t="str">
            <v>Function_AcuRev1320_045_01_case11</v>
          </cell>
        </row>
        <row r="1671">
          <cell r="C1671" t="str">
            <v>Function_AcuRev1320_045_01_case12</v>
          </cell>
        </row>
        <row r="1672">
          <cell r="C1672" t="str">
            <v>Function_AcuRev1320_045_01_case13</v>
          </cell>
        </row>
        <row r="1673">
          <cell r="C1673" t="str">
            <v>Function_AcuRev1320_045_01_case14</v>
          </cell>
        </row>
        <row r="1674">
          <cell r="C1674" t="str">
            <v>Function_AcuRev1320_045_01_case15</v>
          </cell>
        </row>
        <row r="1675">
          <cell r="C1675" t="str">
            <v>Function_AcuRev1320_045_01_case16</v>
          </cell>
        </row>
        <row r="1676">
          <cell r="C1676" t="str">
            <v>Function_AcuRev1320_045_01_case17</v>
          </cell>
        </row>
        <row r="1677">
          <cell r="C1677" t="str">
            <v>Function_AcuRev1320_045_01_case18</v>
          </cell>
        </row>
        <row r="1678">
          <cell r="C1678" t="str">
            <v>Function_AcuRev1320_045_01_case20</v>
          </cell>
        </row>
        <row r="1679">
          <cell r="C1679" t="str">
            <v>Function_AcuRev1320_045_01_case21</v>
          </cell>
        </row>
        <row r="1680">
          <cell r="C1680" t="str">
            <v>Function_AcuRev1320_045_01_case22</v>
          </cell>
        </row>
        <row r="1681">
          <cell r="C1681" t="str">
            <v>Function_AcuRev1320_045_01_case23</v>
          </cell>
        </row>
        <row r="1682">
          <cell r="C1682" t="str">
            <v>Function_AcuRev1320_045_01_case27</v>
          </cell>
        </row>
        <row r="1683">
          <cell r="C1683" t="str">
            <v>Function_AcuRev1320_045_01_case29</v>
          </cell>
        </row>
        <row r="1684">
          <cell r="C1684" t="str">
            <v>Function_AcuRev1320_045_01_case31</v>
          </cell>
        </row>
        <row r="1685">
          <cell r="C1685" t="str">
            <v>Function_AcuRev1320_045_01_case33</v>
          </cell>
        </row>
        <row r="1686">
          <cell r="C1686" t="str">
            <v>Function_AcuRev1320_045_01_case34</v>
          </cell>
        </row>
        <row r="1687">
          <cell r="C1687" t="str">
            <v>Function_AcuRev1320_045_01_case36</v>
          </cell>
        </row>
        <row r="1688">
          <cell r="C1688" t="str">
            <v>Function_AcuRev1320_045_01_case37</v>
          </cell>
        </row>
        <row r="1689">
          <cell r="C1689" t="str">
            <v>Function_AcuRev1320_045_01_case38</v>
          </cell>
        </row>
        <row r="1690">
          <cell r="C1690" t="str">
            <v>Function_AcuRev1320_045_01_case44</v>
          </cell>
        </row>
        <row r="1691">
          <cell r="C1691" t="str">
            <v>Function_AcuRev1320_045_01_case45</v>
          </cell>
        </row>
        <row r="1692">
          <cell r="C1692" t="str">
            <v>Function_AcuRev1320_045_01_case46</v>
          </cell>
        </row>
        <row r="1693">
          <cell r="C1693" t="str">
            <v>Function_AcuRev1320_045_01_case47</v>
          </cell>
        </row>
        <row r="1694">
          <cell r="C1694" t="str">
            <v>Function_AcuRev1320_045_01_case47-2</v>
          </cell>
        </row>
        <row r="1695">
          <cell r="C1695" t="str">
            <v>Function_AcuRev1320_045_02_case1</v>
          </cell>
        </row>
        <row r="1696">
          <cell r="C1696" t="str">
            <v>Function_AcuRev1320_045_02_case7</v>
          </cell>
        </row>
        <row r="1697">
          <cell r="C1697" t="str">
            <v>Function_AcuRev1320_045_02_case8</v>
          </cell>
        </row>
        <row r="1698">
          <cell r="C1698" t="str">
            <v>Function_AcuRev1320_045_02_case9</v>
          </cell>
        </row>
        <row r="1699">
          <cell r="C1699" t="str">
            <v>Function_AcuRev1320_045_02_case9_1</v>
          </cell>
        </row>
        <row r="1700">
          <cell r="C1700" t="str">
            <v>Function_AcuRev1320_045_02_case9_2</v>
          </cell>
        </row>
        <row r="1701">
          <cell r="C1701" t="str">
            <v>Function_AcuRev1320_045_02_case9_3</v>
          </cell>
        </row>
        <row r="1702">
          <cell r="C1702" t="str">
            <v>Function_AcuRev1320_045_02_case9_4</v>
          </cell>
        </row>
        <row r="1703">
          <cell r="C1703" t="str">
            <v>Function_AcuRev1320_045_02_case9_5</v>
          </cell>
        </row>
        <row r="1704">
          <cell r="C1704" t="str">
            <v>Function_AcuRev1320_045_02_case9_6</v>
          </cell>
        </row>
        <row r="1705">
          <cell r="C1705" t="str">
            <v>Function_AcuRev1320_045_02_case9_7</v>
          </cell>
        </row>
        <row r="1706">
          <cell r="C1706" t="str">
            <v>Function_AcuRev1320_045_02_case9_8</v>
          </cell>
        </row>
        <row r="1707">
          <cell r="C1707" t="str">
            <v>Function_AcuRev1320_045_02_case9_9</v>
          </cell>
        </row>
        <row r="1708">
          <cell r="C1708" t="str">
            <v>Function_AcuRev1320_045_02_case9_10</v>
          </cell>
        </row>
        <row r="1709">
          <cell r="C1709" t="str">
            <v>Function_AcuRev1320_045_02_case9_11</v>
          </cell>
        </row>
        <row r="1710">
          <cell r="C1710" t="str">
            <v>Function_AcuRev1320_045_02_case9_12</v>
          </cell>
        </row>
        <row r="1711">
          <cell r="C1711" t="str">
            <v>Function_AcuRev1320_045_02_case9_13</v>
          </cell>
        </row>
        <row r="1712">
          <cell r="C1712" t="str">
            <v>Function_AcuRev1320_045_02_case9_14</v>
          </cell>
        </row>
        <row r="1713">
          <cell r="C1713" t="str">
            <v>Function_AcuRev1320_045_02_case9_16</v>
          </cell>
        </row>
        <row r="1714">
          <cell r="C1714" t="str">
            <v>Function_AcuRev1320_045_02_case9_17</v>
          </cell>
        </row>
        <row r="1715">
          <cell r="C1715" t="str">
            <v>Function_AcuRev1320_045_02_case9_18</v>
          </cell>
        </row>
        <row r="1716">
          <cell r="C1716" t="str">
            <v>Function_AcuRev1320_045_02_case9_19</v>
          </cell>
        </row>
        <row r="1717">
          <cell r="C1717" t="str">
            <v>Function_AcuRev1320_045_02_case9_20</v>
          </cell>
        </row>
        <row r="1718">
          <cell r="C1718" t="str">
            <v>Function_AcuRev1320_045_02_case10</v>
          </cell>
        </row>
        <row r="1719">
          <cell r="C1719" t="str">
            <v>Function_AcuRev1320_045_02_case11</v>
          </cell>
        </row>
        <row r="1720">
          <cell r="C1720" t="str">
            <v>Function_AcuRev1320_045_02_case12</v>
          </cell>
        </row>
        <row r="1721">
          <cell r="C1721" t="str">
            <v>Function_AcuRev1320_045_02_case14</v>
          </cell>
        </row>
        <row r="1722">
          <cell r="C1722" t="str">
            <v>Function_AcuRev1320_045_02_case15</v>
          </cell>
        </row>
        <row r="1723">
          <cell r="C1723" t="str">
            <v>Function_AcuRev1320_046_01_case01</v>
          </cell>
        </row>
        <row r="1724">
          <cell r="C1724" t="str">
            <v>Function_AcuRev1320_046_01_case02</v>
          </cell>
        </row>
        <row r="1725">
          <cell r="C1725" t="str">
            <v>Function_AcuRev1320_046_01_case03</v>
          </cell>
        </row>
        <row r="1726">
          <cell r="C1726" t="str">
            <v>Function_AcuRev1320_046_01_case03_01</v>
          </cell>
        </row>
        <row r="1727">
          <cell r="C1727" t="str">
            <v>Function_AcuRev1320_046_01_case04</v>
          </cell>
        </row>
        <row r="1728">
          <cell r="C1728" t="str">
            <v>Function_AcuRev1320_046_01_case05</v>
          </cell>
        </row>
        <row r="1729">
          <cell r="C1729" t="str">
            <v>Function_AcuRev1320_046_01_case06</v>
          </cell>
        </row>
        <row r="1730">
          <cell r="C1730" t="str">
            <v>Function_AcuRev1320_046_02_case01</v>
          </cell>
        </row>
        <row r="1731">
          <cell r="C1731" t="str">
            <v>Function_AcuRev1320_046_02_case02</v>
          </cell>
        </row>
        <row r="1732">
          <cell r="C1732" t="str">
            <v>Function_AcuRev1320_046_02_case03</v>
          </cell>
        </row>
        <row r="1733">
          <cell r="C1733" t="str">
            <v>Function_AcuRev1320_046_03_case01</v>
          </cell>
        </row>
        <row r="1734">
          <cell r="C1734" t="str">
            <v>Function_AcuRev1320_046_04_case01</v>
          </cell>
        </row>
        <row r="1735">
          <cell r="C1735" t="str">
            <v>Function_AcuRev1320_046_05_case01</v>
          </cell>
        </row>
        <row r="1736">
          <cell r="C1736" t="str">
            <v>Function_AcuRev1320_046_06_case01</v>
          </cell>
        </row>
        <row r="1737">
          <cell r="C1737" t="str">
            <v>Function_AcuRev1320_046_07_case01</v>
          </cell>
        </row>
        <row r="1738">
          <cell r="C1738" t="str">
            <v>Function_AcuRev1320_046_07_case02</v>
          </cell>
        </row>
        <row r="1739">
          <cell r="C1739" t="str">
            <v>Function_AcuRev1320_046_07_case03</v>
          </cell>
        </row>
        <row r="1740">
          <cell r="C1740" t="str">
            <v>Function_AcuRev1320_046_07_case04</v>
          </cell>
        </row>
        <row r="1741">
          <cell r="C1741" t="str">
            <v>Function_AcuRev1320_046_07_case05</v>
          </cell>
        </row>
        <row r="1742">
          <cell r="C1742" t="str">
            <v>Function_AcuRev1320_046_07_case06</v>
          </cell>
        </row>
        <row r="1743">
          <cell r="C1743" t="str">
            <v>Function_AcuRev1320_046_07_case07</v>
          </cell>
        </row>
        <row r="1744">
          <cell r="C1744" t="str">
            <v>Function_AcuRev1320_046_07_case08</v>
          </cell>
        </row>
        <row r="1745">
          <cell r="C1745" t="str">
            <v>Function_AcuRev1320_046_07_case09</v>
          </cell>
        </row>
        <row r="1746">
          <cell r="C1746" t="str">
            <v>Function_AcuRev1320_046_07_case10</v>
          </cell>
        </row>
        <row r="1747">
          <cell r="C1747" t="str">
            <v>Function_AcuRev1320_046_07_case11</v>
          </cell>
        </row>
        <row r="1748">
          <cell r="C1748" t="str">
            <v>Function_AcuRev1320_046_07_case12</v>
          </cell>
        </row>
        <row r="1749">
          <cell r="C1749" t="str">
            <v>Function_AcuRev1320_046_07_case13</v>
          </cell>
        </row>
        <row r="1750">
          <cell r="C1750" t="str">
            <v>Function_AcuRev1320_046_07_case14</v>
          </cell>
        </row>
        <row r="1751">
          <cell r="C1751" t="str">
            <v>Function_AcuRev1320_046_08_case01</v>
          </cell>
        </row>
        <row r="1752">
          <cell r="C1752" t="str">
            <v>Function_AcuRev1320_046_08_case02</v>
          </cell>
        </row>
        <row r="1753">
          <cell r="C1753" t="str">
            <v>Function_AcuRev1320_046_08_case03</v>
          </cell>
        </row>
        <row r="1754">
          <cell r="C1754" t="str">
            <v>Function_AcuRev1320_046_08_case04</v>
          </cell>
        </row>
        <row r="1755">
          <cell r="C1755" t="str">
            <v>Function_AcuRev1320_046_08_case05</v>
          </cell>
        </row>
        <row r="1756">
          <cell r="C1756" t="str">
            <v>Function_AcuRev1320_046_08_case06</v>
          </cell>
        </row>
        <row r="1757">
          <cell r="C1757" t="str">
            <v>Function_AcuRev1320_046_09_case01</v>
          </cell>
        </row>
        <row r="1758">
          <cell r="C1758" t="str">
            <v>Function_AcuRev1320_041_09_case02</v>
          </cell>
        </row>
        <row r="1759">
          <cell r="C1759" t="str">
            <v>Function_AcuRev1320_046_09_case03</v>
          </cell>
        </row>
        <row r="1760">
          <cell r="C1760" t="str">
            <v>Function_AcuRev1320_046_09_case04</v>
          </cell>
        </row>
        <row r="1761">
          <cell r="C1761" t="str">
            <v>Function_AcuRev1320_046_09_case05</v>
          </cell>
        </row>
        <row r="1762">
          <cell r="C1762" t="str">
            <v>Function_AcuRev1320_046_09_case06</v>
          </cell>
        </row>
        <row r="1763">
          <cell r="C1763" t="str">
            <v>Function_AcuRev1320_046_09_case07</v>
          </cell>
        </row>
        <row r="1764">
          <cell r="C1764" t="str">
            <v>Function_AcuRev1320_046_10_case01</v>
          </cell>
        </row>
        <row r="1765">
          <cell r="C1765" t="str">
            <v>Function_AcuRev1320_046_10_case02</v>
          </cell>
        </row>
        <row r="1766">
          <cell r="C1766" t="str">
            <v>Function_AcuRev1320_046_10_case03</v>
          </cell>
        </row>
        <row r="1767">
          <cell r="C1767" t="str">
            <v>Function_AcuRev1320_046_10_case04</v>
          </cell>
        </row>
        <row r="1768">
          <cell r="C1768" t="str">
            <v>Function_AcuRev1320_046_10_case05</v>
          </cell>
        </row>
        <row r="1769">
          <cell r="C1769" t="str">
            <v>Function_AcuRev1320_046_10_case06</v>
          </cell>
        </row>
        <row r="1770">
          <cell r="C1770" t="str">
            <v>Function_AcuRev1320_046_10_case07</v>
          </cell>
        </row>
        <row r="1771">
          <cell r="C1771" t="str">
            <v>Function_AcuRev1320_046_11_case01</v>
          </cell>
        </row>
        <row r="1772">
          <cell r="C1772" t="str">
            <v>Function_AcuRev1320_046_11_case02</v>
          </cell>
        </row>
        <row r="1773">
          <cell r="C1773" t="str">
            <v>Function_AcuRev1320_046_11_case03</v>
          </cell>
        </row>
        <row r="1774">
          <cell r="C1774" t="str">
            <v>Function_AcuRev1320_046_11_case04</v>
          </cell>
        </row>
        <row r="1775">
          <cell r="C1775" t="str">
            <v>Function_AcuRev1320_046_11_case05</v>
          </cell>
        </row>
        <row r="1776">
          <cell r="C1776" t="str">
            <v>Function_AcuRev1320_046_11_case06</v>
          </cell>
        </row>
        <row r="1777">
          <cell r="C1777" t="str">
            <v>Function_AcuRev1320_046_11_case07</v>
          </cell>
        </row>
        <row r="1778">
          <cell r="C1778" t="str">
            <v>Function_AcuRev1320_046_11_case08</v>
          </cell>
        </row>
        <row r="1779">
          <cell r="C1779" t="str">
            <v>Function_AcuRev1320_046_11_case09</v>
          </cell>
        </row>
        <row r="1780">
          <cell r="C1780" t="str">
            <v>Function_AcuRev1320_046_11_case10</v>
          </cell>
        </row>
        <row r="1781">
          <cell r="C1781" t="str">
            <v>Function_AcuRev1320_046_11_case01</v>
          </cell>
        </row>
        <row r="1782">
          <cell r="C1782" t="str">
            <v>Function_AcuRev1320_046_11_case02</v>
          </cell>
        </row>
        <row r="1783">
          <cell r="C1783" t="str">
            <v>Function_AcuRev1320_046_11_case03</v>
          </cell>
        </row>
        <row r="1784">
          <cell r="C1784" t="str">
            <v>Function_AcuRev1320_046_12_case01</v>
          </cell>
        </row>
        <row r="1785">
          <cell r="C1785" t="str">
            <v>Function_AcuRev1320_046_13_case01</v>
          </cell>
        </row>
        <row r="1786">
          <cell r="C1786" t="str">
            <v>Function_AcuRev1320_046_13_case02</v>
          </cell>
        </row>
        <row r="1787">
          <cell r="C1787" t="str">
            <v>Function_AcuRev1320_046_13_case03</v>
          </cell>
        </row>
        <row r="1788">
          <cell r="C1788" t="str">
            <v>Function_AcuRev1320_046_14_case01</v>
          </cell>
        </row>
        <row r="1789">
          <cell r="C1789" t="str">
            <v>Function_AcuRev1320_046_14_case02</v>
          </cell>
        </row>
        <row r="1790">
          <cell r="C1790" t="str">
            <v>Function_AcuRev1320_046_14_case03</v>
          </cell>
        </row>
        <row r="1791">
          <cell r="C1791" t="str">
            <v>Function_AcuRev1320_046_14_case04</v>
          </cell>
        </row>
        <row r="1792">
          <cell r="C1792" t="str">
            <v>Function_AcuRev1320_046_14_case05</v>
          </cell>
        </row>
        <row r="1793">
          <cell r="C1793" t="str">
            <v>Function_AcuRev1320_046_14_case05_01</v>
          </cell>
        </row>
        <row r="1794">
          <cell r="C1794" t="str">
            <v>Function_AcuRev1320_046_14_case06</v>
          </cell>
        </row>
        <row r="1795">
          <cell r="C1795" t="str">
            <v>Function_AcuRev1320_046_14_case07</v>
          </cell>
        </row>
        <row r="1796">
          <cell r="C1796" t="str">
            <v>Function_AcuRev1320_046_14_case08</v>
          </cell>
        </row>
        <row r="1797">
          <cell r="C1797" t="str">
            <v>Function_AcuRev1320_046_14_case09</v>
          </cell>
        </row>
        <row r="1798">
          <cell r="C1798" t="str">
            <v>Function_AcuRev1320_046_14_case10</v>
          </cell>
        </row>
        <row r="1799">
          <cell r="C1799" t="str">
            <v>Function_AcuRev1320_046_14_case11</v>
          </cell>
        </row>
        <row r="1800">
          <cell r="C1800" t="str">
            <v>Function_AcuRev1320_046_14_case12</v>
          </cell>
        </row>
        <row r="1801">
          <cell r="C1801" t="str">
            <v>Function_AcuRev1320_046_14_case13</v>
          </cell>
        </row>
        <row r="1802">
          <cell r="C1802" t="str">
            <v>Function_AcuRev1320_046_14_case14</v>
          </cell>
        </row>
        <row r="1803">
          <cell r="C1803" t="str">
            <v>Function_AcuRev1320_046_14_case15</v>
          </cell>
        </row>
        <row r="1804">
          <cell r="C1804" t="str">
            <v>Function_AcuRev1320_046_14_case16</v>
          </cell>
        </row>
        <row r="1805">
          <cell r="C1805" t="str">
            <v>Function_AcuRev1320_046_14_case17</v>
          </cell>
        </row>
        <row r="1806">
          <cell r="C1806" t="str">
            <v>Function_AcuRev1320_046_14_case18</v>
          </cell>
        </row>
        <row r="1807">
          <cell r="C1807" t="str">
            <v>Function_AcuRev1320_046_15_case01</v>
          </cell>
        </row>
        <row r="1808">
          <cell r="C1808" t="str">
            <v>Function_AcuRev1320_046_15_case02</v>
          </cell>
        </row>
        <row r="1809">
          <cell r="C1809" t="str">
            <v>Function_AcuRev1320_046_15_case03</v>
          </cell>
        </row>
        <row r="1810">
          <cell r="C1810" t="str">
            <v>Function_AcuRev1320_046_15_case04</v>
          </cell>
        </row>
        <row r="1811">
          <cell r="C1811" t="str">
            <v>Function_AcuRev1320_046_15_case05</v>
          </cell>
        </row>
        <row r="1812">
          <cell r="C1812" t="str">
            <v>Function_AcuRev1320_046_15_case06</v>
          </cell>
        </row>
        <row r="1813">
          <cell r="C1813" t="str">
            <v>Function_AcuRev1320_046_15_case07</v>
          </cell>
        </row>
        <row r="1814">
          <cell r="C1814" t="str">
            <v>Function_AcuRev1320_046_15_case08</v>
          </cell>
        </row>
        <row r="1815">
          <cell r="C1815" t="str">
            <v>Function_AcuRev1320_046_15_case09</v>
          </cell>
        </row>
        <row r="1816">
          <cell r="C1816" t="str">
            <v>Function_AcuRev1320_046_15_case10</v>
          </cell>
        </row>
        <row r="1817">
          <cell r="C1817" t="str">
            <v>Function_AcuRev1320_046_15_case11</v>
          </cell>
        </row>
        <row r="1818">
          <cell r="C1818" t="str">
            <v>Function_AcuRev1320_046_15_case12</v>
          </cell>
        </row>
        <row r="1819">
          <cell r="C1819" t="str">
            <v>Function_AcuRev1320_046_15_case13</v>
          </cell>
        </row>
        <row r="1820">
          <cell r="C1820" t="str">
            <v>Function_AcuRev1320_046_16_case01</v>
          </cell>
        </row>
        <row r="1821">
          <cell r="C1821" t="str">
            <v>Function_AcuRev1320_046_16_case02</v>
          </cell>
        </row>
        <row r="1822">
          <cell r="C1822" t="str">
            <v>Function_AcuRev1320_046_16_case03</v>
          </cell>
        </row>
        <row r="1823">
          <cell r="C1823" t="str">
            <v>Function_AcuRev1320_046_16_case04</v>
          </cell>
        </row>
        <row r="1824">
          <cell r="C1824" t="str">
            <v>Function_AcuRev1320_046_16_case05</v>
          </cell>
        </row>
        <row r="1825">
          <cell r="C1825" t="str">
            <v>Function_AcuRev1320_046_16_case06</v>
          </cell>
        </row>
        <row r="1826">
          <cell r="C1826" t="str">
            <v>Function_AcuRev1320_046_17_case01</v>
          </cell>
        </row>
        <row r="1827">
          <cell r="C1827" t="str">
            <v>Function_AcuRev1320_046_17_case02</v>
          </cell>
        </row>
        <row r="1828">
          <cell r="C1828" t="str">
            <v>Function_AcuRev1320_046_17_case03</v>
          </cell>
        </row>
        <row r="1829">
          <cell r="C1829" t="str">
            <v>Function_AcuRev1320_046_17_case04</v>
          </cell>
        </row>
        <row r="1830">
          <cell r="C1830" t="str">
            <v>Function_AcuRev1320_046_17_case05</v>
          </cell>
        </row>
        <row r="1831">
          <cell r="C1831" t="str">
            <v>Function_AcuRev1320_046_18_case01</v>
          </cell>
        </row>
        <row r="1832">
          <cell r="C1832" t="str">
            <v>Function_AcuRev1320_046_18_case02</v>
          </cell>
        </row>
        <row r="1833">
          <cell r="C1833" t="str">
            <v>Function_AcuRev1320_046_18_case03</v>
          </cell>
        </row>
        <row r="1834">
          <cell r="C1834" t="str">
            <v>Function_AcuRev1320_046_18_case01</v>
          </cell>
        </row>
        <row r="1835">
          <cell r="C1835" t="str">
            <v>Function_AcuRev1320_046_19_case01</v>
          </cell>
        </row>
        <row r="1836">
          <cell r="C1836" t="str">
            <v>Function_AcuRev1320_046_20_case01</v>
          </cell>
        </row>
        <row r="1837">
          <cell r="C1837" t="str">
            <v>Function_AcuRev1320_046_21_case01_1</v>
          </cell>
        </row>
        <row r="1838">
          <cell r="C1838" t="str">
            <v>Function_AcuRev1320_046_21_case01</v>
          </cell>
        </row>
        <row r="1839">
          <cell r="C1839" t="str">
            <v>Function_AcuRev1320_47_01_case01</v>
          </cell>
        </row>
        <row r="1840">
          <cell r="C1840" t="str">
            <v>Function_AcuRev1320_47_01_case02</v>
          </cell>
        </row>
        <row r="1841">
          <cell r="C1841" t="str">
            <v>Function_AcuRev1320_47_01_case03</v>
          </cell>
        </row>
        <row r="1842">
          <cell r="C1842" t="str">
            <v>Function_AcuRev1320_47_01_case04</v>
          </cell>
        </row>
        <row r="1843">
          <cell r="C1843" t="str">
            <v>Function_AcuRev1320_47_01_case05</v>
          </cell>
        </row>
        <row r="1844">
          <cell r="C1844" t="str">
            <v>Function_AcuRev1320_47_01_case06</v>
          </cell>
        </row>
        <row r="1845">
          <cell r="C1845" t="str">
            <v>Function_AcuRev1320_47_02_case01</v>
          </cell>
        </row>
        <row r="1846">
          <cell r="C1846" t="str">
            <v>Function_AcuRev1320_47_02_case02</v>
          </cell>
        </row>
        <row r="1847">
          <cell r="C1847" t="str">
            <v>Function_AcuRev1320_47_02_case03</v>
          </cell>
        </row>
        <row r="1848">
          <cell r="C1848" t="str">
            <v>Function_AcuRev1320_47_02_case04</v>
          </cell>
        </row>
        <row r="1849">
          <cell r="C1849" t="str">
            <v>Function_AcuRev1320_47_02_case05</v>
          </cell>
        </row>
        <row r="1850">
          <cell r="C1850" t="str">
            <v>Function_AcuRev1320_47_02_case06</v>
          </cell>
        </row>
        <row r="1851">
          <cell r="C1851" t="str">
            <v>Function_AcuRev1320_47_02_case06_1</v>
          </cell>
        </row>
        <row r="1852">
          <cell r="C1852" t="str">
            <v>Function_AcuRev1320_47_02_case07</v>
          </cell>
        </row>
        <row r="1853">
          <cell r="C1853" t="str">
            <v>Function_AcuRev1320_47_03_case03</v>
          </cell>
        </row>
        <row r="1854">
          <cell r="C1854" t="str">
            <v>Function_AcuRev1320_47_03_case04</v>
          </cell>
        </row>
        <row r="1855">
          <cell r="C1855" t="str">
            <v>Function_AcuRev1320_47_03_case05</v>
          </cell>
        </row>
        <row r="1856">
          <cell r="C1856" t="str">
            <v>Function_AcuRev1320_47_03_case06</v>
          </cell>
        </row>
        <row r="1857">
          <cell r="C1857" t="str">
            <v>Function_AcuRev1320_47_03_case07</v>
          </cell>
        </row>
        <row r="1858">
          <cell r="C1858" t="str">
            <v>Function_AcuRev1320_47_03_case08</v>
          </cell>
        </row>
        <row r="1859">
          <cell r="C1859" t="str">
            <v>Function_AcuRev1320_47_03_case09</v>
          </cell>
        </row>
        <row r="1860">
          <cell r="C1860" t="str">
            <v>Function_AcuRev1320_47_04_case01</v>
          </cell>
        </row>
        <row r="1861">
          <cell r="C1861" t="str">
            <v>Function_AcuRev1320_47_04_case02</v>
          </cell>
        </row>
        <row r="1862">
          <cell r="C1862" t="str">
            <v>Function_AcuRev1320_47_04_case03</v>
          </cell>
        </row>
        <row r="1863">
          <cell r="C1863" t="str">
            <v>Function_AcuRev1320_47_04_case04</v>
          </cell>
        </row>
        <row r="1864">
          <cell r="C1864" t="str">
            <v>Function_AcuRev1320_47_05_case01</v>
          </cell>
        </row>
        <row r="1865">
          <cell r="C1865" t="str">
            <v>Function_AcuRev1320_47_05_case02</v>
          </cell>
        </row>
        <row r="1866">
          <cell r="C1866" t="str">
            <v>Function_AcuRev1320_47_05_case03</v>
          </cell>
        </row>
        <row r="1867">
          <cell r="C1867" t="str">
            <v>Function_AcuRev1320_48_02_case1</v>
          </cell>
        </row>
        <row r="1868">
          <cell r="C1868" t="str">
            <v>Function_AcuRev1320_48_02_case2</v>
          </cell>
        </row>
        <row r="1869">
          <cell r="C1869" t="str">
            <v>Function_AcuRev1320_48_02_case3</v>
          </cell>
        </row>
        <row r="1870">
          <cell r="C1870" t="str">
            <v>Function_AcuRev1320_48_02_case4</v>
          </cell>
        </row>
        <row r="1871">
          <cell r="C1871" t="str">
            <v>Function_AcuRev1320_48_02_case5</v>
          </cell>
        </row>
        <row r="1872">
          <cell r="C1872" t="str">
            <v>Function_AcuRev1320_48_02_case6</v>
          </cell>
        </row>
        <row r="1873">
          <cell r="C1873" t="str">
            <v>Function_AcuRev1320_48_02_case7</v>
          </cell>
        </row>
        <row r="1874">
          <cell r="C1874" t="str">
            <v>Function_AcuRev1320_48_02_case8</v>
          </cell>
        </row>
        <row r="1875">
          <cell r="C1875" t="str">
            <v>Function_AcuRev1320_48_02_case9</v>
          </cell>
        </row>
        <row r="1876">
          <cell r="C1876" t="str">
            <v>Function_AcuRev1320_48_02_case10</v>
          </cell>
        </row>
        <row r="1877">
          <cell r="C1877" t="str">
            <v>Function_AcuRev1320_48_02_case11</v>
          </cell>
        </row>
        <row r="1878">
          <cell r="C1878" t="str">
            <v>Function_AcuRev1320_48_02_case12</v>
          </cell>
        </row>
        <row r="1879">
          <cell r="C1879" t="str">
            <v>Function_AcuRev1320_48_02_case13</v>
          </cell>
        </row>
        <row r="1880">
          <cell r="C1880" t="str">
            <v>Function_AcuRev1320_48_02_case14</v>
          </cell>
        </row>
        <row r="1881">
          <cell r="C1881" t="str">
            <v>Function_AcuRev1320_48_02_case15</v>
          </cell>
        </row>
        <row r="1882">
          <cell r="C1882" t="str">
            <v>Function_AcuRev1320_48_02_case16</v>
          </cell>
        </row>
        <row r="1883">
          <cell r="C1883" t="str">
            <v>Function_AcuRev1320_48_02_case17</v>
          </cell>
        </row>
        <row r="1884">
          <cell r="C1884" t="str">
            <v>Function_AcuRev1320_48_02_case18</v>
          </cell>
        </row>
        <row r="1885">
          <cell r="C1885" t="str">
            <v>Function_AcuRev1320_48_02_case19</v>
          </cell>
        </row>
        <row r="1886">
          <cell r="C1886" t="str">
            <v>Function_AcuRev1320_48_02_case20</v>
          </cell>
        </row>
        <row r="1887">
          <cell r="C1887" t="str">
            <v>Function_AcuRev1320_48_02_case21</v>
          </cell>
        </row>
        <row r="1888">
          <cell r="C1888" t="str">
            <v>Function_AcuRev1320_48_02_case22</v>
          </cell>
        </row>
        <row r="1889">
          <cell r="C1889" t="str">
            <v>Function_AcuRev1320_48_02_case23</v>
          </cell>
        </row>
        <row r="1890">
          <cell r="C1890" t="str">
            <v>Function_AcuRev1320_48_02_case24</v>
          </cell>
        </row>
        <row r="1891">
          <cell r="C1891" t="str">
            <v>Function_AcuRev1320_48_02_case25</v>
          </cell>
        </row>
        <row r="1892">
          <cell r="C1892" t="str">
            <v>Function_AcuRev1320_48_02_case26</v>
          </cell>
        </row>
        <row r="1893">
          <cell r="C1893" t="str">
            <v>Function_AcuRev1320_48_02_case27</v>
          </cell>
        </row>
        <row r="1894">
          <cell r="C1894" t="str">
            <v>Function_AcuRev1320_48_02_case28</v>
          </cell>
        </row>
        <row r="1895">
          <cell r="C1895" t="str">
            <v>Function_AcuRev1320_48_02_case29</v>
          </cell>
        </row>
        <row r="1896">
          <cell r="C1896" t="str">
            <v>Function_AcuRev1320_48_02_case32</v>
          </cell>
        </row>
        <row r="1897">
          <cell r="C1897" t="str">
            <v>Function_AcuRev1320_48_02_case33</v>
          </cell>
        </row>
        <row r="1898">
          <cell r="C1898" t="str">
            <v>Function_AcuRev1320_48_02_case34</v>
          </cell>
        </row>
        <row r="1899">
          <cell r="C1899" t="str">
            <v>Function_AcuRev1320_48_02_case35</v>
          </cell>
        </row>
        <row r="1900">
          <cell r="C1900" t="str">
            <v>Function_AcuRev1320_48_02_case36</v>
          </cell>
        </row>
        <row r="1901">
          <cell r="C1901" t="str">
            <v>Function_AcuRev1320_48_02_case37</v>
          </cell>
        </row>
        <row r="1902">
          <cell r="C1902" t="str">
            <v>Function_AcuRev1320_48_02_case38</v>
          </cell>
        </row>
        <row r="1903">
          <cell r="C1903" t="str">
            <v>Protocol_AcuRev1320_48_03_case01</v>
          </cell>
        </row>
        <row r="1904">
          <cell r="C1904" t="str">
            <v>Protocol_AcuRev1320_48_03_case02</v>
          </cell>
        </row>
        <row r="1905">
          <cell r="C1905" t="str">
            <v>Protocol_AcuRev1320_48_03_case03</v>
          </cell>
        </row>
        <row r="1906">
          <cell r="C1906" t="str">
            <v>Protocol_AcuRev1320_48_03_case04</v>
          </cell>
        </row>
        <row r="1907">
          <cell r="C1907" t="str">
            <v>Protocol_AcuRev1320_48_03_case05</v>
          </cell>
        </row>
        <row r="1908">
          <cell r="C1908" t="str">
            <v>Protocol_AcuRev1320_48_03_case06</v>
          </cell>
        </row>
        <row r="1909">
          <cell r="C1909" t="str">
            <v>Protocol_AcuRev1320_48_03_case07</v>
          </cell>
        </row>
        <row r="1910">
          <cell r="C1910" t="str">
            <v>Protocol_AcuRev1320_48_03_case08</v>
          </cell>
        </row>
        <row r="1911">
          <cell r="C1911" t="str">
            <v>Function_AcuRev1320_49_01_case01</v>
          </cell>
        </row>
        <row r="1912">
          <cell r="C1912" t="str">
            <v>Function_AcuRev1320_49_01_case02</v>
          </cell>
        </row>
        <row r="1913">
          <cell r="C1913" t="str">
            <v>Function_AcuRev1320_49_01_case03</v>
          </cell>
        </row>
      </sheetData>
      <sheetData sheetId="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7333-1D79-4EAF-80EE-47CB28DB4A2D}">
  <dimension ref="A1:B3"/>
  <sheetViews>
    <sheetView workbookViewId="0">
      <selection activeCell="B12" sqref="B12"/>
    </sheetView>
  </sheetViews>
  <sheetFormatPr defaultRowHeight="14.25"/>
  <cols>
    <col min="2" max="2" width="52.375" customWidth="1"/>
  </cols>
  <sheetData>
    <row r="1" spans="1:2" ht="18">
      <c r="A1" s="294" t="s">
        <v>0</v>
      </c>
      <c r="B1" s="294" t="s">
        <v>1</v>
      </c>
    </row>
    <row r="2" spans="1:2" ht="16.5">
      <c r="A2" s="295" t="s">
        <v>2</v>
      </c>
      <c r="B2" s="295" t="s">
        <v>3</v>
      </c>
    </row>
    <row r="3" spans="1:2" ht="16.5">
      <c r="A3" s="295" t="s">
        <v>4</v>
      </c>
      <c r="B3" s="295" t="s">
        <v>5</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B8F8E-0D55-4A68-9EA6-3E6F06894EB1}">
  <dimension ref="A1:O1913"/>
  <sheetViews>
    <sheetView tabSelected="1" zoomScale="106" zoomScaleNormal="106" workbookViewId="0">
      <pane ySplit="1" topLeftCell="A2" activePane="bottomLeft" state="frozen"/>
      <selection pane="bottomLeft" activeCell="D4" sqref="D4"/>
    </sheetView>
  </sheetViews>
  <sheetFormatPr defaultColWidth="9" defaultRowHeight="120" customHeight="1"/>
  <cols>
    <col min="1" max="1" width="6.5" style="10" customWidth="1"/>
    <col min="2" max="2" width="16.875" style="10" customWidth="1"/>
    <col min="3" max="3" width="16.125" style="11" customWidth="1"/>
    <col min="4" max="4" width="41.875" style="10" customWidth="1"/>
    <col min="5" max="5" width="16.25" style="10" customWidth="1"/>
    <col min="6" max="6" width="47" style="11" customWidth="1"/>
    <col min="7" max="7" width="28" style="206" customWidth="1"/>
    <col min="8" max="8" width="9.625" style="199" bestFit="1" customWidth="1"/>
    <col min="9" max="9" width="7.375" style="199" customWidth="1"/>
    <col min="10" max="10" width="12.25" style="199" customWidth="1"/>
    <col min="11" max="11" width="8.5" style="10" customWidth="1"/>
    <col min="12" max="16315" width="9" style="10"/>
    <col min="16316" max="16317" width="9" style="10" bestFit="1"/>
    <col min="16318" max="16384" width="9" style="10"/>
  </cols>
  <sheetData>
    <row r="1" spans="1:15" ht="33.75" customHeight="1">
      <c r="A1" s="166" t="s">
        <v>6</v>
      </c>
      <c r="B1" s="166" t="s">
        <v>7</v>
      </c>
      <c r="C1" s="166" t="s">
        <v>8</v>
      </c>
      <c r="D1" s="166" t="s">
        <v>9</v>
      </c>
      <c r="E1" s="167" t="s">
        <v>10</v>
      </c>
      <c r="F1" s="166" t="s">
        <v>11</v>
      </c>
      <c r="G1" s="169" t="s">
        <v>12</v>
      </c>
      <c r="H1" s="167" t="s">
        <v>13</v>
      </c>
      <c r="I1" s="168" t="s">
        <v>14</v>
      </c>
      <c r="J1" s="169" t="s">
        <v>15</v>
      </c>
      <c r="K1" s="168" t="s">
        <v>16</v>
      </c>
      <c r="L1" s="166" t="s">
        <v>17</v>
      </c>
      <c r="M1" s="167" t="s">
        <v>18</v>
      </c>
      <c r="N1" s="166" t="s">
        <v>19</v>
      </c>
      <c r="O1" s="166" t="s">
        <v>20</v>
      </c>
    </row>
    <row r="2" spans="1:15" ht="120" customHeight="1">
      <c r="A2" s="383" t="s">
        <v>21</v>
      </c>
      <c r="B2" s="300" t="s">
        <v>21</v>
      </c>
      <c r="C2" s="301" t="s">
        <v>10522</v>
      </c>
      <c r="D2" s="301" t="s">
        <v>10523</v>
      </c>
      <c r="E2" s="301" t="s">
        <v>23</v>
      </c>
      <c r="F2" s="301" t="s">
        <v>10524</v>
      </c>
      <c r="G2" s="302" t="s">
        <v>10525</v>
      </c>
      <c r="H2" s="405" t="s">
        <v>24</v>
      </c>
      <c r="I2" s="175" t="s">
        <v>25</v>
      </c>
      <c r="J2" s="174"/>
    </row>
    <row r="3" spans="1:15" ht="120" customHeight="1">
      <c r="A3" s="383"/>
      <c r="B3" s="171" t="s">
        <v>21</v>
      </c>
      <c r="C3" s="172" t="s">
        <v>10526</v>
      </c>
      <c r="D3" s="172" t="s">
        <v>10527</v>
      </c>
      <c r="E3" s="172" t="s">
        <v>23</v>
      </c>
      <c r="F3" s="172" t="s">
        <v>10528</v>
      </c>
      <c r="G3" s="189" t="s">
        <v>10529</v>
      </c>
      <c r="H3" s="174" t="s">
        <v>30</v>
      </c>
      <c r="I3" s="175" t="s">
        <v>31</v>
      </c>
      <c r="J3" s="174"/>
    </row>
    <row r="4" spans="1:15" ht="120" customHeight="1">
      <c r="A4" s="383"/>
      <c r="B4" s="171" t="s">
        <v>21</v>
      </c>
      <c r="C4" s="172" t="s">
        <v>32</v>
      </c>
      <c r="D4" s="172" t="s">
        <v>33</v>
      </c>
      <c r="E4" s="172" t="s">
        <v>23</v>
      </c>
      <c r="F4" s="177" t="s">
        <v>34</v>
      </c>
      <c r="G4" s="189" t="s">
        <v>35</v>
      </c>
      <c r="H4" s="174" t="s">
        <v>36</v>
      </c>
      <c r="I4" s="175" t="s">
        <v>31</v>
      </c>
      <c r="J4" s="174"/>
    </row>
    <row r="5" spans="1:15" ht="120" customHeight="1">
      <c r="A5" s="383"/>
      <c r="B5" s="303" t="s">
        <v>21</v>
      </c>
      <c r="C5" s="242" t="s">
        <v>37</v>
      </c>
      <c r="D5" s="242" t="s">
        <v>38</v>
      </c>
      <c r="E5" s="242" t="s">
        <v>23</v>
      </c>
      <c r="F5" s="304" t="s">
        <v>39</v>
      </c>
      <c r="G5" s="305" t="s">
        <v>40</v>
      </c>
      <c r="H5" s="406" t="s">
        <v>41</v>
      </c>
      <c r="I5" s="175"/>
      <c r="J5" s="174"/>
    </row>
    <row r="6" spans="1:15" ht="120" customHeight="1">
      <c r="A6" s="389"/>
      <c r="B6" s="171" t="s">
        <v>21</v>
      </c>
      <c r="C6" s="172" t="s">
        <v>10530</v>
      </c>
      <c r="D6" s="172" t="s">
        <v>10531</v>
      </c>
      <c r="E6" s="172" t="s">
        <v>10532</v>
      </c>
      <c r="F6" s="177" t="s">
        <v>10533</v>
      </c>
      <c r="G6" s="189" t="s">
        <v>10534</v>
      </c>
      <c r="H6" s="174" t="s">
        <v>41</v>
      </c>
      <c r="I6" s="306"/>
      <c r="J6" s="174"/>
    </row>
    <row r="7" spans="1:15" ht="120" customHeight="1">
      <c r="A7" s="383" t="s">
        <v>10535</v>
      </c>
      <c r="B7" s="307" t="s">
        <v>43</v>
      </c>
      <c r="C7" s="301" t="s">
        <v>10536</v>
      </c>
      <c r="D7" s="301" t="s">
        <v>45</v>
      </c>
      <c r="E7" s="301" t="s">
        <v>10537</v>
      </c>
      <c r="F7" s="301" t="s">
        <v>10538</v>
      </c>
      <c r="G7" s="302" t="s">
        <v>10539</v>
      </c>
      <c r="H7" s="405" t="s">
        <v>30</v>
      </c>
      <c r="I7" s="175" t="s">
        <v>31</v>
      </c>
      <c r="J7" s="179" t="s">
        <v>49</v>
      </c>
    </row>
    <row r="8" spans="1:15" ht="120" customHeight="1">
      <c r="A8" s="383"/>
      <c r="B8" s="178" t="s">
        <v>43</v>
      </c>
      <c r="C8" s="172" t="s">
        <v>50</v>
      </c>
      <c r="D8" s="172" t="s">
        <v>51</v>
      </c>
      <c r="E8" s="172" t="s">
        <v>10537</v>
      </c>
      <c r="F8" s="172" t="s">
        <v>52</v>
      </c>
      <c r="G8" s="189" t="s">
        <v>53</v>
      </c>
      <c r="H8" s="201" t="s">
        <v>41</v>
      </c>
      <c r="I8" s="175" t="s">
        <v>31</v>
      </c>
      <c r="J8" s="179" t="s">
        <v>49</v>
      </c>
    </row>
    <row r="9" spans="1:15" ht="120" customHeight="1">
      <c r="A9" s="383"/>
      <c r="B9" s="178" t="s">
        <v>43</v>
      </c>
      <c r="C9" s="172" t="s">
        <v>54</v>
      </c>
      <c r="D9" s="172" t="s">
        <v>55</v>
      </c>
      <c r="E9" s="172" t="s">
        <v>10537</v>
      </c>
      <c r="F9" s="172" t="s">
        <v>56</v>
      </c>
      <c r="G9" s="189" t="s">
        <v>57</v>
      </c>
      <c r="H9" s="174" t="s">
        <v>36</v>
      </c>
      <c r="I9" s="175" t="s">
        <v>31</v>
      </c>
      <c r="J9" s="179" t="s">
        <v>49</v>
      </c>
    </row>
    <row r="10" spans="1:15" ht="120" customHeight="1">
      <c r="A10" s="383"/>
      <c r="B10" s="178" t="s">
        <v>43</v>
      </c>
      <c r="C10" s="172" t="s">
        <v>58</v>
      </c>
      <c r="D10" s="172" t="s">
        <v>59</v>
      </c>
      <c r="E10" s="172" t="s">
        <v>10537</v>
      </c>
      <c r="F10" s="172" t="s">
        <v>60</v>
      </c>
      <c r="G10" s="189" t="s">
        <v>61</v>
      </c>
      <c r="H10" s="174" t="s">
        <v>62</v>
      </c>
      <c r="I10" s="174"/>
      <c r="J10" s="179" t="s">
        <v>49</v>
      </c>
    </row>
    <row r="11" spans="1:15" ht="120" customHeight="1">
      <c r="A11" s="383"/>
      <c r="B11" s="178" t="s">
        <v>43</v>
      </c>
      <c r="C11" s="172" t="s">
        <v>63</v>
      </c>
      <c r="D11" s="172" t="s">
        <v>64</v>
      </c>
      <c r="E11" s="172" t="s">
        <v>10532</v>
      </c>
      <c r="F11" s="172" t="s">
        <v>65</v>
      </c>
      <c r="G11" s="189" t="s">
        <v>66</v>
      </c>
      <c r="H11" s="174" t="s">
        <v>41</v>
      </c>
      <c r="I11" s="175" t="s">
        <v>31</v>
      </c>
      <c r="J11" s="174"/>
    </row>
    <row r="12" spans="1:15" ht="120" customHeight="1">
      <c r="A12" s="383"/>
      <c r="B12" s="178" t="s">
        <v>43</v>
      </c>
      <c r="C12" s="172" t="s">
        <v>67</v>
      </c>
      <c r="D12" s="172" t="s">
        <v>68</v>
      </c>
      <c r="E12" s="172" t="s">
        <v>10537</v>
      </c>
      <c r="F12" s="172" t="s">
        <v>69</v>
      </c>
      <c r="G12" s="189" t="s">
        <v>70</v>
      </c>
      <c r="H12" s="174" t="s">
        <v>62</v>
      </c>
      <c r="I12" s="174"/>
      <c r="J12" s="174"/>
    </row>
    <row r="13" spans="1:15" ht="120" customHeight="1">
      <c r="A13" s="383"/>
      <c r="B13" s="178" t="s">
        <v>43</v>
      </c>
      <c r="C13" s="172" t="s">
        <v>71</v>
      </c>
      <c r="D13" s="172" t="s">
        <v>72</v>
      </c>
      <c r="E13" s="172" t="s">
        <v>10537</v>
      </c>
      <c r="F13" s="172" t="s">
        <v>73</v>
      </c>
      <c r="G13" s="189" t="s">
        <v>74</v>
      </c>
      <c r="H13" s="174" t="s">
        <v>24</v>
      </c>
      <c r="I13" s="175" t="s">
        <v>31</v>
      </c>
      <c r="J13" s="174"/>
    </row>
    <row r="14" spans="1:15" ht="120" customHeight="1">
      <c r="A14" s="383"/>
      <c r="B14" s="178" t="s">
        <v>43</v>
      </c>
      <c r="C14" s="172" t="s">
        <v>75</v>
      </c>
      <c r="D14" s="172" t="s">
        <v>76</v>
      </c>
      <c r="E14" s="172" t="s">
        <v>10537</v>
      </c>
      <c r="F14" s="172" t="s">
        <v>77</v>
      </c>
      <c r="G14" s="189" t="s">
        <v>74</v>
      </c>
      <c r="H14" s="174" t="s">
        <v>24</v>
      </c>
      <c r="I14" s="175" t="s">
        <v>31</v>
      </c>
      <c r="J14" s="174"/>
    </row>
    <row r="15" spans="1:15" ht="120" customHeight="1">
      <c r="A15" s="383"/>
      <c r="B15" s="178" t="s">
        <v>43</v>
      </c>
      <c r="C15" s="172" t="s">
        <v>78</v>
      </c>
      <c r="D15" s="172" t="s">
        <v>79</v>
      </c>
      <c r="E15" s="172" t="s">
        <v>10537</v>
      </c>
      <c r="F15" s="172" t="s">
        <v>80</v>
      </c>
      <c r="G15" s="189" t="s">
        <v>81</v>
      </c>
      <c r="H15" s="174" t="s">
        <v>24</v>
      </c>
      <c r="I15" s="174" t="s">
        <v>31</v>
      </c>
      <c r="J15" s="174"/>
    </row>
    <row r="16" spans="1:15" ht="120" customHeight="1">
      <c r="A16" s="383"/>
      <c r="B16" s="178" t="s">
        <v>43</v>
      </c>
      <c r="C16" s="172" t="s">
        <v>82</v>
      </c>
      <c r="D16" s="172" t="s">
        <v>83</v>
      </c>
      <c r="E16" s="172" t="s">
        <v>10537</v>
      </c>
      <c r="F16" s="172" t="s">
        <v>84</v>
      </c>
      <c r="G16" s="189" t="s">
        <v>85</v>
      </c>
      <c r="H16" s="174" t="s">
        <v>86</v>
      </c>
      <c r="I16" s="180"/>
      <c r="J16" s="174"/>
    </row>
    <row r="17" spans="1:10" ht="120" customHeight="1">
      <c r="A17" s="383"/>
      <c r="B17" s="178" t="s">
        <v>43</v>
      </c>
      <c r="C17" s="172" t="s">
        <v>87</v>
      </c>
      <c r="D17" s="172" t="s">
        <v>6004</v>
      </c>
      <c r="E17" s="172" t="s">
        <v>10537</v>
      </c>
      <c r="F17" s="172" t="s">
        <v>10540</v>
      </c>
      <c r="G17" s="189" t="s">
        <v>10541</v>
      </c>
      <c r="H17" s="174" t="s">
        <v>86</v>
      </c>
      <c r="I17" s="180"/>
      <c r="J17" s="174"/>
    </row>
    <row r="18" spans="1:10" ht="120" customHeight="1">
      <c r="A18" s="383"/>
      <c r="B18" s="178" t="s">
        <v>43</v>
      </c>
      <c r="C18" s="172" t="s">
        <v>89</v>
      </c>
      <c r="D18" s="172" t="s">
        <v>90</v>
      </c>
      <c r="E18" s="172" t="s">
        <v>10537</v>
      </c>
      <c r="F18" s="172" t="s">
        <v>91</v>
      </c>
      <c r="G18" s="189" t="s">
        <v>92</v>
      </c>
      <c r="H18" s="174" t="s">
        <v>86</v>
      </c>
      <c r="I18" s="180"/>
      <c r="J18" s="174"/>
    </row>
    <row r="19" spans="1:10" ht="120" customHeight="1">
      <c r="A19" s="383"/>
      <c r="B19" s="178" t="s">
        <v>43</v>
      </c>
      <c r="C19" s="172" t="s">
        <v>93</v>
      </c>
      <c r="D19" s="172" t="s">
        <v>10542</v>
      </c>
      <c r="E19" s="172" t="s">
        <v>10537</v>
      </c>
      <c r="F19" s="172" t="s">
        <v>94</v>
      </c>
      <c r="G19" s="189" t="s">
        <v>95</v>
      </c>
      <c r="H19" s="174" t="s">
        <v>24</v>
      </c>
      <c r="I19" s="180"/>
      <c r="J19" s="174"/>
    </row>
    <row r="20" spans="1:10" ht="120" customHeight="1">
      <c r="A20" s="383"/>
      <c r="B20" s="171" t="s">
        <v>96</v>
      </c>
      <c r="C20" s="210" t="s">
        <v>97</v>
      </c>
      <c r="D20" s="172" t="s">
        <v>98</v>
      </c>
      <c r="E20" s="172" t="s">
        <v>10537</v>
      </c>
      <c r="F20" s="172" t="s">
        <v>10543</v>
      </c>
      <c r="G20" s="189" t="s">
        <v>100</v>
      </c>
      <c r="H20" s="201" t="s">
        <v>30</v>
      </c>
      <c r="I20" s="175" t="s">
        <v>31</v>
      </c>
      <c r="J20" s="174" t="s">
        <v>49</v>
      </c>
    </row>
    <row r="21" spans="1:10" ht="120" customHeight="1">
      <c r="A21" s="383"/>
      <c r="B21" s="171" t="s">
        <v>96</v>
      </c>
      <c r="C21" s="210" t="s">
        <v>101</v>
      </c>
      <c r="D21" s="172" t="s">
        <v>102</v>
      </c>
      <c r="E21" s="172" t="s">
        <v>10537</v>
      </c>
      <c r="F21" s="172" t="s">
        <v>103</v>
      </c>
      <c r="G21" s="189" t="s">
        <v>104</v>
      </c>
      <c r="H21" s="174" t="s">
        <v>41</v>
      </c>
      <c r="I21" s="175" t="s">
        <v>31</v>
      </c>
      <c r="J21" s="174" t="s">
        <v>49</v>
      </c>
    </row>
    <row r="22" spans="1:10" ht="120" customHeight="1">
      <c r="A22" s="383"/>
      <c r="B22" s="171" t="s">
        <v>96</v>
      </c>
      <c r="C22" s="210" t="s">
        <v>105</v>
      </c>
      <c r="D22" s="172" t="s">
        <v>106</v>
      </c>
      <c r="E22" s="172" t="s">
        <v>10537</v>
      </c>
      <c r="F22" s="172" t="s">
        <v>107</v>
      </c>
      <c r="G22" s="189" t="s">
        <v>108</v>
      </c>
      <c r="H22" s="174" t="s">
        <v>36</v>
      </c>
      <c r="I22" s="175" t="s">
        <v>31</v>
      </c>
      <c r="J22" s="174" t="s">
        <v>49</v>
      </c>
    </row>
    <row r="23" spans="1:10" ht="120" customHeight="1">
      <c r="A23" s="383"/>
      <c r="B23" s="171" t="s">
        <v>96</v>
      </c>
      <c r="C23" s="172" t="s">
        <v>109</v>
      </c>
      <c r="D23" s="172" t="s">
        <v>110</v>
      </c>
      <c r="E23" s="172" t="s">
        <v>10537</v>
      </c>
      <c r="F23" s="172" t="s">
        <v>10544</v>
      </c>
      <c r="G23" s="189" t="s">
        <v>10545</v>
      </c>
      <c r="H23" s="174" t="s">
        <v>36</v>
      </c>
      <c r="I23" s="175" t="s">
        <v>31</v>
      </c>
      <c r="J23" s="174" t="s">
        <v>49</v>
      </c>
    </row>
    <row r="24" spans="1:10" ht="120" customHeight="1">
      <c r="A24" s="383"/>
      <c r="B24" s="171" t="s">
        <v>96</v>
      </c>
      <c r="C24" s="172" t="s">
        <v>111</v>
      </c>
      <c r="D24" s="172" t="s">
        <v>112</v>
      </c>
      <c r="E24" s="172" t="s">
        <v>10537</v>
      </c>
      <c r="F24" s="172" t="s">
        <v>10546</v>
      </c>
      <c r="G24" s="189" t="s">
        <v>10547</v>
      </c>
      <c r="H24" s="174" t="s">
        <v>24</v>
      </c>
      <c r="I24" s="181"/>
      <c r="J24" s="174"/>
    </row>
    <row r="25" spans="1:10" ht="120" customHeight="1">
      <c r="A25" s="383"/>
      <c r="B25" s="171" t="s">
        <v>96</v>
      </c>
      <c r="C25" s="172" t="s">
        <v>113</v>
      </c>
      <c r="D25" s="172" t="s">
        <v>10548</v>
      </c>
      <c r="E25" s="172" t="s">
        <v>10537</v>
      </c>
      <c r="F25" s="172" t="s">
        <v>115</v>
      </c>
      <c r="G25" s="189" t="s">
        <v>10549</v>
      </c>
      <c r="H25" s="174" t="s">
        <v>117</v>
      </c>
      <c r="I25" s="175" t="s">
        <v>31</v>
      </c>
      <c r="J25" s="174"/>
    </row>
    <row r="26" spans="1:10" ht="120" customHeight="1">
      <c r="A26" s="383"/>
      <c r="B26" s="171" t="s">
        <v>96</v>
      </c>
      <c r="C26" s="172" t="s">
        <v>118</v>
      </c>
      <c r="D26" s="172" t="s">
        <v>119</v>
      </c>
      <c r="E26" s="172" t="s">
        <v>10537</v>
      </c>
      <c r="F26" s="172" t="s">
        <v>120</v>
      </c>
      <c r="G26" s="189" t="s">
        <v>10550</v>
      </c>
      <c r="H26" s="174" t="s">
        <v>117</v>
      </c>
      <c r="I26" s="175" t="s">
        <v>31</v>
      </c>
      <c r="J26" s="174"/>
    </row>
    <row r="27" spans="1:10" ht="120" customHeight="1">
      <c r="A27" s="383"/>
      <c r="B27" s="303" t="s">
        <v>96</v>
      </c>
      <c r="C27" s="242" t="s">
        <v>121</v>
      </c>
      <c r="D27" s="242" t="s">
        <v>122</v>
      </c>
      <c r="E27" s="242" t="s">
        <v>10537</v>
      </c>
      <c r="F27" s="242" t="s">
        <v>123</v>
      </c>
      <c r="G27" s="305" t="s">
        <v>124</v>
      </c>
      <c r="H27" s="406" t="s">
        <v>24</v>
      </c>
      <c r="I27" s="175"/>
      <c r="J27" s="174"/>
    </row>
    <row r="28" spans="1:10" ht="120" customHeight="1">
      <c r="A28" s="389"/>
      <c r="B28" s="171" t="s">
        <v>10551</v>
      </c>
      <c r="C28" s="172" t="s">
        <v>10552</v>
      </c>
      <c r="D28" s="172" t="s">
        <v>10553</v>
      </c>
      <c r="E28" s="172" t="s">
        <v>10532</v>
      </c>
      <c r="F28" s="210" t="s">
        <v>10554</v>
      </c>
      <c r="G28" s="209" t="s">
        <v>10555</v>
      </c>
      <c r="H28" s="174" t="s">
        <v>24</v>
      </c>
      <c r="I28" s="306"/>
      <c r="J28" s="174"/>
    </row>
    <row r="29" spans="1:10" ht="120" customHeight="1">
      <c r="A29" s="389"/>
      <c r="B29" s="171" t="s">
        <v>10551</v>
      </c>
      <c r="C29" s="172" t="s">
        <v>10556</v>
      </c>
      <c r="D29" s="172" t="s">
        <v>10557</v>
      </c>
      <c r="E29" s="172" t="s">
        <v>10532</v>
      </c>
      <c r="F29" s="210" t="s">
        <v>10558</v>
      </c>
      <c r="G29" s="209" t="s">
        <v>10559</v>
      </c>
      <c r="H29" s="174" t="s">
        <v>24</v>
      </c>
      <c r="I29" s="306"/>
      <c r="J29" s="174"/>
    </row>
    <row r="30" spans="1:10" ht="120" customHeight="1">
      <c r="A30" s="389"/>
      <c r="B30" s="171" t="s">
        <v>10551</v>
      </c>
      <c r="C30" s="172" t="s">
        <v>10560</v>
      </c>
      <c r="D30" s="172" t="s">
        <v>10561</v>
      </c>
      <c r="E30" s="172" t="s">
        <v>10532</v>
      </c>
      <c r="F30" s="210" t="s">
        <v>10562</v>
      </c>
      <c r="G30" s="209" t="s">
        <v>10563</v>
      </c>
      <c r="H30" s="174" t="s">
        <v>24</v>
      </c>
      <c r="I30" s="306"/>
      <c r="J30" s="174"/>
    </row>
    <row r="31" spans="1:10" ht="120" customHeight="1">
      <c r="A31" s="383" t="s">
        <v>10564</v>
      </c>
      <c r="B31" s="307" t="s">
        <v>126</v>
      </c>
      <c r="C31" s="301" t="s">
        <v>127</v>
      </c>
      <c r="D31" s="301" t="s">
        <v>6064</v>
      </c>
      <c r="E31" s="301" t="s">
        <v>10537</v>
      </c>
      <c r="F31" s="301" t="s">
        <v>129</v>
      </c>
      <c r="G31" s="302" t="s">
        <v>130</v>
      </c>
      <c r="H31" s="405" t="s">
        <v>30</v>
      </c>
      <c r="I31" s="175" t="s">
        <v>25</v>
      </c>
      <c r="J31" s="174" t="s">
        <v>49</v>
      </c>
    </row>
    <row r="32" spans="1:10" ht="120" customHeight="1">
      <c r="A32" s="383"/>
      <c r="B32" s="178" t="s">
        <v>126</v>
      </c>
      <c r="C32" s="210" t="s">
        <v>131</v>
      </c>
      <c r="D32" s="172" t="s">
        <v>12447</v>
      </c>
      <c r="E32" s="172" t="s">
        <v>10537</v>
      </c>
      <c r="F32" s="172" t="s">
        <v>132</v>
      </c>
      <c r="G32" s="189" t="s">
        <v>12448</v>
      </c>
      <c r="H32" s="201" t="s">
        <v>30</v>
      </c>
      <c r="I32" s="175" t="s">
        <v>31</v>
      </c>
      <c r="J32" s="174" t="s">
        <v>49</v>
      </c>
    </row>
    <row r="33" spans="1:10" ht="120" customHeight="1">
      <c r="A33" s="383"/>
      <c r="B33" s="178" t="s">
        <v>126</v>
      </c>
      <c r="C33" s="210" t="s">
        <v>133</v>
      </c>
      <c r="D33" s="172" t="s">
        <v>12449</v>
      </c>
      <c r="E33" s="172" t="s">
        <v>10537</v>
      </c>
      <c r="F33" s="172" t="s">
        <v>134</v>
      </c>
      <c r="G33" s="189" t="s">
        <v>12450</v>
      </c>
      <c r="H33" s="174" t="s">
        <v>41</v>
      </c>
      <c r="I33" s="175" t="s">
        <v>31</v>
      </c>
      <c r="J33" s="174"/>
    </row>
    <row r="34" spans="1:10" ht="120" customHeight="1">
      <c r="A34" s="383"/>
      <c r="B34" s="211" t="s">
        <v>126</v>
      </c>
      <c r="C34" s="172" t="s">
        <v>135</v>
      </c>
      <c r="D34" s="172" t="s">
        <v>136</v>
      </c>
      <c r="E34" s="172" t="s">
        <v>10537</v>
      </c>
      <c r="F34" s="172" t="s">
        <v>137</v>
      </c>
      <c r="G34" s="189" t="s">
        <v>138</v>
      </c>
      <c r="H34" s="201" t="s">
        <v>41</v>
      </c>
      <c r="I34" s="174" t="s">
        <v>31</v>
      </c>
      <c r="J34" s="174"/>
    </row>
    <row r="35" spans="1:10" ht="120" customHeight="1">
      <c r="A35" s="383"/>
      <c r="B35" s="178" t="s">
        <v>126</v>
      </c>
      <c r="C35" s="172" t="s">
        <v>139</v>
      </c>
      <c r="D35" s="172" t="s">
        <v>140</v>
      </c>
      <c r="E35" s="172" t="s">
        <v>23</v>
      </c>
      <c r="F35" s="172" t="s">
        <v>141</v>
      </c>
      <c r="G35" s="189" t="s">
        <v>142</v>
      </c>
      <c r="H35" s="174" t="s">
        <v>24</v>
      </c>
      <c r="I35" s="175" t="s">
        <v>31</v>
      </c>
      <c r="J35" s="174" t="s">
        <v>49</v>
      </c>
    </row>
    <row r="36" spans="1:10" ht="120" customHeight="1">
      <c r="A36" s="383"/>
      <c r="B36" s="178" t="s">
        <v>126</v>
      </c>
      <c r="C36" s="172" t="s">
        <v>143</v>
      </c>
      <c r="D36" s="172" t="s">
        <v>10565</v>
      </c>
      <c r="E36" s="172" t="s">
        <v>23</v>
      </c>
      <c r="F36" s="172" t="s">
        <v>144</v>
      </c>
      <c r="G36" s="189" t="s">
        <v>10566</v>
      </c>
      <c r="H36" s="174" t="s">
        <v>36</v>
      </c>
      <c r="I36" s="175" t="s">
        <v>31</v>
      </c>
      <c r="J36" s="174" t="s">
        <v>49</v>
      </c>
    </row>
    <row r="37" spans="1:10" ht="120" customHeight="1">
      <c r="A37" s="383"/>
      <c r="B37" s="308" t="s">
        <v>126</v>
      </c>
      <c r="C37" s="242" t="s">
        <v>145</v>
      </c>
      <c r="D37" s="242" t="s">
        <v>146</v>
      </c>
      <c r="E37" s="242" t="s">
        <v>23</v>
      </c>
      <c r="F37" s="242" t="s">
        <v>147</v>
      </c>
      <c r="G37" s="305" t="s">
        <v>10567</v>
      </c>
      <c r="H37" s="406" t="s">
        <v>117</v>
      </c>
      <c r="I37" s="174"/>
      <c r="J37" s="174"/>
    </row>
    <row r="38" spans="1:10" ht="120" customHeight="1">
      <c r="A38" s="389"/>
      <c r="B38" s="178" t="s">
        <v>126</v>
      </c>
      <c r="C38" s="172" t="s">
        <v>10568</v>
      </c>
      <c r="D38" s="172" t="s">
        <v>10569</v>
      </c>
      <c r="E38" s="172" t="s">
        <v>10532</v>
      </c>
      <c r="F38" s="210" t="s">
        <v>10570</v>
      </c>
      <c r="G38" s="209" t="s">
        <v>10571</v>
      </c>
      <c r="H38" s="201" t="s">
        <v>24</v>
      </c>
      <c r="I38" s="309"/>
      <c r="J38" s="174"/>
    </row>
    <row r="39" spans="1:10" ht="120" customHeight="1">
      <c r="A39" s="383"/>
      <c r="B39" s="307" t="s">
        <v>126</v>
      </c>
      <c r="C39" s="310" t="s">
        <v>148</v>
      </c>
      <c r="D39" s="301" t="s">
        <v>10572</v>
      </c>
      <c r="E39" s="301" t="s">
        <v>10537</v>
      </c>
      <c r="F39" s="301" t="s">
        <v>10573</v>
      </c>
      <c r="G39" s="302" t="s">
        <v>149</v>
      </c>
      <c r="H39" s="405" t="s">
        <v>41</v>
      </c>
      <c r="I39" s="174"/>
      <c r="J39" s="174"/>
    </row>
    <row r="40" spans="1:10" ht="120" customHeight="1">
      <c r="A40" s="383"/>
      <c r="B40" s="178" t="s">
        <v>126</v>
      </c>
      <c r="C40" s="210" t="s">
        <v>150</v>
      </c>
      <c r="D40" s="172" t="s">
        <v>10574</v>
      </c>
      <c r="E40" s="172" t="s">
        <v>10537</v>
      </c>
      <c r="F40" s="172" t="s">
        <v>151</v>
      </c>
      <c r="G40" s="189" t="s">
        <v>149</v>
      </c>
      <c r="H40" s="174" t="s">
        <v>41</v>
      </c>
      <c r="I40" s="174"/>
      <c r="J40" s="174"/>
    </row>
    <row r="41" spans="1:10" ht="120" customHeight="1">
      <c r="A41" s="383"/>
      <c r="B41" s="178" t="s">
        <v>126</v>
      </c>
      <c r="C41" s="210" t="s">
        <v>152</v>
      </c>
      <c r="D41" s="172" t="s">
        <v>10575</v>
      </c>
      <c r="E41" s="172" t="s">
        <v>10537</v>
      </c>
      <c r="F41" s="172" t="s">
        <v>153</v>
      </c>
      <c r="G41" s="189" t="s">
        <v>149</v>
      </c>
      <c r="H41" s="174" t="s">
        <v>41</v>
      </c>
      <c r="I41" s="174"/>
      <c r="J41" s="174"/>
    </row>
    <row r="42" spans="1:10" ht="120" customHeight="1">
      <c r="A42" s="383"/>
      <c r="B42" s="178" t="s">
        <v>126</v>
      </c>
      <c r="C42" s="210" t="s">
        <v>154</v>
      </c>
      <c r="D42" s="172" t="s">
        <v>155</v>
      </c>
      <c r="E42" s="172" t="s">
        <v>23</v>
      </c>
      <c r="F42" s="172" t="s">
        <v>156</v>
      </c>
      <c r="G42" s="189" t="s">
        <v>157</v>
      </c>
      <c r="H42" s="174" t="s">
        <v>41</v>
      </c>
      <c r="I42" s="175" t="s">
        <v>31</v>
      </c>
      <c r="J42" s="174"/>
    </row>
    <row r="43" spans="1:10" ht="120" customHeight="1">
      <c r="A43" s="383"/>
      <c r="B43" s="178" t="s">
        <v>126</v>
      </c>
      <c r="C43" s="210" t="s">
        <v>158</v>
      </c>
      <c r="D43" s="172" t="s">
        <v>159</v>
      </c>
      <c r="E43" s="172" t="s">
        <v>23</v>
      </c>
      <c r="F43" s="172" t="s">
        <v>160</v>
      </c>
      <c r="G43" s="189" t="s">
        <v>161</v>
      </c>
      <c r="H43" s="174" t="s">
        <v>62</v>
      </c>
      <c r="I43" s="174"/>
      <c r="J43" s="174"/>
    </row>
    <row r="44" spans="1:10" ht="120" customHeight="1">
      <c r="A44" s="383"/>
      <c r="B44" s="178" t="s">
        <v>126</v>
      </c>
      <c r="C44" s="210" t="s">
        <v>162</v>
      </c>
      <c r="D44" s="172" t="s">
        <v>163</v>
      </c>
      <c r="E44" s="172" t="s">
        <v>23</v>
      </c>
      <c r="F44" s="172" t="s">
        <v>10576</v>
      </c>
      <c r="G44" s="189" t="s">
        <v>164</v>
      </c>
      <c r="H44" s="174" t="s">
        <v>117</v>
      </c>
      <c r="I44" s="174"/>
      <c r="J44" s="174"/>
    </row>
    <row r="45" spans="1:10" ht="120" customHeight="1">
      <c r="A45" s="383"/>
      <c r="B45" s="171" t="s">
        <v>165</v>
      </c>
      <c r="C45" s="210" t="s">
        <v>166</v>
      </c>
      <c r="D45" s="172" t="s">
        <v>10577</v>
      </c>
      <c r="E45" s="172" t="s">
        <v>168</v>
      </c>
      <c r="F45" s="172" t="s">
        <v>169</v>
      </c>
      <c r="G45" s="189" t="s">
        <v>170</v>
      </c>
      <c r="H45" s="174" t="s">
        <v>30</v>
      </c>
      <c r="I45" s="407" t="s">
        <v>31</v>
      </c>
      <c r="J45" s="174"/>
    </row>
    <row r="46" spans="1:10" ht="120" customHeight="1">
      <c r="A46" s="383"/>
      <c r="B46" s="171" t="s">
        <v>171</v>
      </c>
      <c r="C46" s="210" t="s">
        <v>172</v>
      </c>
      <c r="D46" s="172" t="s">
        <v>173</v>
      </c>
      <c r="E46" s="172" t="s">
        <v>174</v>
      </c>
      <c r="F46" s="172" t="s">
        <v>175</v>
      </c>
      <c r="G46" s="189" t="s">
        <v>176</v>
      </c>
      <c r="H46" s="174" t="s">
        <v>30</v>
      </c>
      <c r="I46" s="174" t="s">
        <v>31</v>
      </c>
      <c r="J46" s="174"/>
    </row>
    <row r="47" spans="1:10" ht="120" customHeight="1">
      <c r="A47" s="383"/>
      <c r="B47" s="260" t="s">
        <v>171</v>
      </c>
      <c r="C47" s="210" t="s">
        <v>177</v>
      </c>
      <c r="D47" s="172" t="s">
        <v>10578</v>
      </c>
      <c r="E47" s="172" t="s">
        <v>178</v>
      </c>
      <c r="F47" s="172" t="s">
        <v>179</v>
      </c>
      <c r="G47" s="189" t="s">
        <v>180</v>
      </c>
      <c r="H47" s="174" t="s">
        <v>41</v>
      </c>
      <c r="I47" s="175" t="s">
        <v>31</v>
      </c>
      <c r="J47" s="174"/>
    </row>
    <row r="48" spans="1:10" ht="120" customHeight="1">
      <c r="A48" s="383"/>
      <c r="B48" s="260" t="s">
        <v>171</v>
      </c>
      <c r="C48" s="210" t="s">
        <v>181</v>
      </c>
      <c r="D48" s="11" t="s">
        <v>10579</v>
      </c>
      <c r="E48" s="172" t="s">
        <v>182</v>
      </c>
      <c r="F48" s="172" t="s">
        <v>10580</v>
      </c>
      <c r="G48" s="189" t="s">
        <v>183</v>
      </c>
      <c r="H48" s="201" t="s">
        <v>184</v>
      </c>
      <c r="I48" s="174"/>
      <c r="J48" s="174"/>
    </row>
    <row r="49" spans="1:10" ht="120" customHeight="1">
      <c r="A49" s="383"/>
      <c r="B49" s="260" t="s">
        <v>171</v>
      </c>
      <c r="C49" s="210" t="s">
        <v>185</v>
      </c>
      <c r="D49" s="172" t="s">
        <v>10581</v>
      </c>
      <c r="E49" s="210" t="s">
        <v>186</v>
      </c>
      <c r="F49" s="172" t="s">
        <v>10582</v>
      </c>
      <c r="G49" s="189" t="s">
        <v>10583</v>
      </c>
      <c r="H49" s="201" t="s">
        <v>184</v>
      </c>
      <c r="I49" s="174"/>
      <c r="J49" s="174"/>
    </row>
    <row r="50" spans="1:10" ht="120" customHeight="1">
      <c r="A50" s="383"/>
      <c r="B50" s="260" t="s">
        <v>171</v>
      </c>
      <c r="C50" s="210" t="s">
        <v>187</v>
      </c>
      <c r="D50" s="172" t="s">
        <v>188</v>
      </c>
      <c r="E50" s="210" t="s">
        <v>189</v>
      </c>
      <c r="F50" s="172" t="s">
        <v>190</v>
      </c>
      <c r="G50" s="189" t="s">
        <v>191</v>
      </c>
      <c r="H50" s="201" t="s">
        <v>184</v>
      </c>
      <c r="I50" s="174"/>
      <c r="J50" s="174"/>
    </row>
    <row r="51" spans="1:10" ht="120" customHeight="1">
      <c r="A51" s="383"/>
      <c r="B51" s="260" t="s">
        <v>171</v>
      </c>
      <c r="C51" s="210" t="s">
        <v>192</v>
      </c>
      <c r="D51" s="172" t="s">
        <v>10584</v>
      </c>
      <c r="E51" s="210" t="s">
        <v>193</v>
      </c>
      <c r="F51" s="172" t="s">
        <v>194</v>
      </c>
      <c r="G51" s="189" t="s">
        <v>12451</v>
      </c>
      <c r="H51" s="174" t="s">
        <v>24</v>
      </c>
      <c r="I51" s="174"/>
      <c r="J51" s="174"/>
    </row>
    <row r="52" spans="1:10" ht="120" customHeight="1">
      <c r="A52" s="383"/>
      <c r="B52" s="260" t="s">
        <v>171</v>
      </c>
      <c r="C52" s="210" t="s">
        <v>195</v>
      </c>
      <c r="D52" s="172" t="s">
        <v>196</v>
      </c>
      <c r="E52" s="210" t="s">
        <v>193</v>
      </c>
      <c r="F52" s="172" t="s">
        <v>197</v>
      </c>
      <c r="G52" s="189" t="s">
        <v>12452</v>
      </c>
      <c r="H52" s="201" t="s">
        <v>24</v>
      </c>
      <c r="I52" s="174"/>
      <c r="J52" s="174"/>
    </row>
    <row r="53" spans="1:10" ht="120" customHeight="1">
      <c r="A53" s="383"/>
      <c r="B53" s="260" t="s">
        <v>171</v>
      </c>
      <c r="C53" s="210" t="s">
        <v>198</v>
      </c>
      <c r="D53" s="172" t="s">
        <v>199</v>
      </c>
      <c r="E53" s="210" t="s">
        <v>189</v>
      </c>
      <c r="F53" s="172" t="s">
        <v>200</v>
      </c>
      <c r="G53" s="189" t="s">
        <v>12453</v>
      </c>
      <c r="H53" s="201" t="s">
        <v>24</v>
      </c>
      <c r="I53" s="174"/>
      <c r="J53" s="174"/>
    </row>
    <row r="54" spans="1:10" ht="120" customHeight="1">
      <c r="A54" s="383"/>
      <c r="B54" s="260" t="s">
        <v>171</v>
      </c>
      <c r="C54" s="210" t="s">
        <v>201</v>
      </c>
      <c r="D54" s="172" t="s">
        <v>10585</v>
      </c>
      <c r="E54" s="210" t="s">
        <v>189</v>
      </c>
      <c r="F54" s="172" t="s">
        <v>202</v>
      </c>
      <c r="G54" s="189" t="s">
        <v>12454</v>
      </c>
      <c r="H54" s="201" t="s">
        <v>24</v>
      </c>
      <c r="I54" s="174"/>
      <c r="J54" s="174" t="e">
        <f>COUNTIFS([1]全功能测试用例!C:C,"*'用例执行情况'!A1:T1*",[1]全功能测试用例!#REF!,"v1.01p03",[1]全功能测试用例!#REF!,"Blocked")</f>
        <v>#REF!</v>
      </c>
    </row>
    <row r="55" spans="1:10" ht="120" customHeight="1">
      <c r="A55" s="383"/>
      <c r="B55" s="260" t="s">
        <v>171</v>
      </c>
      <c r="C55" s="210" t="s">
        <v>203</v>
      </c>
      <c r="D55" s="172" t="s">
        <v>204</v>
      </c>
      <c r="E55" s="210" t="s">
        <v>193</v>
      </c>
      <c r="F55" s="172" t="s">
        <v>205</v>
      </c>
      <c r="G55" s="189" t="s">
        <v>10586</v>
      </c>
      <c r="H55" s="174" t="s">
        <v>41</v>
      </c>
      <c r="I55" s="174"/>
      <c r="J55" s="174"/>
    </row>
    <row r="56" spans="1:10" ht="120" customHeight="1">
      <c r="A56" s="383"/>
      <c r="B56" s="260" t="s">
        <v>171</v>
      </c>
      <c r="C56" s="210" t="s">
        <v>206</v>
      </c>
      <c r="D56" s="172" t="s">
        <v>10587</v>
      </c>
      <c r="E56" s="172" t="s">
        <v>10588</v>
      </c>
      <c r="F56" s="172" t="s">
        <v>208</v>
      </c>
      <c r="G56" s="189" t="s">
        <v>209</v>
      </c>
      <c r="H56" s="174" t="s">
        <v>41</v>
      </c>
      <c r="I56" s="175" t="s">
        <v>31</v>
      </c>
      <c r="J56" s="174"/>
    </row>
    <row r="57" spans="1:10" ht="120" customHeight="1">
      <c r="A57" s="383"/>
      <c r="B57" s="260" t="s">
        <v>171</v>
      </c>
      <c r="C57" s="210" t="s">
        <v>210</v>
      </c>
      <c r="D57" s="172" t="s">
        <v>211</v>
      </c>
      <c r="E57" s="210" t="s">
        <v>189</v>
      </c>
      <c r="F57" s="172" t="s">
        <v>212</v>
      </c>
      <c r="G57" s="189" t="s">
        <v>213</v>
      </c>
      <c r="H57" s="174" t="s">
        <v>41</v>
      </c>
      <c r="I57" s="182"/>
      <c r="J57" s="182"/>
    </row>
    <row r="58" spans="1:10" ht="120" customHeight="1">
      <c r="A58" s="383"/>
      <c r="B58" s="260" t="s">
        <v>171</v>
      </c>
      <c r="C58" s="210" t="s">
        <v>214</v>
      </c>
      <c r="D58" s="172" t="s">
        <v>215</v>
      </c>
      <c r="E58" s="210" t="s">
        <v>193</v>
      </c>
      <c r="F58" s="172" t="s">
        <v>216</v>
      </c>
      <c r="G58" s="189" t="s">
        <v>10589</v>
      </c>
      <c r="H58" s="174" t="s">
        <v>24</v>
      </c>
      <c r="I58" s="182"/>
      <c r="J58" s="182"/>
    </row>
    <row r="59" spans="1:10" ht="120" customHeight="1">
      <c r="A59" s="383"/>
      <c r="B59" s="260" t="s">
        <v>171</v>
      </c>
      <c r="C59" s="210" t="s">
        <v>217</v>
      </c>
      <c r="D59" s="172" t="s">
        <v>10590</v>
      </c>
      <c r="E59" s="210" t="s">
        <v>193</v>
      </c>
      <c r="F59" s="172" t="s">
        <v>218</v>
      </c>
      <c r="G59" s="189" t="s">
        <v>10591</v>
      </c>
      <c r="H59" s="174" t="s">
        <v>24</v>
      </c>
      <c r="I59" s="182"/>
      <c r="J59" s="182"/>
    </row>
    <row r="60" spans="1:10" ht="120" customHeight="1">
      <c r="A60" s="383"/>
      <c r="B60" s="260" t="s">
        <v>171</v>
      </c>
      <c r="C60" s="210" t="s">
        <v>219</v>
      </c>
      <c r="D60" s="172" t="s">
        <v>220</v>
      </c>
      <c r="E60" s="210" t="s">
        <v>189</v>
      </c>
      <c r="F60" s="172" t="s">
        <v>221</v>
      </c>
      <c r="G60" s="189" t="s">
        <v>10589</v>
      </c>
      <c r="H60" s="174" t="s">
        <v>24</v>
      </c>
      <c r="I60" s="182"/>
      <c r="J60" s="182"/>
    </row>
    <row r="61" spans="1:10" ht="120" customHeight="1">
      <c r="A61" s="383"/>
      <c r="B61" s="260" t="s">
        <v>171</v>
      </c>
      <c r="C61" s="210" t="s">
        <v>222</v>
      </c>
      <c r="D61" s="172" t="s">
        <v>223</v>
      </c>
      <c r="E61" s="210" t="s">
        <v>189</v>
      </c>
      <c r="F61" s="172" t="s">
        <v>224</v>
      </c>
      <c r="G61" s="189" t="s">
        <v>10591</v>
      </c>
      <c r="H61" s="174" t="s">
        <v>24</v>
      </c>
      <c r="I61" s="182"/>
      <c r="J61" s="182"/>
    </row>
    <row r="62" spans="1:10" ht="120" customHeight="1">
      <c r="A62" s="383"/>
      <c r="B62" s="322" t="s">
        <v>171</v>
      </c>
      <c r="C62" s="311" t="s">
        <v>225</v>
      </c>
      <c r="D62" s="242" t="s">
        <v>10592</v>
      </c>
      <c r="E62" s="311" t="s">
        <v>193</v>
      </c>
      <c r="F62" s="242" t="s">
        <v>226</v>
      </c>
      <c r="G62" s="305" t="s">
        <v>10593</v>
      </c>
      <c r="H62" s="408" t="s">
        <v>24</v>
      </c>
      <c r="I62" s="174"/>
      <c r="J62" s="174"/>
    </row>
    <row r="63" spans="1:10" ht="120" customHeight="1">
      <c r="A63" s="389"/>
      <c r="B63" s="260" t="s">
        <v>10594</v>
      </c>
      <c r="C63" s="210" t="s">
        <v>10595</v>
      </c>
      <c r="D63" s="210" t="s">
        <v>10596</v>
      </c>
      <c r="E63" s="210" t="s">
        <v>10597</v>
      </c>
      <c r="F63" s="210" t="s">
        <v>10598</v>
      </c>
      <c r="G63" s="209" t="s">
        <v>10599</v>
      </c>
      <c r="H63" s="201" t="s">
        <v>24</v>
      </c>
      <c r="I63" s="309"/>
      <c r="J63" s="201"/>
    </row>
    <row r="64" spans="1:10" ht="120" customHeight="1">
      <c r="A64" s="383" t="s">
        <v>227</v>
      </c>
      <c r="B64" s="307" t="s">
        <v>228</v>
      </c>
      <c r="C64" s="310" t="s">
        <v>229</v>
      </c>
      <c r="D64" s="301" t="s">
        <v>12455</v>
      </c>
      <c r="E64" s="301" t="s">
        <v>10588</v>
      </c>
      <c r="F64" s="301" t="s">
        <v>10600</v>
      </c>
      <c r="G64" s="302" t="s">
        <v>10601</v>
      </c>
      <c r="H64" s="405" t="s">
        <v>233</v>
      </c>
      <c r="I64" s="175" t="s">
        <v>31</v>
      </c>
      <c r="J64" s="174"/>
    </row>
    <row r="65" spans="1:10" ht="120" customHeight="1">
      <c r="A65" s="383"/>
      <c r="B65" s="178" t="s">
        <v>234</v>
      </c>
      <c r="C65" s="210" t="s">
        <v>235</v>
      </c>
      <c r="D65" s="172" t="s">
        <v>236</v>
      </c>
      <c r="E65" s="172" t="s">
        <v>10588</v>
      </c>
      <c r="F65" s="172" t="s">
        <v>237</v>
      </c>
      <c r="G65" s="189" t="s">
        <v>238</v>
      </c>
      <c r="H65" s="174" t="s">
        <v>41</v>
      </c>
      <c r="I65" s="175" t="s">
        <v>31</v>
      </c>
      <c r="J65" s="174"/>
    </row>
    <row r="66" spans="1:10" ht="120" customHeight="1">
      <c r="A66" s="383"/>
      <c r="B66" s="178" t="s">
        <v>234</v>
      </c>
      <c r="C66" s="210" t="s">
        <v>239</v>
      </c>
      <c r="D66" s="172" t="s">
        <v>240</v>
      </c>
      <c r="E66" s="172" t="s">
        <v>10588</v>
      </c>
      <c r="F66" s="172" t="s">
        <v>10602</v>
      </c>
      <c r="G66" s="189" t="s">
        <v>10603</v>
      </c>
      <c r="H66" s="174" t="s">
        <v>41</v>
      </c>
      <c r="I66" s="175" t="s">
        <v>31</v>
      </c>
      <c r="J66" s="174"/>
    </row>
    <row r="67" spans="1:10" ht="120" customHeight="1">
      <c r="A67" s="383"/>
      <c r="B67" s="178" t="s">
        <v>234</v>
      </c>
      <c r="C67" s="172" t="s">
        <v>241</v>
      </c>
      <c r="D67" s="172" t="s">
        <v>242</v>
      </c>
      <c r="E67" s="172" t="s">
        <v>10588</v>
      </c>
      <c r="F67" s="172" t="s">
        <v>243</v>
      </c>
      <c r="G67" s="189" t="s">
        <v>244</v>
      </c>
      <c r="H67" s="174" t="s">
        <v>24</v>
      </c>
      <c r="I67" s="175" t="s">
        <v>31</v>
      </c>
      <c r="J67" s="174"/>
    </row>
    <row r="68" spans="1:10" ht="120" customHeight="1">
      <c r="A68" s="383"/>
      <c r="B68" s="178" t="s">
        <v>234</v>
      </c>
      <c r="C68" s="172" t="s">
        <v>245</v>
      </c>
      <c r="D68" s="172" t="s">
        <v>246</v>
      </c>
      <c r="E68" s="172" t="s">
        <v>10588</v>
      </c>
      <c r="F68" s="172" t="s">
        <v>247</v>
      </c>
      <c r="G68" s="189" t="s">
        <v>248</v>
      </c>
      <c r="H68" s="174" t="s">
        <v>24</v>
      </c>
      <c r="I68" s="175" t="s">
        <v>31</v>
      </c>
      <c r="J68" s="174"/>
    </row>
    <row r="69" spans="1:10" ht="120" customHeight="1">
      <c r="A69" s="383"/>
      <c r="B69" s="178" t="s">
        <v>234</v>
      </c>
      <c r="C69" s="172" t="s">
        <v>249</v>
      </c>
      <c r="D69" s="172" t="s">
        <v>10604</v>
      </c>
      <c r="E69" s="172" t="s">
        <v>10588</v>
      </c>
      <c r="F69" s="172" t="s">
        <v>10605</v>
      </c>
      <c r="G69" s="189" t="s">
        <v>10606</v>
      </c>
      <c r="H69" s="174" t="s">
        <v>24</v>
      </c>
      <c r="I69" s="175" t="s">
        <v>31</v>
      </c>
      <c r="J69" s="174"/>
    </row>
    <row r="70" spans="1:10" ht="120" customHeight="1">
      <c r="A70" s="383"/>
      <c r="B70" s="178" t="s">
        <v>234</v>
      </c>
      <c r="C70" s="210" t="s">
        <v>250</v>
      </c>
      <c r="D70" s="172" t="s">
        <v>12456</v>
      </c>
      <c r="E70" s="172" t="s">
        <v>10588</v>
      </c>
      <c r="F70" s="172" t="s">
        <v>12457</v>
      </c>
      <c r="G70" s="189" t="s">
        <v>251</v>
      </c>
      <c r="H70" s="174" t="s">
        <v>36</v>
      </c>
      <c r="I70" s="175" t="s">
        <v>31</v>
      </c>
      <c r="J70" s="174"/>
    </row>
    <row r="71" spans="1:10" ht="120" customHeight="1">
      <c r="A71" s="383"/>
      <c r="B71" s="178" t="s">
        <v>234</v>
      </c>
      <c r="C71" s="210" t="s">
        <v>252</v>
      </c>
      <c r="D71" s="172" t="s">
        <v>253</v>
      </c>
      <c r="E71" s="172" t="s">
        <v>10588</v>
      </c>
      <c r="F71" s="172" t="s">
        <v>254</v>
      </c>
      <c r="G71" s="189" t="s">
        <v>12458</v>
      </c>
      <c r="H71" s="174" t="s">
        <v>62</v>
      </c>
      <c r="I71" s="175" t="s">
        <v>31</v>
      </c>
      <c r="J71" s="174"/>
    </row>
    <row r="72" spans="1:10" ht="120" customHeight="1">
      <c r="A72" s="383"/>
      <c r="B72" s="178" t="s">
        <v>234</v>
      </c>
      <c r="C72" s="172" t="s">
        <v>255</v>
      </c>
      <c r="D72" s="172" t="s">
        <v>256</v>
      </c>
      <c r="E72" s="172" t="s">
        <v>10588</v>
      </c>
      <c r="F72" s="172" t="s">
        <v>257</v>
      </c>
      <c r="G72" s="189" t="s">
        <v>258</v>
      </c>
      <c r="H72" s="174" t="s">
        <v>36</v>
      </c>
      <c r="I72" s="175" t="s">
        <v>31</v>
      </c>
      <c r="J72" s="174"/>
    </row>
    <row r="73" spans="1:10" ht="120" customHeight="1">
      <c r="A73" s="383"/>
      <c r="B73" s="178" t="s">
        <v>234</v>
      </c>
      <c r="C73" s="172" t="s">
        <v>259</v>
      </c>
      <c r="D73" s="172" t="s">
        <v>10607</v>
      </c>
      <c r="E73" s="172" t="s">
        <v>261</v>
      </c>
      <c r="F73" s="172" t="s">
        <v>10608</v>
      </c>
      <c r="G73" s="189" t="s">
        <v>263</v>
      </c>
      <c r="H73" s="174" t="s">
        <v>30</v>
      </c>
      <c r="I73" s="175" t="s">
        <v>31</v>
      </c>
      <c r="J73" s="174"/>
    </row>
    <row r="74" spans="1:10" ht="120" customHeight="1">
      <c r="A74" s="383"/>
      <c r="B74" s="178" t="s">
        <v>234</v>
      </c>
      <c r="C74" s="210" t="s">
        <v>264</v>
      </c>
      <c r="D74" s="172" t="s">
        <v>265</v>
      </c>
      <c r="E74" s="172" t="s">
        <v>261</v>
      </c>
      <c r="F74" s="172" t="s">
        <v>266</v>
      </c>
      <c r="G74" s="189" t="s">
        <v>267</v>
      </c>
      <c r="H74" s="174" t="s">
        <v>117</v>
      </c>
      <c r="I74" s="174"/>
      <c r="J74" s="174"/>
    </row>
    <row r="75" spans="1:10" ht="120" customHeight="1">
      <c r="A75" s="383"/>
      <c r="B75" s="178" t="s">
        <v>234</v>
      </c>
      <c r="C75" s="210" t="s">
        <v>268</v>
      </c>
      <c r="D75" s="172" t="s">
        <v>12459</v>
      </c>
      <c r="E75" s="172" t="s">
        <v>269</v>
      </c>
      <c r="F75" s="172" t="s">
        <v>270</v>
      </c>
      <c r="G75" s="189" t="s">
        <v>10609</v>
      </c>
      <c r="H75" s="174" t="s">
        <v>41</v>
      </c>
      <c r="I75" s="174"/>
      <c r="J75" s="174"/>
    </row>
    <row r="76" spans="1:10" ht="120" customHeight="1">
      <c r="A76" s="383"/>
      <c r="B76" s="178" t="s">
        <v>234</v>
      </c>
      <c r="C76" s="172" t="s">
        <v>271</v>
      </c>
      <c r="D76" s="172" t="s">
        <v>12460</v>
      </c>
      <c r="E76" s="172" t="s">
        <v>269</v>
      </c>
      <c r="F76" s="172" t="s">
        <v>10610</v>
      </c>
      <c r="G76" s="189" t="s">
        <v>272</v>
      </c>
      <c r="H76" s="174" t="s">
        <v>117</v>
      </c>
      <c r="I76" s="174"/>
      <c r="J76" s="174"/>
    </row>
    <row r="77" spans="1:10" ht="120" customHeight="1">
      <c r="A77" s="383"/>
      <c r="B77" s="178" t="s">
        <v>234</v>
      </c>
      <c r="C77" s="210" t="s">
        <v>273</v>
      </c>
      <c r="D77" s="172" t="s">
        <v>10611</v>
      </c>
      <c r="E77" s="172" t="s">
        <v>274</v>
      </c>
      <c r="F77" s="172" t="s">
        <v>10612</v>
      </c>
      <c r="G77" s="189" t="s">
        <v>275</v>
      </c>
      <c r="H77" s="174" t="s">
        <v>24</v>
      </c>
      <c r="I77" s="174"/>
      <c r="J77" s="174"/>
    </row>
    <row r="78" spans="1:10" ht="120" customHeight="1">
      <c r="A78" s="383"/>
      <c r="B78" s="178" t="s">
        <v>234</v>
      </c>
      <c r="C78" s="210" t="s">
        <v>276</v>
      </c>
      <c r="D78" s="172" t="s">
        <v>10613</v>
      </c>
      <c r="E78" s="172" t="s">
        <v>277</v>
      </c>
      <c r="F78" s="16" t="s">
        <v>278</v>
      </c>
      <c r="G78" s="204" t="s">
        <v>279</v>
      </c>
      <c r="H78" s="174" t="s">
        <v>24</v>
      </c>
      <c r="I78" s="174"/>
      <c r="J78" s="174"/>
    </row>
    <row r="79" spans="1:10" ht="120" customHeight="1">
      <c r="A79" s="383"/>
      <c r="B79" s="178" t="s">
        <v>234</v>
      </c>
      <c r="C79" s="210" t="s">
        <v>280</v>
      </c>
      <c r="D79" s="172" t="s">
        <v>10614</v>
      </c>
      <c r="E79" s="172" t="s">
        <v>281</v>
      </c>
      <c r="F79" s="16" t="s">
        <v>12461</v>
      </c>
      <c r="G79" s="204" t="s">
        <v>282</v>
      </c>
      <c r="H79" s="174" t="s">
        <v>24</v>
      </c>
      <c r="I79" s="174"/>
      <c r="J79" s="174"/>
    </row>
    <row r="80" spans="1:10" ht="120" customHeight="1">
      <c r="A80" s="383"/>
      <c r="B80" s="178" t="s">
        <v>234</v>
      </c>
      <c r="C80" s="210" t="s">
        <v>283</v>
      </c>
      <c r="D80" s="172" t="s">
        <v>10615</v>
      </c>
      <c r="E80" s="172" t="s">
        <v>10588</v>
      </c>
      <c r="F80" s="172" t="s">
        <v>284</v>
      </c>
      <c r="G80" s="189" t="s">
        <v>285</v>
      </c>
      <c r="H80" s="174" t="s">
        <v>41</v>
      </c>
      <c r="I80" s="175" t="s">
        <v>25</v>
      </c>
      <c r="J80" s="174"/>
    </row>
    <row r="81" spans="1:10" ht="120" customHeight="1">
      <c r="A81" s="390"/>
      <c r="B81" s="211" t="s">
        <v>234</v>
      </c>
      <c r="C81" s="210" t="s">
        <v>286</v>
      </c>
      <c r="D81" s="172" t="s">
        <v>287</v>
      </c>
      <c r="E81" s="172" t="s">
        <v>10588</v>
      </c>
      <c r="F81" s="172" t="s">
        <v>288</v>
      </c>
      <c r="G81" s="189" t="s">
        <v>289</v>
      </c>
      <c r="H81" s="174" t="s">
        <v>24</v>
      </c>
      <c r="I81" s="174"/>
      <c r="J81" s="174"/>
    </row>
    <row r="82" spans="1:10" ht="120" customHeight="1">
      <c r="A82" s="383"/>
      <c r="B82" s="178" t="s">
        <v>234</v>
      </c>
      <c r="C82" s="210" t="s">
        <v>290</v>
      </c>
      <c r="D82" s="172" t="s">
        <v>12462</v>
      </c>
      <c r="E82" s="172" t="s">
        <v>10588</v>
      </c>
      <c r="F82" s="172" t="s">
        <v>10616</v>
      </c>
      <c r="G82" s="189" t="s">
        <v>10617</v>
      </c>
      <c r="H82" s="174" t="s">
        <v>41</v>
      </c>
      <c r="I82" s="175" t="s">
        <v>31</v>
      </c>
      <c r="J82" s="174"/>
    </row>
    <row r="83" spans="1:10" ht="120" customHeight="1">
      <c r="A83" s="383"/>
      <c r="B83" s="171" t="s">
        <v>291</v>
      </c>
      <c r="C83" s="172" t="s">
        <v>292</v>
      </c>
      <c r="D83" s="172" t="s">
        <v>12463</v>
      </c>
      <c r="E83" s="172" t="s">
        <v>10588</v>
      </c>
      <c r="F83" s="172" t="s">
        <v>294</v>
      </c>
      <c r="G83" s="189" t="s">
        <v>295</v>
      </c>
      <c r="H83" s="174" t="s">
        <v>30</v>
      </c>
      <c r="I83" s="175" t="s">
        <v>31</v>
      </c>
      <c r="J83" s="174"/>
    </row>
    <row r="84" spans="1:10" ht="120" customHeight="1">
      <c r="A84" s="383"/>
      <c r="B84" s="171" t="s">
        <v>291</v>
      </c>
      <c r="C84" s="172" t="s">
        <v>296</v>
      </c>
      <c r="D84" s="210" t="s">
        <v>297</v>
      </c>
      <c r="E84" s="172" t="s">
        <v>10588</v>
      </c>
      <c r="F84" s="172" t="s">
        <v>298</v>
      </c>
      <c r="G84" s="189" t="s">
        <v>299</v>
      </c>
      <c r="H84" s="174" t="s">
        <v>24</v>
      </c>
      <c r="I84" s="175" t="s">
        <v>31</v>
      </c>
      <c r="J84" s="174"/>
    </row>
    <row r="85" spans="1:10" ht="120" customHeight="1">
      <c r="A85" s="383"/>
      <c r="B85" s="171" t="s">
        <v>291</v>
      </c>
      <c r="C85" s="172" t="s">
        <v>300</v>
      </c>
      <c r="D85" s="172" t="s">
        <v>301</v>
      </c>
      <c r="E85" s="172" t="s">
        <v>10588</v>
      </c>
      <c r="F85" s="172" t="s">
        <v>10618</v>
      </c>
      <c r="G85" s="189" t="s">
        <v>10619</v>
      </c>
      <c r="H85" s="174" t="s">
        <v>36</v>
      </c>
      <c r="I85" s="175" t="s">
        <v>31</v>
      </c>
      <c r="J85" s="174"/>
    </row>
    <row r="86" spans="1:10" ht="120" customHeight="1">
      <c r="A86" s="383"/>
      <c r="B86" s="171" t="s">
        <v>302</v>
      </c>
      <c r="C86" s="172" t="s">
        <v>303</v>
      </c>
      <c r="D86" s="172" t="s">
        <v>10620</v>
      </c>
      <c r="E86" s="172" t="s">
        <v>10588</v>
      </c>
      <c r="F86" s="172" t="s">
        <v>304</v>
      </c>
      <c r="G86" s="189" t="s">
        <v>10621</v>
      </c>
      <c r="H86" s="174" t="s">
        <v>36</v>
      </c>
      <c r="I86" s="175"/>
      <c r="J86" s="174"/>
    </row>
    <row r="87" spans="1:10" ht="120" customHeight="1">
      <c r="A87" s="383"/>
      <c r="B87" s="303" t="s">
        <v>291</v>
      </c>
      <c r="C87" s="311" t="s">
        <v>305</v>
      </c>
      <c r="D87" s="242" t="s">
        <v>306</v>
      </c>
      <c r="E87" s="242" t="s">
        <v>281</v>
      </c>
      <c r="F87" s="409" t="s">
        <v>10622</v>
      </c>
      <c r="G87" s="410" t="s">
        <v>307</v>
      </c>
      <c r="H87" s="406" t="s">
        <v>24</v>
      </c>
      <c r="I87" s="175"/>
      <c r="J87" s="174"/>
    </row>
    <row r="88" spans="1:10" ht="120" customHeight="1">
      <c r="A88" s="389"/>
      <c r="B88" s="260" t="s">
        <v>10623</v>
      </c>
      <c r="C88" s="210" t="s">
        <v>10624</v>
      </c>
      <c r="D88" s="172" t="s">
        <v>12464</v>
      </c>
      <c r="E88" s="172" t="s">
        <v>10588</v>
      </c>
      <c r="F88" s="210" t="s">
        <v>10625</v>
      </c>
      <c r="G88" s="209" t="s">
        <v>10626</v>
      </c>
      <c r="H88" s="174" t="s">
        <v>24</v>
      </c>
      <c r="I88" s="306"/>
      <c r="J88" s="174"/>
    </row>
    <row r="89" spans="1:10" ht="120" customHeight="1">
      <c r="A89" s="379" t="s">
        <v>308</v>
      </c>
      <c r="B89" s="307" t="s">
        <v>309</v>
      </c>
      <c r="C89" s="301" t="s">
        <v>310</v>
      </c>
      <c r="D89" s="301" t="s">
        <v>10627</v>
      </c>
      <c r="E89" s="301" t="s">
        <v>10588</v>
      </c>
      <c r="F89" s="301" t="s">
        <v>10628</v>
      </c>
      <c r="G89" s="302" t="s">
        <v>10629</v>
      </c>
      <c r="H89" s="405" t="s">
        <v>117</v>
      </c>
      <c r="I89" s="181" t="s">
        <v>31</v>
      </c>
      <c r="J89" s="174"/>
    </row>
    <row r="90" spans="1:10" ht="120" customHeight="1">
      <c r="A90" s="379"/>
      <c r="B90" s="178" t="s">
        <v>309</v>
      </c>
      <c r="C90" s="172" t="s">
        <v>311</v>
      </c>
      <c r="D90" s="172" t="s">
        <v>312</v>
      </c>
      <c r="E90" s="172" t="s">
        <v>10588</v>
      </c>
      <c r="F90" s="172" t="s">
        <v>10630</v>
      </c>
      <c r="G90" s="189" t="s">
        <v>10631</v>
      </c>
      <c r="H90" s="174" t="s">
        <v>24</v>
      </c>
      <c r="I90" s="181"/>
      <c r="J90" s="174"/>
    </row>
    <row r="91" spans="1:10" ht="120" customHeight="1">
      <c r="A91" s="379"/>
      <c r="B91" s="178" t="s">
        <v>309</v>
      </c>
      <c r="C91" s="172" t="s">
        <v>313</v>
      </c>
      <c r="D91" s="172" t="s">
        <v>10632</v>
      </c>
      <c r="E91" s="172" t="s">
        <v>10588</v>
      </c>
      <c r="F91" s="172" t="s">
        <v>10633</v>
      </c>
      <c r="G91" s="189" t="s">
        <v>10629</v>
      </c>
      <c r="H91" s="174" t="s">
        <v>41</v>
      </c>
      <c r="I91" s="181" t="s">
        <v>31</v>
      </c>
      <c r="J91" s="174"/>
    </row>
    <row r="92" spans="1:10" ht="120" customHeight="1">
      <c r="A92" s="379"/>
      <c r="B92" s="178" t="s">
        <v>309</v>
      </c>
      <c r="C92" s="172" t="s">
        <v>10634</v>
      </c>
      <c r="D92" s="172" t="s">
        <v>315</v>
      </c>
      <c r="E92" s="172" t="s">
        <v>10635</v>
      </c>
      <c r="F92" s="172" t="s">
        <v>316</v>
      </c>
      <c r="G92" s="189" t="s">
        <v>10636</v>
      </c>
      <c r="H92" s="174" t="s">
        <v>233</v>
      </c>
      <c r="I92" s="175" t="s">
        <v>31</v>
      </c>
      <c r="J92" s="174"/>
    </row>
    <row r="93" spans="1:10" ht="120" customHeight="1">
      <c r="A93" s="379"/>
      <c r="B93" s="211" t="s">
        <v>309</v>
      </c>
      <c r="C93" s="210" t="s">
        <v>318</v>
      </c>
      <c r="D93" s="210" t="s">
        <v>319</v>
      </c>
      <c r="E93" s="172" t="s">
        <v>10588</v>
      </c>
      <c r="F93" s="172" t="s">
        <v>10637</v>
      </c>
      <c r="G93" s="189" t="s">
        <v>10636</v>
      </c>
      <c r="H93" s="201" t="s">
        <v>36</v>
      </c>
      <c r="I93" s="175" t="s">
        <v>31</v>
      </c>
      <c r="J93" s="174"/>
    </row>
    <row r="94" spans="1:10" ht="120" customHeight="1">
      <c r="A94" s="379"/>
      <c r="B94" s="178" t="s">
        <v>309</v>
      </c>
      <c r="C94" s="172" t="s">
        <v>320</v>
      </c>
      <c r="D94" s="172" t="s">
        <v>321</v>
      </c>
      <c r="E94" s="172" t="s">
        <v>10588</v>
      </c>
      <c r="F94" s="172" t="s">
        <v>10638</v>
      </c>
      <c r="G94" s="189" t="s">
        <v>317</v>
      </c>
      <c r="H94" s="174" t="s">
        <v>36</v>
      </c>
      <c r="I94" s="175" t="s">
        <v>31</v>
      </c>
      <c r="J94" s="174"/>
    </row>
    <row r="95" spans="1:10" ht="120" customHeight="1">
      <c r="A95" s="379"/>
      <c r="B95" s="178" t="s">
        <v>309</v>
      </c>
      <c r="C95" s="172" t="s">
        <v>322</v>
      </c>
      <c r="D95" s="172" t="s">
        <v>323</v>
      </c>
      <c r="E95" s="210" t="s">
        <v>10588</v>
      </c>
      <c r="F95" s="172" t="s">
        <v>10639</v>
      </c>
      <c r="G95" s="189" t="s">
        <v>10640</v>
      </c>
      <c r="H95" s="174" t="s">
        <v>41</v>
      </c>
      <c r="I95" s="175" t="s">
        <v>31</v>
      </c>
      <c r="J95" s="174"/>
    </row>
    <row r="96" spans="1:10" ht="120" customHeight="1">
      <c r="A96" s="379"/>
      <c r="B96" s="178" t="s">
        <v>309</v>
      </c>
      <c r="C96" s="172" t="s">
        <v>324</v>
      </c>
      <c r="D96" s="172" t="s">
        <v>325</v>
      </c>
      <c r="E96" s="172" t="s">
        <v>10588</v>
      </c>
      <c r="F96" s="172" t="s">
        <v>10641</v>
      </c>
      <c r="G96" s="189" t="s">
        <v>10636</v>
      </c>
      <c r="H96" s="174" t="s">
        <v>36</v>
      </c>
      <c r="I96" s="181" t="s">
        <v>31</v>
      </c>
      <c r="J96" s="174"/>
    </row>
    <row r="97" spans="1:10" ht="120" customHeight="1">
      <c r="A97" s="379"/>
      <c r="B97" s="178" t="s">
        <v>309</v>
      </c>
      <c r="C97" s="172" t="s">
        <v>326</v>
      </c>
      <c r="D97" s="172" t="s">
        <v>327</v>
      </c>
      <c r="E97" s="172" t="s">
        <v>10588</v>
      </c>
      <c r="F97" s="172" t="s">
        <v>10642</v>
      </c>
      <c r="G97" s="189" t="s">
        <v>10643</v>
      </c>
      <c r="H97" s="174" t="s">
        <v>24</v>
      </c>
      <c r="I97" s="175" t="s">
        <v>31</v>
      </c>
      <c r="J97" s="174"/>
    </row>
    <row r="98" spans="1:10" ht="120" customHeight="1">
      <c r="A98" s="379"/>
      <c r="B98" s="178" t="s">
        <v>309</v>
      </c>
      <c r="C98" s="172" t="s">
        <v>328</v>
      </c>
      <c r="D98" s="172" t="s">
        <v>10644</v>
      </c>
      <c r="E98" s="172" t="s">
        <v>10645</v>
      </c>
      <c r="F98" s="172" t="s">
        <v>330</v>
      </c>
      <c r="G98" s="189" t="s">
        <v>331</v>
      </c>
      <c r="H98" s="174" t="s">
        <v>24</v>
      </c>
      <c r="I98" s="174"/>
      <c r="J98" s="174"/>
    </row>
    <row r="99" spans="1:10" ht="120" customHeight="1">
      <c r="A99" s="379"/>
      <c r="B99" s="178" t="s">
        <v>309</v>
      </c>
      <c r="C99" s="172" t="s">
        <v>332</v>
      </c>
      <c r="D99" s="172" t="s">
        <v>333</v>
      </c>
      <c r="E99" s="172" t="s">
        <v>329</v>
      </c>
      <c r="F99" s="172" t="s">
        <v>10646</v>
      </c>
      <c r="G99" s="189" t="s">
        <v>10647</v>
      </c>
      <c r="H99" s="174" t="s">
        <v>36</v>
      </c>
      <c r="I99" s="174"/>
      <c r="J99" s="174"/>
    </row>
    <row r="100" spans="1:10" ht="120" customHeight="1">
      <c r="A100" s="379"/>
      <c r="B100" s="178" t="s">
        <v>309</v>
      </c>
      <c r="C100" s="172" t="s">
        <v>10648</v>
      </c>
      <c r="D100" s="210" t="s">
        <v>334</v>
      </c>
      <c r="E100" s="210" t="s">
        <v>23</v>
      </c>
      <c r="F100" s="16" t="s">
        <v>10649</v>
      </c>
      <c r="G100" s="249" t="s">
        <v>335</v>
      </c>
      <c r="H100" s="174" t="s">
        <v>24</v>
      </c>
      <c r="I100" s="174"/>
      <c r="J100" s="174"/>
    </row>
    <row r="101" spans="1:10" ht="120" customHeight="1">
      <c r="A101" s="379"/>
      <c r="B101" s="178" t="s">
        <v>309</v>
      </c>
      <c r="C101" s="172" t="s">
        <v>336</v>
      </c>
      <c r="D101" s="283" t="s">
        <v>337</v>
      </c>
      <c r="E101" s="210" t="s">
        <v>23</v>
      </c>
      <c r="F101" s="16" t="s">
        <v>10650</v>
      </c>
      <c r="G101" s="249" t="s">
        <v>338</v>
      </c>
      <c r="H101" s="201" t="s">
        <v>24</v>
      </c>
      <c r="I101" s="201"/>
      <c r="J101" s="201"/>
    </row>
    <row r="102" spans="1:10" ht="120" customHeight="1">
      <c r="A102" s="379"/>
      <c r="B102" s="178" t="s">
        <v>309</v>
      </c>
      <c r="C102" s="172" t="s">
        <v>339</v>
      </c>
      <c r="D102" s="210" t="s">
        <v>10651</v>
      </c>
      <c r="E102" s="210" t="s">
        <v>340</v>
      </c>
      <c r="F102" s="210" t="s">
        <v>10652</v>
      </c>
      <c r="G102" s="209" t="s">
        <v>10653</v>
      </c>
      <c r="H102" s="201" t="s">
        <v>184</v>
      </c>
      <c r="I102" s="201"/>
      <c r="J102" s="201"/>
    </row>
    <row r="103" spans="1:10" ht="120" customHeight="1">
      <c r="A103" s="379"/>
      <c r="B103" s="178" t="s">
        <v>309</v>
      </c>
      <c r="C103" s="172" t="s">
        <v>341</v>
      </c>
      <c r="D103" s="283" t="s">
        <v>10654</v>
      </c>
      <c r="E103" s="210" t="s">
        <v>342</v>
      </c>
      <c r="F103" s="210" t="s">
        <v>10655</v>
      </c>
      <c r="G103" s="209" t="s">
        <v>10656</v>
      </c>
      <c r="H103" s="201" t="s">
        <v>184</v>
      </c>
      <c r="I103" s="201"/>
      <c r="J103" s="201"/>
    </row>
    <row r="104" spans="1:10" ht="120" customHeight="1">
      <c r="A104" s="379"/>
      <c r="B104" s="178" t="s">
        <v>309</v>
      </c>
      <c r="C104" s="172" t="s">
        <v>343</v>
      </c>
      <c r="D104" s="283" t="s">
        <v>344</v>
      </c>
      <c r="E104" s="210" t="s">
        <v>345</v>
      </c>
      <c r="F104" s="210" t="s">
        <v>10657</v>
      </c>
      <c r="G104" s="209" t="s">
        <v>10658</v>
      </c>
      <c r="H104" s="201" t="s">
        <v>184</v>
      </c>
      <c r="I104" s="201"/>
      <c r="J104" s="201"/>
    </row>
    <row r="105" spans="1:10" ht="120" customHeight="1">
      <c r="A105" s="379"/>
      <c r="B105" s="171" t="s">
        <v>346</v>
      </c>
      <c r="C105" s="172" t="s">
        <v>347</v>
      </c>
      <c r="D105" s="172" t="s">
        <v>10659</v>
      </c>
      <c r="E105" s="172" t="s">
        <v>10588</v>
      </c>
      <c r="F105" s="172" t="s">
        <v>10660</v>
      </c>
      <c r="G105" s="189" t="s">
        <v>10661</v>
      </c>
      <c r="H105" s="174" t="s">
        <v>30</v>
      </c>
      <c r="I105" s="181" t="s">
        <v>31</v>
      </c>
      <c r="J105" s="174"/>
    </row>
    <row r="106" spans="1:10" ht="120" customHeight="1">
      <c r="A106" s="379"/>
      <c r="B106" s="171" t="s">
        <v>346</v>
      </c>
      <c r="C106" s="172" t="s">
        <v>351</v>
      </c>
      <c r="D106" s="172" t="s">
        <v>10662</v>
      </c>
      <c r="E106" s="172" t="s">
        <v>10588</v>
      </c>
      <c r="F106" s="172" t="s">
        <v>10663</v>
      </c>
      <c r="G106" s="189" t="s">
        <v>10664</v>
      </c>
      <c r="H106" s="174" t="s">
        <v>41</v>
      </c>
      <c r="I106" s="175" t="s">
        <v>31</v>
      </c>
      <c r="J106" s="174"/>
    </row>
    <row r="107" spans="1:10" ht="120" customHeight="1">
      <c r="A107" s="379"/>
      <c r="B107" s="171" t="s">
        <v>346</v>
      </c>
      <c r="C107" s="172" t="s">
        <v>352</v>
      </c>
      <c r="D107" s="172" t="s">
        <v>10665</v>
      </c>
      <c r="E107" s="172" t="s">
        <v>10588</v>
      </c>
      <c r="F107" s="172" t="s">
        <v>10666</v>
      </c>
      <c r="G107" s="189" t="s">
        <v>353</v>
      </c>
      <c r="H107" s="174" t="s">
        <v>24</v>
      </c>
      <c r="I107" s="175" t="s">
        <v>31</v>
      </c>
      <c r="J107" s="174"/>
    </row>
    <row r="108" spans="1:10" ht="120" customHeight="1">
      <c r="A108" s="379"/>
      <c r="B108" s="303" t="s">
        <v>346</v>
      </c>
      <c r="C108" s="242" t="s">
        <v>354</v>
      </c>
      <c r="D108" s="242" t="s">
        <v>10667</v>
      </c>
      <c r="E108" s="242" t="s">
        <v>10668</v>
      </c>
      <c r="F108" s="242" t="s">
        <v>10669</v>
      </c>
      <c r="G108" s="305" t="s">
        <v>10670</v>
      </c>
      <c r="H108" s="406" t="s">
        <v>117</v>
      </c>
      <c r="I108" s="181"/>
      <c r="J108" s="174"/>
    </row>
    <row r="109" spans="1:10" ht="120" customHeight="1">
      <c r="A109" s="380"/>
      <c r="B109" s="260" t="s">
        <v>10671</v>
      </c>
      <c r="C109" s="210" t="s">
        <v>10672</v>
      </c>
      <c r="D109" s="210" t="s">
        <v>10673</v>
      </c>
      <c r="E109" s="210" t="s">
        <v>10588</v>
      </c>
      <c r="F109" s="210" t="s">
        <v>10674</v>
      </c>
      <c r="G109" s="209" t="s">
        <v>10675</v>
      </c>
      <c r="H109" s="174" t="s">
        <v>117</v>
      </c>
      <c r="I109" s="312"/>
      <c r="J109" s="174"/>
    </row>
    <row r="110" spans="1:10" ht="120" customHeight="1">
      <c r="A110" s="379" t="s">
        <v>355</v>
      </c>
      <c r="B110" s="313" t="s">
        <v>356</v>
      </c>
      <c r="C110" s="314" t="s">
        <v>357</v>
      </c>
      <c r="D110" s="301" t="s">
        <v>358</v>
      </c>
      <c r="E110" s="301" t="s">
        <v>359</v>
      </c>
      <c r="F110" s="301" t="s">
        <v>360</v>
      </c>
      <c r="G110" s="302" t="s">
        <v>361</v>
      </c>
      <c r="H110" s="405" t="s">
        <v>30</v>
      </c>
      <c r="I110" s="213" t="s">
        <v>31</v>
      </c>
      <c r="J110" s="174"/>
    </row>
    <row r="111" spans="1:10" ht="120" customHeight="1">
      <c r="A111" s="379"/>
      <c r="B111" s="185" t="s">
        <v>362</v>
      </c>
      <c r="C111" s="172" t="s">
        <v>10676</v>
      </c>
      <c r="D111" s="172" t="s">
        <v>363</v>
      </c>
      <c r="E111" s="172" t="s">
        <v>10677</v>
      </c>
      <c r="F111" s="172" t="s">
        <v>10678</v>
      </c>
      <c r="G111" s="189" t="s">
        <v>10679</v>
      </c>
      <c r="H111" s="174" t="s">
        <v>41</v>
      </c>
      <c r="I111" s="174"/>
      <c r="J111" s="174"/>
    </row>
    <row r="112" spans="1:10" ht="120" customHeight="1">
      <c r="A112" s="379"/>
      <c r="B112" s="185" t="s">
        <v>356</v>
      </c>
      <c r="C112" s="172" t="s">
        <v>364</v>
      </c>
      <c r="D112" s="172" t="s">
        <v>365</v>
      </c>
      <c r="E112" s="172" t="s">
        <v>359</v>
      </c>
      <c r="F112" s="172" t="s">
        <v>366</v>
      </c>
      <c r="G112" s="189" t="s">
        <v>361</v>
      </c>
      <c r="H112" s="174" t="s">
        <v>24</v>
      </c>
      <c r="I112" s="175" t="s">
        <v>31</v>
      </c>
      <c r="J112" s="174"/>
    </row>
    <row r="113" spans="1:10" ht="120" customHeight="1">
      <c r="A113" s="379"/>
      <c r="B113" s="263" t="s">
        <v>356</v>
      </c>
      <c r="C113" s="210" t="s">
        <v>367</v>
      </c>
      <c r="D113" s="172" t="s">
        <v>368</v>
      </c>
      <c r="E113" s="210" t="s">
        <v>359</v>
      </c>
      <c r="F113" s="172" t="s">
        <v>369</v>
      </c>
      <c r="G113" s="189" t="s">
        <v>10680</v>
      </c>
      <c r="H113" s="174" t="s">
        <v>41</v>
      </c>
      <c r="I113" s="174"/>
      <c r="J113" s="174"/>
    </row>
    <row r="114" spans="1:10" ht="120" customHeight="1">
      <c r="A114" s="379"/>
      <c r="B114" s="263" t="s">
        <v>370</v>
      </c>
      <c r="C114" s="210" t="s">
        <v>371</v>
      </c>
      <c r="D114" s="172" t="s">
        <v>372</v>
      </c>
      <c r="E114" s="172" t="s">
        <v>359</v>
      </c>
      <c r="F114" s="172" t="s">
        <v>10681</v>
      </c>
      <c r="G114" s="189" t="s">
        <v>373</v>
      </c>
      <c r="H114" s="174" t="s">
        <v>24</v>
      </c>
      <c r="I114" s="174"/>
      <c r="J114" s="174"/>
    </row>
    <row r="115" spans="1:10" ht="120" customHeight="1">
      <c r="A115" s="379"/>
      <c r="B115" s="171" t="s">
        <v>374</v>
      </c>
      <c r="C115" s="210" t="s">
        <v>375</v>
      </c>
      <c r="D115" s="172" t="s">
        <v>376</v>
      </c>
      <c r="E115" s="172" t="s">
        <v>359</v>
      </c>
      <c r="F115" s="172" t="s">
        <v>377</v>
      </c>
      <c r="G115" s="189" t="s">
        <v>378</v>
      </c>
      <c r="H115" s="174" t="s">
        <v>24</v>
      </c>
      <c r="I115" s="175" t="s">
        <v>31</v>
      </c>
      <c r="J115" s="174"/>
    </row>
    <row r="116" spans="1:10" ht="120" customHeight="1">
      <c r="A116" s="379"/>
      <c r="B116" s="171" t="s">
        <v>374</v>
      </c>
      <c r="C116" s="210" t="s">
        <v>379</v>
      </c>
      <c r="D116" s="172" t="s">
        <v>380</v>
      </c>
      <c r="E116" s="172" t="s">
        <v>359</v>
      </c>
      <c r="F116" s="172" t="s">
        <v>381</v>
      </c>
      <c r="G116" s="189" t="s">
        <v>378</v>
      </c>
      <c r="H116" s="174" t="s">
        <v>30</v>
      </c>
      <c r="I116" s="175" t="s">
        <v>31</v>
      </c>
      <c r="J116" s="174"/>
    </row>
    <row r="117" spans="1:10" ht="120" customHeight="1">
      <c r="A117" s="379"/>
      <c r="B117" s="171" t="s">
        <v>374</v>
      </c>
      <c r="C117" s="210" t="s">
        <v>382</v>
      </c>
      <c r="D117" s="172" t="s">
        <v>383</v>
      </c>
      <c r="E117" s="172" t="s">
        <v>359</v>
      </c>
      <c r="F117" s="172" t="s">
        <v>384</v>
      </c>
      <c r="G117" s="189" t="s">
        <v>385</v>
      </c>
      <c r="H117" s="174" t="s">
        <v>24</v>
      </c>
      <c r="I117" s="174"/>
      <c r="J117" s="174"/>
    </row>
    <row r="118" spans="1:10" ht="120" customHeight="1">
      <c r="A118" s="379"/>
      <c r="B118" s="260" t="s">
        <v>386</v>
      </c>
      <c r="C118" s="210" t="s">
        <v>10682</v>
      </c>
      <c r="D118" s="210" t="s">
        <v>387</v>
      </c>
      <c r="E118" s="210" t="s">
        <v>10677</v>
      </c>
      <c r="F118" s="210" t="s">
        <v>10683</v>
      </c>
      <c r="G118" s="209" t="s">
        <v>388</v>
      </c>
      <c r="H118" s="201" t="s">
        <v>24</v>
      </c>
      <c r="I118" s="201"/>
      <c r="J118" s="201"/>
    </row>
    <row r="119" spans="1:10" ht="120" customHeight="1">
      <c r="A119" s="379"/>
      <c r="B119" s="303" t="s">
        <v>386</v>
      </c>
      <c r="C119" s="311" t="s">
        <v>389</v>
      </c>
      <c r="D119" s="242" t="s">
        <v>390</v>
      </c>
      <c r="E119" s="242" t="s">
        <v>359</v>
      </c>
      <c r="F119" s="242" t="s">
        <v>10684</v>
      </c>
      <c r="G119" s="305" t="s">
        <v>392</v>
      </c>
      <c r="H119" s="406" t="s">
        <v>233</v>
      </c>
      <c r="I119" s="174"/>
      <c r="J119" s="174"/>
    </row>
    <row r="120" spans="1:10" ht="120" customHeight="1">
      <c r="A120" s="380"/>
      <c r="B120" s="260" t="s">
        <v>10685</v>
      </c>
      <c r="C120" s="210" t="s">
        <v>10686</v>
      </c>
      <c r="D120" s="210" t="s">
        <v>10687</v>
      </c>
      <c r="E120" s="210" t="s">
        <v>10588</v>
      </c>
      <c r="F120" s="210" t="s">
        <v>10688</v>
      </c>
      <c r="G120" s="209" t="s">
        <v>10689</v>
      </c>
      <c r="H120" s="174" t="s">
        <v>24</v>
      </c>
      <c r="I120" s="316"/>
      <c r="J120" s="174"/>
    </row>
    <row r="121" spans="1:10" ht="120" customHeight="1">
      <c r="A121" s="380"/>
      <c r="B121" s="260" t="s">
        <v>10685</v>
      </c>
      <c r="C121" s="210" t="s">
        <v>10690</v>
      </c>
      <c r="D121" s="210" t="s">
        <v>10691</v>
      </c>
      <c r="E121" s="210" t="s">
        <v>10588</v>
      </c>
      <c r="F121" s="210" t="s">
        <v>10692</v>
      </c>
      <c r="G121" s="209" t="s">
        <v>10693</v>
      </c>
      <c r="H121" s="174" t="s">
        <v>24</v>
      </c>
      <c r="I121" s="316"/>
      <c r="J121" s="174"/>
    </row>
    <row r="122" spans="1:10" ht="120" customHeight="1">
      <c r="A122" s="380"/>
      <c r="B122" s="260" t="s">
        <v>10685</v>
      </c>
      <c r="C122" s="210" t="s">
        <v>10694</v>
      </c>
      <c r="D122" s="210" t="s">
        <v>10695</v>
      </c>
      <c r="E122" s="210" t="s">
        <v>10588</v>
      </c>
      <c r="F122" s="210" t="s">
        <v>10696</v>
      </c>
      <c r="G122" s="209" t="s">
        <v>10697</v>
      </c>
      <c r="H122" s="174" t="s">
        <v>24</v>
      </c>
      <c r="I122" s="316"/>
      <c r="J122" s="174"/>
    </row>
    <row r="123" spans="1:10" ht="120" customHeight="1">
      <c r="A123" s="380"/>
      <c r="B123" s="260" t="s">
        <v>10685</v>
      </c>
      <c r="C123" s="210" t="s">
        <v>10698</v>
      </c>
      <c r="D123" s="210" t="s">
        <v>10699</v>
      </c>
      <c r="E123" s="210" t="s">
        <v>10588</v>
      </c>
      <c r="F123" s="210" t="s">
        <v>10700</v>
      </c>
      <c r="G123" s="209" t="s">
        <v>10701</v>
      </c>
      <c r="H123" s="174" t="s">
        <v>24</v>
      </c>
      <c r="I123" s="316"/>
      <c r="J123" s="174"/>
    </row>
    <row r="124" spans="1:10" ht="120" customHeight="1">
      <c r="A124" s="369" t="s">
        <v>393</v>
      </c>
      <c r="B124" s="307" t="s">
        <v>394</v>
      </c>
      <c r="C124" s="310" t="s">
        <v>10702</v>
      </c>
      <c r="D124" s="301" t="s">
        <v>10703</v>
      </c>
      <c r="E124" s="301" t="s">
        <v>359</v>
      </c>
      <c r="F124" s="301" t="s">
        <v>395</v>
      </c>
      <c r="G124" s="302" t="s">
        <v>12465</v>
      </c>
      <c r="H124" s="405" t="s">
        <v>41</v>
      </c>
      <c r="I124" s="174"/>
      <c r="J124" s="174"/>
    </row>
    <row r="125" spans="1:10" ht="120" customHeight="1">
      <c r="A125" s="369"/>
      <c r="B125" s="178" t="s">
        <v>394</v>
      </c>
      <c r="C125" s="210" t="s">
        <v>396</v>
      </c>
      <c r="D125" s="210" t="s">
        <v>10704</v>
      </c>
      <c r="E125" s="172" t="s">
        <v>359</v>
      </c>
      <c r="F125" s="172" t="s">
        <v>398</v>
      </c>
      <c r="G125" s="189" t="s">
        <v>10705</v>
      </c>
      <c r="H125" s="174" t="s">
        <v>30</v>
      </c>
      <c r="I125" s="174"/>
      <c r="J125" s="174"/>
    </row>
    <row r="126" spans="1:10" ht="120" customHeight="1">
      <c r="A126" s="369"/>
      <c r="B126" s="178" t="s">
        <v>394</v>
      </c>
      <c r="C126" s="210" t="s">
        <v>400</v>
      </c>
      <c r="D126" s="210" t="s">
        <v>10706</v>
      </c>
      <c r="E126" s="172" t="s">
        <v>359</v>
      </c>
      <c r="F126" s="172" t="s">
        <v>10707</v>
      </c>
      <c r="G126" s="189" t="s">
        <v>401</v>
      </c>
      <c r="H126" s="174" t="s">
        <v>24</v>
      </c>
      <c r="I126" s="174"/>
      <c r="J126" s="174"/>
    </row>
    <row r="127" spans="1:10" ht="120" customHeight="1">
      <c r="A127" s="369"/>
      <c r="B127" s="178" t="s">
        <v>394</v>
      </c>
      <c r="C127" s="210" t="s">
        <v>402</v>
      </c>
      <c r="D127" s="210" t="s">
        <v>10708</v>
      </c>
      <c r="E127" s="172" t="s">
        <v>359</v>
      </c>
      <c r="F127" s="172" t="s">
        <v>10709</v>
      </c>
      <c r="G127" s="189" t="s">
        <v>10710</v>
      </c>
      <c r="H127" s="174" t="s">
        <v>41</v>
      </c>
      <c r="I127" s="174"/>
      <c r="J127" s="174"/>
    </row>
    <row r="128" spans="1:10" ht="120" customHeight="1">
      <c r="A128" s="369"/>
      <c r="B128" s="178" t="s">
        <v>394</v>
      </c>
      <c r="C128" s="210" t="s">
        <v>404</v>
      </c>
      <c r="D128" s="210" t="s">
        <v>10711</v>
      </c>
      <c r="E128" s="172" t="s">
        <v>23</v>
      </c>
      <c r="F128" s="172" t="s">
        <v>10712</v>
      </c>
      <c r="G128" s="189" t="s">
        <v>399</v>
      </c>
      <c r="H128" s="174" t="s">
        <v>24</v>
      </c>
      <c r="I128" s="174"/>
      <c r="J128" s="174"/>
    </row>
    <row r="129" spans="1:10" ht="120" customHeight="1">
      <c r="A129" s="369"/>
      <c r="B129" s="211" t="s">
        <v>394</v>
      </c>
      <c r="C129" s="210" t="s">
        <v>405</v>
      </c>
      <c r="D129" s="172" t="s">
        <v>12466</v>
      </c>
      <c r="E129" s="172" t="s">
        <v>359</v>
      </c>
      <c r="F129" s="172" t="s">
        <v>10713</v>
      </c>
      <c r="G129" s="189" t="s">
        <v>10714</v>
      </c>
      <c r="H129" s="174" t="s">
        <v>24</v>
      </c>
      <c r="I129" s="174"/>
      <c r="J129" s="174"/>
    </row>
    <row r="130" spans="1:10" ht="120" customHeight="1">
      <c r="A130" s="369"/>
      <c r="B130" s="178" t="s">
        <v>394</v>
      </c>
      <c r="C130" s="210" t="s">
        <v>406</v>
      </c>
      <c r="D130" s="172" t="s">
        <v>12467</v>
      </c>
      <c r="E130" s="172" t="s">
        <v>359</v>
      </c>
      <c r="F130" s="172" t="s">
        <v>10715</v>
      </c>
      <c r="G130" s="189" t="s">
        <v>403</v>
      </c>
      <c r="H130" s="174" t="s">
        <v>24</v>
      </c>
      <c r="I130" s="174"/>
      <c r="J130" s="174"/>
    </row>
    <row r="131" spans="1:10" ht="120" customHeight="1">
      <c r="A131" s="369"/>
      <c r="B131" s="171" t="s">
        <v>407</v>
      </c>
      <c r="C131" s="210" t="s">
        <v>408</v>
      </c>
      <c r="D131" s="172" t="s">
        <v>10716</v>
      </c>
      <c r="E131" s="172" t="s">
        <v>359</v>
      </c>
      <c r="F131" s="172" t="s">
        <v>10717</v>
      </c>
      <c r="G131" s="189" t="s">
        <v>409</v>
      </c>
      <c r="H131" s="174" t="s">
        <v>41</v>
      </c>
      <c r="I131" s="174"/>
      <c r="J131" s="174"/>
    </row>
    <row r="132" spans="1:10" ht="120" customHeight="1">
      <c r="A132" s="369"/>
      <c r="B132" s="171" t="s">
        <v>407</v>
      </c>
      <c r="C132" s="210" t="s">
        <v>410</v>
      </c>
      <c r="D132" s="172" t="s">
        <v>411</v>
      </c>
      <c r="E132" s="172" t="s">
        <v>359</v>
      </c>
      <c r="F132" s="172" t="s">
        <v>10718</v>
      </c>
      <c r="G132" s="189" t="s">
        <v>412</v>
      </c>
      <c r="H132" s="174" t="s">
        <v>24</v>
      </c>
      <c r="I132" s="174"/>
      <c r="J132" s="174"/>
    </row>
    <row r="133" spans="1:10" ht="120" customHeight="1">
      <c r="A133" s="369"/>
      <c r="B133" s="171" t="s">
        <v>407</v>
      </c>
      <c r="C133" s="210" t="s">
        <v>413</v>
      </c>
      <c r="D133" s="172" t="s">
        <v>414</v>
      </c>
      <c r="E133" s="172" t="s">
        <v>359</v>
      </c>
      <c r="F133" s="172" t="s">
        <v>10719</v>
      </c>
      <c r="G133" s="189" t="s">
        <v>415</v>
      </c>
      <c r="H133" s="174" t="s">
        <v>36</v>
      </c>
      <c r="I133" s="174"/>
      <c r="J133" s="174"/>
    </row>
    <row r="134" spans="1:10" ht="120" customHeight="1">
      <c r="A134" s="369"/>
      <c r="B134" s="171" t="s">
        <v>407</v>
      </c>
      <c r="C134" s="210" t="s">
        <v>416</v>
      </c>
      <c r="D134" s="301" t="s">
        <v>417</v>
      </c>
      <c r="E134" s="301" t="s">
        <v>359</v>
      </c>
      <c r="F134" s="314" t="s">
        <v>10720</v>
      </c>
      <c r="G134" s="302" t="s">
        <v>10721</v>
      </c>
      <c r="H134" s="405" t="s">
        <v>24</v>
      </c>
      <c r="I134" s="405"/>
      <c r="J134" s="405"/>
    </row>
    <row r="135" spans="1:10" ht="120" customHeight="1">
      <c r="A135" s="369"/>
      <c r="B135" s="171" t="s">
        <v>407</v>
      </c>
      <c r="C135" s="210" t="s">
        <v>418</v>
      </c>
      <c r="D135" s="172" t="s">
        <v>419</v>
      </c>
      <c r="E135" s="172" t="s">
        <v>359</v>
      </c>
      <c r="F135" s="172" t="s">
        <v>10722</v>
      </c>
      <c r="G135" s="189" t="s">
        <v>420</v>
      </c>
      <c r="H135" s="174" t="s">
        <v>36</v>
      </c>
      <c r="I135" s="174"/>
      <c r="J135" s="174"/>
    </row>
    <row r="136" spans="1:10" ht="120" customHeight="1">
      <c r="A136" s="369"/>
      <c r="B136" s="260" t="s">
        <v>407</v>
      </c>
      <c r="C136" s="210" t="s">
        <v>421</v>
      </c>
      <c r="D136" s="172" t="s">
        <v>422</v>
      </c>
      <c r="E136" s="172" t="s">
        <v>359</v>
      </c>
      <c r="F136" s="172" t="s">
        <v>10723</v>
      </c>
      <c r="G136" s="189" t="s">
        <v>10724</v>
      </c>
      <c r="H136" s="174" t="s">
        <v>24</v>
      </c>
      <c r="I136" s="174"/>
      <c r="J136" s="174"/>
    </row>
    <row r="137" spans="1:10" ht="120" customHeight="1">
      <c r="A137" s="369"/>
      <c r="B137" s="171" t="s">
        <v>407</v>
      </c>
      <c r="C137" s="210" t="s">
        <v>423</v>
      </c>
      <c r="D137" s="172" t="s">
        <v>10725</v>
      </c>
      <c r="E137" s="172" t="s">
        <v>359</v>
      </c>
      <c r="F137" s="172" t="s">
        <v>10726</v>
      </c>
      <c r="G137" s="189" t="s">
        <v>424</v>
      </c>
      <c r="H137" s="174" t="s">
        <v>24</v>
      </c>
      <c r="I137" s="174"/>
      <c r="J137" s="174"/>
    </row>
    <row r="138" spans="1:10" ht="120" customHeight="1">
      <c r="A138" s="369"/>
      <c r="B138" s="178" t="s">
        <v>425</v>
      </c>
      <c r="C138" s="210" t="s">
        <v>426</v>
      </c>
      <c r="D138" s="177" t="s">
        <v>10727</v>
      </c>
      <c r="E138" s="172" t="s">
        <v>359</v>
      </c>
      <c r="F138" s="172" t="s">
        <v>10728</v>
      </c>
      <c r="G138" s="203" t="s">
        <v>427</v>
      </c>
      <c r="H138" s="174" t="s">
        <v>41</v>
      </c>
      <c r="I138" s="174"/>
      <c r="J138" s="174"/>
    </row>
    <row r="139" spans="1:10" ht="120" customHeight="1">
      <c r="A139" s="369"/>
      <c r="B139" s="178" t="s">
        <v>428</v>
      </c>
      <c r="C139" s="210" t="s">
        <v>429</v>
      </c>
      <c r="D139" s="172" t="s">
        <v>10729</v>
      </c>
      <c r="E139" s="172" t="s">
        <v>359</v>
      </c>
      <c r="F139" s="172" t="s">
        <v>430</v>
      </c>
      <c r="G139" s="189" t="s">
        <v>10730</v>
      </c>
      <c r="H139" s="174" t="s">
        <v>24</v>
      </c>
      <c r="I139" s="174"/>
      <c r="J139" s="174"/>
    </row>
    <row r="140" spans="1:10" ht="120" customHeight="1">
      <c r="A140" s="369"/>
      <c r="B140" s="178" t="s">
        <v>428</v>
      </c>
      <c r="C140" s="210" t="s">
        <v>431</v>
      </c>
      <c r="D140" s="172" t="s">
        <v>12468</v>
      </c>
      <c r="E140" s="172" t="s">
        <v>359</v>
      </c>
      <c r="F140" s="172" t="s">
        <v>432</v>
      </c>
      <c r="G140" s="189" t="s">
        <v>433</v>
      </c>
      <c r="H140" s="174" t="s">
        <v>36</v>
      </c>
      <c r="I140" s="174"/>
      <c r="J140" s="174"/>
    </row>
    <row r="141" spans="1:10" ht="120" customHeight="1">
      <c r="A141" s="369"/>
      <c r="B141" s="178" t="s">
        <v>428</v>
      </c>
      <c r="C141" s="210" t="s">
        <v>434</v>
      </c>
      <c r="D141" s="210" t="s">
        <v>435</v>
      </c>
      <c r="E141" s="172" t="s">
        <v>359</v>
      </c>
      <c r="F141" s="172" t="s">
        <v>10731</v>
      </c>
      <c r="G141" s="189" t="s">
        <v>436</v>
      </c>
      <c r="H141" s="174" t="s">
        <v>24</v>
      </c>
      <c r="I141" s="174"/>
      <c r="J141" s="174"/>
    </row>
    <row r="142" spans="1:10" ht="120" customHeight="1">
      <c r="A142" s="369"/>
      <c r="B142" s="178" t="s">
        <v>428</v>
      </c>
      <c r="C142" s="210" t="s">
        <v>437</v>
      </c>
      <c r="D142" s="172" t="s">
        <v>438</v>
      </c>
      <c r="E142" s="172" t="s">
        <v>359</v>
      </c>
      <c r="F142" s="172" t="s">
        <v>10732</v>
      </c>
      <c r="G142" s="189" t="s">
        <v>439</v>
      </c>
      <c r="H142" s="174" t="s">
        <v>24</v>
      </c>
      <c r="I142" s="174"/>
      <c r="J142" s="174"/>
    </row>
    <row r="143" spans="1:10" ht="120" customHeight="1">
      <c r="A143" s="369"/>
      <c r="B143" s="178" t="s">
        <v>428</v>
      </c>
      <c r="C143" s="210" t="s">
        <v>440</v>
      </c>
      <c r="D143" s="172" t="s">
        <v>441</v>
      </c>
      <c r="E143" s="172" t="s">
        <v>23</v>
      </c>
      <c r="F143" s="172" t="s">
        <v>10733</v>
      </c>
      <c r="G143" s="189" t="s">
        <v>424</v>
      </c>
      <c r="H143" s="174" t="s">
        <v>24</v>
      </c>
      <c r="I143" s="174"/>
      <c r="J143" s="174"/>
    </row>
    <row r="144" spans="1:10" ht="120" customHeight="1">
      <c r="A144" s="369"/>
      <c r="B144" s="178" t="s">
        <v>428</v>
      </c>
      <c r="C144" s="210" t="s">
        <v>442</v>
      </c>
      <c r="D144" s="210" t="s">
        <v>10734</v>
      </c>
      <c r="E144" s="172" t="s">
        <v>359</v>
      </c>
      <c r="F144" s="172" t="s">
        <v>10735</v>
      </c>
      <c r="G144" s="189" t="s">
        <v>10736</v>
      </c>
      <c r="H144" s="174" t="s">
        <v>41</v>
      </c>
      <c r="I144" s="174"/>
      <c r="J144" s="174"/>
    </row>
    <row r="145" spans="1:10" ht="120" customHeight="1">
      <c r="A145" s="369"/>
      <c r="B145" s="178" t="s">
        <v>428</v>
      </c>
      <c r="C145" s="210" t="s">
        <v>443</v>
      </c>
      <c r="D145" s="172" t="s">
        <v>10737</v>
      </c>
      <c r="E145" s="172" t="s">
        <v>359</v>
      </c>
      <c r="F145" s="172" t="s">
        <v>10738</v>
      </c>
      <c r="G145" s="189" t="s">
        <v>10739</v>
      </c>
      <c r="H145" s="174" t="s">
        <v>24</v>
      </c>
      <c r="I145" s="174"/>
      <c r="J145" s="174"/>
    </row>
    <row r="146" spans="1:10" ht="120" customHeight="1">
      <c r="A146" s="369"/>
      <c r="B146" s="178" t="s">
        <v>428</v>
      </c>
      <c r="C146" s="210" t="s">
        <v>445</v>
      </c>
      <c r="D146" s="172" t="s">
        <v>10740</v>
      </c>
      <c r="E146" s="172" t="s">
        <v>23</v>
      </c>
      <c r="F146" s="172" t="s">
        <v>10741</v>
      </c>
      <c r="G146" s="189" t="s">
        <v>415</v>
      </c>
      <c r="H146" s="174" t="s">
        <v>36</v>
      </c>
      <c r="I146" s="174"/>
      <c r="J146" s="174"/>
    </row>
    <row r="147" spans="1:10" ht="120" customHeight="1">
      <c r="A147" s="369"/>
      <c r="B147" s="171" t="s">
        <v>446</v>
      </c>
      <c r="C147" s="210" t="s">
        <v>447</v>
      </c>
      <c r="D147" s="172" t="s">
        <v>10742</v>
      </c>
      <c r="E147" s="172" t="s">
        <v>359</v>
      </c>
      <c r="F147" s="172" t="s">
        <v>10743</v>
      </c>
      <c r="G147" s="189" t="s">
        <v>10744</v>
      </c>
      <c r="H147" s="174" t="s">
        <v>41</v>
      </c>
      <c r="I147" s="174"/>
      <c r="J147" s="174"/>
    </row>
    <row r="148" spans="1:10" ht="120" customHeight="1">
      <c r="A148" s="369"/>
      <c r="B148" s="171" t="s">
        <v>448</v>
      </c>
      <c r="C148" s="210" t="s">
        <v>449</v>
      </c>
      <c r="D148" s="172" t="s">
        <v>450</v>
      </c>
      <c r="E148" s="172" t="s">
        <v>359</v>
      </c>
      <c r="F148" s="172" t="s">
        <v>10745</v>
      </c>
      <c r="G148" s="189" t="s">
        <v>452</v>
      </c>
      <c r="H148" s="174" t="s">
        <v>30</v>
      </c>
      <c r="I148" s="174"/>
      <c r="J148" s="174"/>
    </row>
    <row r="149" spans="1:10" ht="120" customHeight="1">
      <c r="A149" s="369"/>
      <c r="B149" s="171" t="s">
        <v>448</v>
      </c>
      <c r="C149" s="210" t="s">
        <v>453</v>
      </c>
      <c r="D149" s="172" t="s">
        <v>454</v>
      </c>
      <c r="E149" s="172" t="s">
        <v>359</v>
      </c>
      <c r="F149" s="172" t="s">
        <v>10746</v>
      </c>
      <c r="G149" s="189" t="s">
        <v>433</v>
      </c>
      <c r="H149" s="174" t="s">
        <v>36</v>
      </c>
      <c r="I149" s="174"/>
      <c r="J149" s="174"/>
    </row>
    <row r="150" spans="1:10" ht="120" customHeight="1">
      <c r="A150" s="369"/>
      <c r="B150" s="171" t="s">
        <v>448</v>
      </c>
      <c r="C150" s="210" t="s">
        <v>455</v>
      </c>
      <c r="D150" s="210" t="s">
        <v>456</v>
      </c>
      <c r="E150" s="172" t="s">
        <v>359</v>
      </c>
      <c r="F150" s="172" t="s">
        <v>10747</v>
      </c>
      <c r="G150" s="189" t="s">
        <v>457</v>
      </c>
      <c r="H150" s="174" t="s">
        <v>24</v>
      </c>
      <c r="I150" s="174"/>
      <c r="J150" s="174"/>
    </row>
    <row r="151" spans="1:10" ht="120" customHeight="1">
      <c r="A151" s="369"/>
      <c r="B151" s="171" t="s">
        <v>448</v>
      </c>
      <c r="C151" s="210" t="s">
        <v>458</v>
      </c>
      <c r="D151" s="210" t="s">
        <v>459</v>
      </c>
      <c r="E151" s="172" t="s">
        <v>359</v>
      </c>
      <c r="F151" s="172" t="s">
        <v>10748</v>
      </c>
      <c r="G151" s="189" t="s">
        <v>10749</v>
      </c>
      <c r="H151" s="174" t="s">
        <v>24</v>
      </c>
      <c r="I151" s="174"/>
      <c r="J151" s="174"/>
    </row>
    <row r="152" spans="1:10" ht="120" customHeight="1">
      <c r="A152" s="369"/>
      <c r="B152" s="171" t="s">
        <v>448</v>
      </c>
      <c r="C152" s="210" t="s">
        <v>460</v>
      </c>
      <c r="D152" s="210" t="s">
        <v>461</v>
      </c>
      <c r="E152" s="172" t="s">
        <v>23</v>
      </c>
      <c r="F152" s="172" t="s">
        <v>10750</v>
      </c>
      <c r="G152" s="189" t="s">
        <v>424</v>
      </c>
      <c r="H152" s="174" t="s">
        <v>36</v>
      </c>
      <c r="I152" s="174"/>
      <c r="J152" s="174"/>
    </row>
    <row r="153" spans="1:10" ht="120" customHeight="1">
      <c r="A153" s="369"/>
      <c r="B153" s="171" t="s">
        <v>448</v>
      </c>
      <c r="C153" s="210" t="s">
        <v>462</v>
      </c>
      <c r="D153" s="210" t="s">
        <v>10751</v>
      </c>
      <c r="E153" s="172" t="s">
        <v>359</v>
      </c>
      <c r="F153" s="172" t="s">
        <v>10752</v>
      </c>
      <c r="G153" s="189" t="s">
        <v>10736</v>
      </c>
      <c r="H153" s="174" t="s">
        <v>24</v>
      </c>
      <c r="I153" s="174"/>
      <c r="J153" s="174"/>
    </row>
    <row r="154" spans="1:10" ht="120" customHeight="1">
      <c r="A154" s="369"/>
      <c r="B154" s="171" t="s">
        <v>448</v>
      </c>
      <c r="C154" s="210" t="s">
        <v>463</v>
      </c>
      <c r="D154" s="172" t="s">
        <v>10753</v>
      </c>
      <c r="E154" s="172" t="s">
        <v>359</v>
      </c>
      <c r="F154" s="172" t="s">
        <v>10754</v>
      </c>
      <c r="G154" s="189" t="s">
        <v>444</v>
      </c>
      <c r="H154" s="174" t="s">
        <v>30</v>
      </c>
      <c r="I154" s="174"/>
      <c r="J154" s="174"/>
    </row>
    <row r="155" spans="1:10" ht="120" customHeight="1">
      <c r="A155" s="369"/>
      <c r="B155" s="171" t="s">
        <v>448</v>
      </c>
      <c r="C155" s="210" t="s">
        <v>466</v>
      </c>
      <c r="D155" s="172" t="s">
        <v>10755</v>
      </c>
      <c r="E155" s="172" t="s">
        <v>23</v>
      </c>
      <c r="F155" s="172" t="s">
        <v>10756</v>
      </c>
      <c r="G155" s="189" t="s">
        <v>10757</v>
      </c>
      <c r="H155" s="174" t="s">
        <v>36</v>
      </c>
      <c r="I155" s="174"/>
      <c r="J155" s="174"/>
    </row>
    <row r="156" spans="1:10" ht="120" customHeight="1">
      <c r="A156" s="369"/>
      <c r="B156" s="171" t="s">
        <v>467</v>
      </c>
      <c r="C156" s="210" t="s">
        <v>10758</v>
      </c>
      <c r="D156" s="172" t="s">
        <v>6833</v>
      </c>
      <c r="E156" s="172" t="s">
        <v>359</v>
      </c>
      <c r="F156" s="172" t="s">
        <v>10759</v>
      </c>
      <c r="G156" s="189" t="s">
        <v>468</v>
      </c>
      <c r="H156" s="174" t="s">
        <v>62</v>
      </c>
      <c r="I156" s="174"/>
      <c r="J156" s="174"/>
    </row>
    <row r="157" spans="1:10" ht="120" customHeight="1">
      <c r="A157" s="370"/>
      <c r="B157" s="171" t="s">
        <v>467</v>
      </c>
      <c r="C157" s="210" t="s">
        <v>10760</v>
      </c>
      <c r="D157" s="172" t="s">
        <v>6836</v>
      </c>
      <c r="E157" s="172" t="s">
        <v>359</v>
      </c>
      <c r="F157" s="172" t="s">
        <v>10761</v>
      </c>
      <c r="G157" s="189" t="s">
        <v>469</v>
      </c>
      <c r="H157" s="174" t="s">
        <v>62</v>
      </c>
      <c r="I157" s="174"/>
      <c r="J157" s="174"/>
    </row>
    <row r="158" spans="1:10" ht="120" customHeight="1">
      <c r="A158" s="382" t="s">
        <v>470</v>
      </c>
      <c r="B158" s="178" t="s">
        <v>473</v>
      </c>
      <c r="C158" s="172" t="s">
        <v>472</v>
      </c>
      <c r="D158" s="172" t="s">
        <v>6839</v>
      </c>
      <c r="E158" s="172" t="s">
        <v>359</v>
      </c>
      <c r="F158" s="172" t="s">
        <v>10762</v>
      </c>
      <c r="G158" s="189" t="s">
        <v>10763</v>
      </c>
      <c r="H158" s="174" t="s">
        <v>24</v>
      </c>
      <c r="I158" s="174"/>
      <c r="J158" s="174"/>
    </row>
    <row r="159" spans="1:10" ht="120" customHeight="1">
      <c r="A159" s="379"/>
      <c r="B159" s="178" t="s">
        <v>473</v>
      </c>
      <c r="C159" s="172" t="s">
        <v>10764</v>
      </c>
      <c r="D159" s="172" t="s">
        <v>6847</v>
      </c>
      <c r="E159" s="172" t="s">
        <v>359</v>
      </c>
      <c r="F159" s="172" t="s">
        <v>10765</v>
      </c>
      <c r="G159" s="189" t="s">
        <v>10766</v>
      </c>
      <c r="H159" s="174" t="s">
        <v>30</v>
      </c>
      <c r="I159" s="174"/>
      <c r="J159" s="174"/>
    </row>
    <row r="160" spans="1:10" ht="120" customHeight="1">
      <c r="A160" s="379"/>
      <c r="B160" s="178" t="s">
        <v>473</v>
      </c>
      <c r="C160" s="210" t="s">
        <v>478</v>
      </c>
      <c r="D160" s="172" t="s">
        <v>479</v>
      </c>
      <c r="E160" s="172" t="s">
        <v>359</v>
      </c>
      <c r="F160" s="172" t="s">
        <v>10767</v>
      </c>
      <c r="G160" s="189" t="s">
        <v>10768</v>
      </c>
      <c r="H160" s="174" t="s">
        <v>24</v>
      </c>
      <c r="I160" s="174"/>
      <c r="J160" s="174"/>
    </row>
    <row r="161" spans="1:10" ht="120" customHeight="1">
      <c r="A161" s="379"/>
      <c r="B161" s="178" t="s">
        <v>473</v>
      </c>
      <c r="C161" s="210" t="s">
        <v>480</v>
      </c>
      <c r="D161" s="172" t="s">
        <v>481</v>
      </c>
      <c r="E161" s="172" t="s">
        <v>359</v>
      </c>
      <c r="F161" s="172" t="s">
        <v>482</v>
      </c>
      <c r="G161" s="189" t="s">
        <v>483</v>
      </c>
      <c r="H161" s="174" t="s">
        <v>24</v>
      </c>
      <c r="I161" s="174"/>
      <c r="J161" s="174"/>
    </row>
    <row r="162" spans="1:10" ht="120" customHeight="1">
      <c r="A162" s="379"/>
      <c r="B162" s="178" t="s">
        <v>473</v>
      </c>
      <c r="C162" s="210" t="s">
        <v>484</v>
      </c>
      <c r="D162" s="172" t="s">
        <v>485</v>
      </c>
      <c r="E162" s="172" t="s">
        <v>359</v>
      </c>
      <c r="F162" s="172" t="s">
        <v>486</v>
      </c>
      <c r="G162" s="189" t="s">
        <v>10769</v>
      </c>
      <c r="H162" s="174" t="s">
        <v>24</v>
      </c>
      <c r="I162" s="174"/>
      <c r="J162" s="174"/>
    </row>
    <row r="163" spans="1:10" ht="120" customHeight="1">
      <c r="A163" s="379"/>
      <c r="B163" s="178" t="s">
        <v>473</v>
      </c>
      <c r="C163" s="210" t="s">
        <v>487</v>
      </c>
      <c r="D163" s="172" t="s">
        <v>488</v>
      </c>
      <c r="E163" s="172" t="s">
        <v>359</v>
      </c>
      <c r="F163" s="172" t="s">
        <v>489</v>
      </c>
      <c r="G163" s="189" t="s">
        <v>10770</v>
      </c>
      <c r="H163" s="201" t="s">
        <v>62</v>
      </c>
      <c r="I163" s="174"/>
      <c r="J163" s="174"/>
    </row>
    <row r="164" spans="1:10" ht="120" customHeight="1">
      <c r="A164" s="379"/>
      <c r="B164" s="411" t="s">
        <v>490</v>
      </c>
      <c r="C164" s="210" t="s">
        <v>491</v>
      </c>
      <c r="D164" s="172" t="s">
        <v>12469</v>
      </c>
      <c r="E164" s="172" t="s">
        <v>10677</v>
      </c>
      <c r="F164" s="172" t="s">
        <v>10771</v>
      </c>
      <c r="G164" s="189" t="s">
        <v>10772</v>
      </c>
      <c r="H164" s="174" t="s">
        <v>41</v>
      </c>
      <c r="I164" s="174"/>
      <c r="J164" s="174"/>
    </row>
    <row r="165" spans="1:10" ht="120" customHeight="1">
      <c r="A165" s="379"/>
      <c r="B165" s="171" t="s">
        <v>490</v>
      </c>
      <c r="C165" s="210" t="s">
        <v>492</v>
      </c>
      <c r="D165" s="172" t="s">
        <v>12470</v>
      </c>
      <c r="E165" s="172" t="s">
        <v>359</v>
      </c>
      <c r="F165" s="172" t="s">
        <v>493</v>
      </c>
      <c r="G165" s="189" t="s">
        <v>10773</v>
      </c>
      <c r="H165" s="174" t="s">
        <v>41</v>
      </c>
      <c r="I165" s="174"/>
      <c r="J165" s="174"/>
    </row>
    <row r="166" spans="1:10" ht="120" customHeight="1">
      <c r="A166" s="379"/>
      <c r="B166" s="171" t="s">
        <v>490</v>
      </c>
      <c r="C166" s="210" t="s">
        <v>494</v>
      </c>
      <c r="D166" s="172" t="s">
        <v>10774</v>
      </c>
      <c r="E166" s="172" t="s">
        <v>359</v>
      </c>
      <c r="F166" s="172" t="s">
        <v>495</v>
      </c>
      <c r="G166" s="189" t="s">
        <v>496</v>
      </c>
      <c r="H166" s="174" t="s">
        <v>36</v>
      </c>
      <c r="I166" s="174"/>
      <c r="J166" s="174"/>
    </row>
    <row r="167" spans="1:10" ht="120" customHeight="1">
      <c r="A167" s="379"/>
      <c r="B167" s="303" t="s">
        <v>490</v>
      </c>
      <c r="C167" s="311" t="s">
        <v>497</v>
      </c>
      <c r="D167" s="311" t="s">
        <v>498</v>
      </c>
      <c r="E167" s="242" t="s">
        <v>359</v>
      </c>
      <c r="F167" s="242" t="s">
        <v>499</v>
      </c>
      <c r="G167" s="305" t="s">
        <v>10775</v>
      </c>
      <c r="H167" s="408" t="s">
        <v>62</v>
      </c>
      <c r="I167" s="174"/>
      <c r="J167" s="174"/>
    </row>
    <row r="168" spans="1:10" ht="120" customHeight="1">
      <c r="A168" s="380"/>
      <c r="B168" s="260" t="s">
        <v>10776</v>
      </c>
      <c r="C168" s="172" t="s">
        <v>10777</v>
      </c>
      <c r="D168" s="172" t="s">
        <v>6839</v>
      </c>
      <c r="E168" s="172" t="s">
        <v>359</v>
      </c>
      <c r="F168" s="172" t="s">
        <v>10778</v>
      </c>
      <c r="G168" s="189" t="s">
        <v>10779</v>
      </c>
      <c r="H168" s="201"/>
      <c r="I168" s="316"/>
      <c r="J168" s="174"/>
    </row>
    <row r="169" spans="1:10" ht="120" customHeight="1">
      <c r="A169" s="380"/>
      <c r="B169" s="171" t="s">
        <v>10780</v>
      </c>
      <c r="C169" s="172" t="s">
        <v>10781</v>
      </c>
      <c r="D169" s="172" t="s">
        <v>12469</v>
      </c>
      <c r="E169" s="172" t="s">
        <v>10677</v>
      </c>
      <c r="F169" s="172" t="s">
        <v>10782</v>
      </c>
      <c r="G169" s="189" t="s">
        <v>10783</v>
      </c>
      <c r="H169" s="201"/>
      <c r="I169" s="316"/>
      <c r="J169" s="174"/>
    </row>
    <row r="170" spans="1:10" ht="120" customHeight="1">
      <c r="A170" s="383" t="s">
        <v>10784</v>
      </c>
      <c r="B170" s="412" t="s">
        <v>500</v>
      </c>
      <c r="C170" s="413" t="s">
        <v>10785</v>
      </c>
      <c r="D170" s="413" t="s">
        <v>10786</v>
      </c>
      <c r="E170" s="413" t="s">
        <v>23</v>
      </c>
      <c r="F170" s="413" t="s">
        <v>10787</v>
      </c>
      <c r="G170" s="413" t="s">
        <v>10788</v>
      </c>
      <c r="H170" s="405" t="s">
        <v>30</v>
      </c>
      <c r="I170" s="175" t="s">
        <v>31</v>
      </c>
      <c r="J170" s="174"/>
    </row>
    <row r="171" spans="1:10" ht="120" customHeight="1">
      <c r="A171" s="384"/>
      <c r="B171" s="412" t="s">
        <v>500</v>
      </c>
      <c r="C171" s="414" t="s">
        <v>10789</v>
      </c>
      <c r="D171" s="413" t="s">
        <v>10790</v>
      </c>
      <c r="E171" s="413" t="s">
        <v>10791</v>
      </c>
      <c r="F171" s="413" t="s">
        <v>10792</v>
      </c>
      <c r="G171" s="413" t="s">
        <v>506</v>
      </c>
      <c r="H171" s="174" t="s">
        <v>41</v>
      </c>
      <c r="I171" s="175" t="s">
        <v>31</v>
      </c>
      <c r="J171" s="174"/>
    </row>
    <row r="172" spans="1:10" ht="120" customHeight="1">
      <c r="A172" s="384"/>
      <c r="B172" s="412" t="s">
        <v>500</v>
      </c>
      <c r="C172" s="414" t="s">
        <v>507</v>
      </c>
      <c r="D172" s="413" t="s">
        <v>10793</v>
      </c>
      <c r="E172" s="413" t="s">
        <v>23</v>
      </c>
      <c r="F172" s="413" t="s">
        <v>508</v>
      </c>
      <c r="G172" s="413" t="s">
        <v>509</v>
      </c>
      <c r="H172" s="174" t="s">
        <v>41</v>
      </c>
      <c r="I172" s="175" t="s">
        <v>31</v>
      </c>
      <c r="J172" s="174"/>
    </row>
    <row r="173" spans="1:10" ht="120" customHeight="1">
      <c r="A173" s="384"/>
      <c r="B173" s="412" t="s">
        <v>500</v>
      </c>
      <c r="C173" s="414" t="s">
        <v>510</v>
      </c>
      <c r="D173" s="413" t="s">
        <v>10794</v>
      </c>
      <c r="E173" s="413" t="s">
        <v>23</v>
      </c>
      <c r="F173" s="413" t="s">
        <v>512</v>
      </c>
      <c r="G173" s="413" t="s">
        <v>513</v>
      </c>
      <c r="H173" s="174" t="s">
        <v>24</v>
      </c>
      <c r="I173" s="175" t="s">
        <v>31</v>
      </c>
      <c r="J173" s="174"/>
    </row>
    <row r="174" spans="1:10" ht="120" customHeight="1">
      <c r="A174" s="384"/>
      <c r="B174" s="412" t="s">
        <v>500</v>
      </c>
      <c r="C174" s="414" t="s">
        <v>10795</v>
      </c>
      <c r="D174" s="413" t="s">
        <v>10796</v>
      </c>
      <c r="E174" s="413" t="s">
        <v>23</v>
      </c>
      <c r="F174" s="413" t="s">
        <v>10797</v>
      </c>
      <c r="G174" s="413" t="s">
        <v>515</v>
      </c>
      <c r="H174" s="174" t="s">
        <v>41</v>
      </c>
      <c r="I174" s="175" t="s">
        <v>31</v>
      </c>
      <c r="J174" s="174"/>
    </row>
    <row r="175" spans="1:10" ht="120" customHeight="1">
      <c r="A175" s="384"/>
      <c r="B175" s="412" t="s">
        <v>500</v>
      </c>
      <c r="C175" s="414" t="s">
        <v>516</v>
      </c>
      <c r="D175" s="413" t="s">
        <v>10798</v>
      </c>
      <c r="E175" s="413" t="s">
        <v>23</v>
      </c>
      <c r="F175" s="413" t="s">
        <v>518</v>
      </c>
      <c r="G175" s="413" t="s">
        <v>10799</v>
      </c>
      <c r="H175" s="174" t="s">
        <v>24</v>
      </c>
      <c r="I175" s="175" t="s">
        <v>31</v>
      </c>
      <c r="J175" s="174"/>
    </row>
    <row r="176" spans="1:10" ht="120" customHeight="1">
      <c r="A176" s="384"/>
      <c r="B176" s="412" t="s">
        <v>500</v>
      </c>
      <c r="C176" s="414" t="s">
        <v>520</v>
      </c>
      <c r="D176" s="413" t="s">
        <v>10800</v>
      </c>
      <c r="E176" s="413" t="s">
        <v>23</v>
      </c>
      <c r="F176" s="413" t="s">
        <v>522</v>
      </c>
      <c r="G176" s="413" t="s">
        <v>523</v>
      </c>
      <c r="H176" s="174" t="s">
        <v>24</v>
      </c>
      <c r="I176" s="175" t="s">
        <v>31</v>
      </c>
      <c r="J176" s="174"/>
    </row>
    <row r="177" spans="1:10" ht="120" customHeight="1">
      <c r="A177" s="384"/>
      <c r="B177" s="412" t="s">
        <v>500</v>
      </c>
      <c r="C177" s="414" t="s">
        <v>524</v>
      </c>
      <c r="D177" s="413" t="s">
        <v>10801</v>
      </c>
      <c r="E177" s="413" t="s">
        <v>23</v>
      </c>
      <c r="F177" s="413" t="s">
        <v>526</v>
      </c>
      <c r="G177" s="413" t="s">
        <v>527</v>
      </c>
      <c r="H177" s="174" t="s">
        <v>24</v>
      </c>
      <c r="I177" s="175" t="s">
        <v>31</v>
      </c>
      <c r="J177" s="174"/>
    </row>
    <row r="178" spans="1:10" ht="120" customHeight="1">
      <c r="A178" s="384"/>
      <c r="B178" s="412" t="s">
        <v>500</v>
      </c>
      <c r="C178" s="414" t="s">
        <v>528</v>
      </c>
      <c r="D178" s="413" t="s">
        <v>10802</v>
      </c>
      <c r="E178" s="413" t="s">
        <v>23</v>
      </c>
      <c r="F178" s="413" t="s">
        <v>10803</v>
      </c>
      <c r="G178" s="413" t="s">
        <v>530</v>
      </c>
      <c r="H178" s="174" t="s">
        <v>41</v>
      </c>
      <c r="I178" s="175" t="s">
        <v>31</v>
      </c>
      <c r="J178" s="174"/>
    </row>
    <row r="179" spans="1:10" ht="120" customHeight="1">
      <c r="A179" s="384"/>
      <c r="B179" s="412" t="s">
        <v>500</v>
      </c>
      <c r="C179" s="414" t="s">
        <v>531</v>
      </c>
      <c r="D179" s="413" t="s">
        <v>10804</v>
      </c>
      <c r="E179" s="413" t="s">
        <v>23</v>
      </c>
      <c r="F179" s="413" t="s">
        <v>533</v>
      </c>
      <c r="G179" s="413" t="s">
        <v>534</v>
      </c>
      <c r="H179" s="174" t="s">
        <v>41</v>
      </c>
      <c r="I179" s="175" t="s">
        <v>31</v>
      </c>
      <c r="J179" s="174"/>
    </row>
    <row r="180" spans="1:10" ht="120" customHeight="1">
      <c r="A180" s="384"/>
      <c r="B180" s="412" t="s">
        <v>500</v>
      </c>
      <c r="C180" s="414" t="s">
        <v>10805</v>
      </c>
      <c r="D180" s="413" t="s">
        <v>10806</v>
      </c>
      <c r="E180" s="413" t="s">
        <v>10791</v>
      </c>
      <c r="F180" s="413" t="s">
        <v>10807</v>
      </c>
      <c r="G180" s="413" t="s">
        <v>538</v>
      </c>
      <c r="H180" s="174" t="s">
        <v>30</v>
      </c>
      <c r="I180" s="174"/>
      <c r="J180" s="174"/>
    </row>
    <row r="181" spans="1:10" ht="120" customHeight="1">
      <c r="A181" s="384"/>
      <c r="B181" s="412" t="s">
        <v>500</v>
      </c>
      <c r="C181" s="414" t="s">
        <v>10808</v>
      </c>
      <c r="D181" s="413" t="s">
        <v>10809</v>
      </c>
      <c r="E181" s="413" t="s">
        <v>23</v>
      </c>
      <c r="F181" s="413" t="s">
        <v>12471</v>
      </c>
      <c r="G181" s="411" t="s">
        <v>12472</v>
      </c>
      <c r="H181" s="174" t="s">
        <v>41</v>
      </c>
      <c r="I181" s="175" t="s">
        <v>31</v>
      </c>
      <c r="J181" s="174"/>
    </row>
    <row r="182" spans="1:10" ht="120" customHeight="1">
      <c r="A182" s="384"/>
      <c r="B182" s="412" t="s">
        <v>10810</v>
      </c>
      <c r="C182" s="414" t="s">
        <v>10811</v>
      </c>
      <c r="D182" s="413" t="s">
        <v>10812</v>
      </c>
      <c r="E182" s="413" t="s">
        <v>541</v>
      </c>
      <c r="F182" s="413" t="s">
        <v>10813</v>
      </c>
      <c r="G182" s="413" t="s">
        <v>10814</v>
      </c>
      <c r="H182" s="174" t="s">
        <v>41</v>
      </c>
      <c r="I182" s="175" t="s">
        <v>31</v>
      </c>
      <c r="J182" s="174"/>
    </row>
    <row r="183" spans="1:10" ht="120" customHeight="1">
      <c r="A183" s="384"/>
      <c r="B183" s="412" t="s">
        <v>500</v>
      </c>
      <c r="C183" s="414" t="s">
        <v>542</v>
      </c>
      <c r="D183" s="413" t="s">
        <v>10815</v>
      </c>
      <c r="E183" s="413" t="s">
        <v>544</v>
      </c>
      <c r="F183" s="413" t="s">
        <v>10816</v>
      </c>
      <c r="G183" s="413" t="s">
        <v>10817</v>
      </c>
      <c r="H183" s="174" t="s">
        <v>184</v>
      </c>
      <c r="I183" s="174"/>
      <c r="J183" s="174"/>
    </row>
    <row r="184" spans="1:10" ht="120" customHeight="1">
      <c r="A184" s="384"/>
      <c r="B184" s="412" t="s">
        <v>500</v>
      </c>
      <c r="C184" s="414" t="s">
        <v>545</v>
      </c>
      <c r="D184" s="413" t="s">
        <v>546</v>
      </c>
      <c r="E184" s="413" t="s">
        <v>544</v>
      </c>
      <c r="F184" s="413" t="s">
        <v>10818</v>
      </c>
      <c r="G184" s="413" t="s">
        <v>12473</v>
      </c>
      <c r="H184" s="174" t="s">
        <v>184</v>
      </c>
      <c r="I184" s="174"/>
      <c r="J184" s="174"/>
    </row>
    <row r="185" spans="1:10" ht="120" customHeight="1">
      <c r="A185" s="384"/>
      <c r="B185" s="412" t="s">
        <v>500</v>
      </c>
      <c r="C185" s="414" t="s">
        <v>10819</v>
      </c>
      <c r="D185" s="413" t="s">
        <v>10820</v>
      </c>
      <c r="E185" s="413" t="s">
        <v>10791</v>
      </c>
      <c r="F185" s="413" t="s">
        <v>10821</v>
      </c>
      <c r="G185" s="413" t="s">
        <v>547</v>
      </c>
      <c r="H185" s="174" t="s">
        <v>41</v>
      </c>
      <c r="I185" s="175" t="s">
        <v>31</v>
      </c>
      <c r="J185" s="174"/>
    </row>
    <row r="186" spans="1:10" ht="120" customHeight="1">
      <c r="A186" s="384"/>
      <c r="B186" s="412" t="s">
        <v>500</v>
      </c>
      <c r="C186" s="414" t="s">
        <v>548</v>
      </c>
      <c r="D186" s="413" t="s">
        <v>10822</v>
      </c>
      <c r="E186" s="413" t="s">
        <v>23</v>
      </c>
      <c r="F186" s="413" t="s">
        <v>549</v>
      </c>
      <c r="G186" s="413" t="s">
        <v>550</v>
      </c>
      <c r="H186" s="174" t="s">
        <v>184</v>
      </c>
      <c r="I186" s="175" t="s">
        <v>31</v>
      </c>
      <c r="J186" s="174"/>
    </row>
    <row r="187" spans="1:10" ht="120" customHeight="1">
      <c r="A187" s="384"/>
      <c r="B187" s="412" t="s">
        <v>500</v>
      </c>
      <c r="C187" s="414" t="s">
        <v>551</v>
      </c>
      <c r="D187" s="413" t="s">
        <v>10823</v>
      </c>
      <c r="E187" s="413" t="s">
        <v>23</v>
      </c>
      <c r="F187" s="413" t="s">
        <v>10824</v>
      </c>
      <c r="G187" s="413" t="s">
        <v>10825</v>
      </c>
      <c r="H187" s="174" t="s">
        <v>41</v>
      </c>
      <c r="I187" s="175" t="s">
        <v>31</v>
      </c>
      <c r="J187" s="174"/>
    </row>
    <row r="188" spans="1:10" ht="120" customHeight="1">
      <c r="A188" s="384"/>
      <c r="B188" s="412" t="s">
        <v>500</v>
      </c>
      <c r="C188" s="414" t="s">
        <v>552</v>
      </c>
      <c r="D188" s="413" t="s">
        <v>10826</v>
      </c>
      <c r="E188" s="413" t="s">
        <v>23</v>
      </c>
      <c r="F188" s="413" t="s">
        <v>554</v>
      </c>
      <c r="G188" s="413" t="s">
        <v>555</v>
      </c>
      <c r="H188" s="174" t="s">
        <v>41</v>
      </c>
      <c r="I188" s="175" t="s">
        <v>31</v>
      </c>
      <c r="J188" s="174"/>
    </row>
    <row r="189" spans="1:10" ht="120" customHeight="1">
      <c r="A189" s="384"/>
      <c r="B189" s="412" t="s">
        <v>500</v>
      </c>
      <c r="C189" s="414" t="s">
        <v>556</v>
      </c>
      <c r="D189" s="413" t="s">
        <v>557</v>
      </c>
      <c r="E189" s="413" t="s">
        <v>23</v>
      </c>
      <c r="F189" s="413" t="s">
        <v>10827</v>
      </c>
      <c r="G189" s="413" t="s">
        <v>10828</v>
      </c>
      <c r="H189" s="174" t="s">
        <v>233</v>
      </c>
      <c r="I189" s="175" t="s">
        <v>31</v>
      </c>
      <c r="J189" s="174"/>
    </row>
    <row r="190" spans="1:10" ht="120" customHeight="1">
      <c r="A190" s="384"/>
      <c r="B190" s="412" t="s">
        <v>10810</v>
      </c>
      <c r="C190" s="414" t="s">
        <v>560</v>
      </c>
      <c r="D190" s="413" t="s">
        <v>10829</v>
      </c>
      <c r="E190" s="413" t="s">
        <v>23</v>
      </c>
      <c r="F190" s="413" t="s">
        <v>10830</v>
      </c>
      <c r="G190" s="413" t="s">
        <v>10831</v>
      </c>
      <c r="H190" s="174" t="s">
        <v>24</v>
      </c>
      <c r="I190" s="175" t="s">
        <v>31</v>
      </c>
      <c r="J190" s="174"/>
    </row>
    <row r="191" spans="1:10" ht="120" customHeight="1">
      <c r="A191" s="384"/>
      <c r="B191" s="412" t="s">
        <v>500</v>
      </c>
      <c r="C191" s="414" t="s">
        <v>561</v>
      </c>
      <c r="D191" s="413" t="s">
        <v>562</v>
      </c>
      <c r="E191" s="413" t="s">
        <v>23</v>
      </c>
      <c r="F191" s="413" t="s">
        <v>563</v>
      </c>
      <c r="G191" s="413" t="s">
        <v>10832</v>
      </c>
      <c r="H191" s="174" t="s">
        <v>36</v>
      </c>
      <c r="I191" s="174"/>
      <c r="J191" s="174"/>
    </row>
    <row r="192" spans="1:10" ht="120" customHeight="1">
      <c r="A192" s="384"/>
      <c r="B192" s="412" t="s">
        <v>500</v>
      </c>
      <c r="C192" s="414" t="s">
        <v>564</v>
      </c>
      <c r="D192" s="413" t="s">
        <v>10833</v>
      </c>
      <c r="E192" s="413" t="s">
        <v>23</v>
      </c>
      <c r="F192" s="413" t="s">
        <v>10834</v>
      </c>
      <c r="G192" s="413" t="s">
        <v>565</v>
      </c>
      <c r="H192" s="174" t="s">
        <v>36</v>
      </c>
      <c r="I192" s="174"/>
      <c r="J192" s="174"/>
    </row>
    <row r="193" spans="1:10" ht="120" customHeight="1">
      <c r="A193" s="384"/>
      <c r="B193" s="412" t="s">
        <v>500</v>
      </c>
      <c r="C193" s="414" t="s">
        <v>10835</v>
      </c>
      <c r="D193" s="413" t="s">
        <v>566</v>
      </c>
      <c r="E193" s="413" t="s">
        <v>23</v>
      </c>
      <c r="F193" s="413" t="s">
        <v>567</v>
      </c>
      <c r="G193" s="413" t="s">
        <v>568</v>
      </c>
      <c r="H193" s="174" t="s">
        <v>41</v>
      </c>
      <c r="I193" s="175" t="s">
        <v>31</v>
      </c>
      <c r="J193" s="174"/>
    </row>
    <row r="194" spans="1:10" ht="120" customHeight="1">
      <c r="A194" s="384"/>
      <c r="B194" s="412" t="s">
        <v>500</v>
      </c>
      <c r="C194" s="414" t="s">
        <v>569</v>
      </c>
      <c r="D194" s="413" t="s">
        <v>570</v>
      </c>
      <c r="E194" s="413" t="s">
        <v>23</v>
      </c>
      <c r="F194" s="317" t="s">
        <v>10836</v>
      </c>
      <c r="G194" s="413" t="s">
        <v>571</v>
      </c>
      <c r="H194" s="174" t="s">
        <v>36</v>
      </c>
      <c r="I194" s="175" t="s">
        <v>31</v>
      </c>
      <c r="J194" s="174"/>
    </row>
    <row r="195" spans="1:10" ht="120" customHeight="1">
      <c r="A195" s="384"/>
      <c r="B195" s="412" t="s">
        <v>500</v>
      </c>
      <c r="C195" s="414" t="s">
        <v>10837</v>
      </c>
      <c r="D195" s="413" t="s">
        <v>10838</v>
      </c>
      <c r="E195" s="413" t="s">
        <v>10791</v>
      </c>
      <c r="F195" s="413" t="s">
        <v>10839</v>
      </c>
      <c r="G195" s="413" t="s">
        <v>12474</v>
      </c>
      <c r="H195" s="174" t="s">
        <v>36</v>
      </c>
      <c r="I195" s="174"/>
      <c r="J195" s="174"/>
    </row>
    <row r="196" spans="1:10" ht="120" customHeight="1">
      <c r="A196" s="384"/>
      <c r="B196" s="412" t="s">
        <v>500</v>
      </c>
      <c r="C196" s="414" t="s">
        <v>572</v>
      </c>
      <c r="D196" s="413" t="s">
        <v>10840</v>
      </c>
      <c r="E196" s="413" t="s">
        <v>23</v>
      </c>
      <c r="F196" s="413" t="s">
        <v>10841</v>
      </c>
      <c r="G196" s="413" t="s">
        <v>573</v>
      </c>
      <c r="H196" s="415" t="s">
        <v>24</v>
      </c>
      <c r="I196" s="174"/>
      <c r="J196" s="174"/>
    </row>
    <row r="197" spans="1:10" ht="120" customHeight="1">
      <c r="A197" s="384"/>
      <c r="B197" s="412" t="s">
        <v>500</v>
      </c>
      <c r="C197" s="414" t="s">
        <v>10842</v>
      </c>
      <c r="D197" s="416" t="s">
        <v>574</v>
      </c>
      <c r="E197" s="416" t="s">
        <v>23</v>
      </c>
      <c r="F197" s="416" t="s">
        <v>575</v>
      </c>
      <c r="G197" s="416" t="s">
        <v>576</v>
      </c>
      <c r="H197" s="181" t="s">
        <v>24</v>
      </c>
      <c r="I197" s="175" t="s">
        <v>31</v>
      </c>
      <c r="J197" s="181"/>
    </row>
    <row r="198" spans="1:10" ht="120" customHeight="1">
      <c r="A198" s="384"/>
      <c r="B198" s="412" t="s">
        <v>500</v>
      </c>
      <c r="C198" s="414" t="s">
        <v>577</v>
      </c>
      <c r="D198" s="413" t="s">
        <v>578</v>
      </c>
      <c r="E198" s="413" t="s">
        <v>23</v>
      </c>
      <c r="F198" s="413" t="s">
        <v>579</v>
      </c>
      <c r="G198" s="413" t="s">
        <v>580</v>
      </c>
      <c r="H198" s="174" t="s">
        <v>86</v>
      </c>
      <c r="I198" s="175" t="s">
        <v>31</v>
      </c>
      <c r="J198" s="174"/>
    </row>
    <row r="199" spans="1:10" ht="120" customHeight="1">
      <c r="A199" s="384"/>
      <c r="B199" s="412" t="s">
        <v>500</v>
      </c>
      <c r="C199" s="414" t="s">
        <v>581</v>
      </c>
      <c r="D199" s="413" t="s">
        <v>582</v>
      </c>
      <c r="E199" s="413" t="s">
        <v>23</v>
      </c>
      <c r="F199" s="413" t="s">
        <v>583</v>
      </c>
      <c r="G199" s="413" t="s">
        <v>584</v>
      </c>
      <c r="H199" s="174" t="s">
        <v>24</v>
      </c>
      <c r="I199" s="175" t="s">
        <v>31</v>
      </c>
      <c r="J199" s="174"/>
    </row>
    <row r="200" spans="1:10" ht="120" customHeight="1">
      <c r="A200" s="384"/>
      <c r="B200" s="412" t="s">
        <v>500</v>
      </c>
      <c r="C200" s="414" t="s">
        <v>585</v>
      </c>
      <c r="D200" s="413" t="s">
        <v>10843</v>
      </c>
      <c r="E200" s="413" t="s">
        <v>23</v>
      </c>
      <c r="F200" s="413" t="s">
        <v>586</v>
      </c>
      <c r="G200" s="413" t="s">
        <v>587</v>
      </c>
      <c r="H200" s="174" t="s">
        <v>24</v>
      </c>
      <c r="I200" s="175"/>
      <c r="J200" s="174"/>
    </row>
    <row r="201" spans="1:10" ht="120" customHeight="1">
      <c r="A201" s="384"/>
      <c r="B201" s="417" t="s">
        <v>588</v>
      </c>
      <c r="C201" s="414" t="s">
        <v>10844</v>
      </c>
      <c r="D201" s="414" t="s">
        <v>589</v>
      </c>
      <c r="E201" s="414" t="s">
        <v>23</v>
      </c>
      <c r="F201" s="414" t="s">
        <v>10845</v>
      </c>
      <c r="G201" s="414" t="s">
        <v>10846</v>
      </c>
      <c r="H201" s="174" t="s">
        <v>24</v>
      </c>
      <c r="I201" s="175" t="s">
        <v>31</v>
      </c>
      <c r="J201" s="174"/>
    </row>
    <row r="202" spans="1:10" ht="120" customHeight="1">
      <c r="A202" s="384"/>
      <c r="B202" s="418" t="s">
        <v>588</v>
      </c>
      <c r="C202" s="414" t="s">
        <v>590</v>
      </c>
      <c r="D202" s="413" t="s">
        <v>10847</v>
      </c>
      <c r="E202" s="413" t="s">
        <v>23</v>
      </c>
      <c r="F202" s="413" t="s">
        <v>591</v>
      </c>
      <c r="G202" s="413" t="s">
        <v>10848</v>
      </c>
      <c r="H202" s="174" t="s">
        <v>24</v>
      </c>
      <c r="I202" s="175" t="s">
        <v>31</v>
      </c>
      <c r="J202" s="174"/>
    </row>
    <row r="203" spans="1:10" ht="120" customHeight="1">
      <c r="A203" s="384"/>
      <c r="B203" s="418" t="s">
        <v>588</v>
      </c>
      <c r="C203" s="414" t="s">
        <v>592</v>
      </c>
      <c r="D203" s="413" t="s">
        <v>593</v>
      </c>
      <c r="E203" s="413" t="s">
        <v>23</v>
      </c>
      <c r="F203" s="413" t="s">
        <v>594</v>
      </c>
      <c r="G203" s="413" t="s">
        <v>595</v>
      </c>
      <c r="H203" s="174" t="s">
        <v>30</v>
      </c>
      <c r="I203" s="175" t="s">
        <v>31</v>
      </c>
      <c r="J203" s="174"/>
    </row>
    <row r="204" spans="1:10" ht="120" customHeight="1">
      <c r="A204" s="384"/>
      <c r="B204" s="418" t="s">
        <v>588</v>
      </c>
      <c r="C204" s="414" t="s">
        <v>596</v>
      </c>
      <c r="D204" s="416" t="s">
        <v>10849</v>
      </c>
      <c r="E204" s="416" t="s">
        <v>23</v>
      </c>
      <c r="F204" s="416" t="s">
        <v>10850</v>
      </c>
      <c r="G204" s="416" t="s">
        <v>597</v>
      </c>
      <c r="H204" s="181" t="s">
        <v>24</v>
      </c>
      <c r="I204" s="175" t="s">
        <v>31</v>
      </c>
      <c r="J204" s="174"/>
    </row>
    <row r="205" spans="1:10" ht="120" customHeight="1">
      <c r="A205" s="384"/>
      <c r="B205" s="418" t="s">
        <v>588</v>
      </c>
      <c r="C205" s="414" t="s">
        <v>10851</v>
      </c>
      <c r="D205" s="413" t="s">
        <v>598</v>
      </c>
      <c r="E205" s="413" t="s">
        <v>10791</v>
      </c>
      <c r="F205" s="413" t="s">
        <v>10852</v>
      </c>
      <c r="G205" s="413" t="s">
        <v>10853</v>
      </c>
      <c r="H205" s="174" t="s">
        <v>36</v>
      </c>
      <c r="I205" s="181"/>
      <c r="J205" s="174"/>
    </row>
    <row r="206" spans="1:10" ht="120" customHeight="1">
      <c r="A206" s="384"/>
      <c r="B206" s="418" t="s">
        <v>588</v>
      </c>
      <c r="C206" s="414" t="s">
        <v>10854</v>
      </c>
      <c r="D206" s="413" t="s">
        <v>10855</v>
      </c>
      <c r="E206" s="413" t="s">
        <v>10791</v>
      </c>
      <c r="F206" s="413" t="s">
        <v>599</v>
      </c>
      <c r="G206" s="413" t="s">
        <v>10856</v>
      </c>
      <c r="H206" s="174" t="s">
        <v>24</v>
      </c>
      <c r="I206" s="175" t="s">
        <v>31</v>
      </c>
      <c r="J206" s="174"/>
    </row>
    <row r="207" spans="1:10" ht="120" customHeight="1">
      <c r="A207" s="384"/>
      <c r="B207" s="418" t="s">
        <v>588</v>
      </c>
      <c r="C207" s="414" t="s">
        <v>600</v>
      </c>
      <c r="D207" s="413" t="s">
        <v>601</v>
      </c>
      <c r="E207" s="413" t="s">
        <v>23</v>
      </c>
      <c r="F207" s="413" t="s">
        <v>602</v>
      </c>
      <c r="G207" s="413" t="s">
        <v>603</v>
      </c>
      <c r="H207" s="174" t="s">
        <v>62</v>
      </c>
      <c r="I207" s="175" t="s">
        <v>31</v>
      </c>
      <c r="J207" s="174"/>
    </row>
    <row r="208" spans="1:10" ht="120" customHeight="1">
      <c r="A208" s="384"/>
      <c r="B208" s="418" t="s">
        <v>588</v>
      </c>
      <c r="C208" s="414" t="s">
        <v>604</v>
      </c>
      <c r="D208" s="413" t="s">
        <v>605</v>
      </c>
      <c r="E208" s="413" t="s">
        <v>23</v>
      </c>
      <c r="F208" s="413" t="s">
        <v>606</v>
      </c>
      <c r="G208" s="413" t="s">
        <v>607</v>
      </c>
      <c r="H208" s="174" t="s">
        <v>62</v>
      </c>
      <c r="I208" s="175" t="s">
        <v>31</v>
      </c>
      <c r="J208" s="174"/>
    </row>
    <row r="209" spans="1:10" ht="120" customHeight="1">
      <c r="A209" s="384"/>
      <c r="B209" s="412" t="s">
        <v>608</v>
      </c>
      <c r="C209" s="413" t="s">
        <v>10857</v>
      </c>
      <c r="D209" s="413" t="s">
        <v>610</v>
      </c>
      <c r="E209" s="413" t="s">
        <v>23</v>
      </c>
      <c r="F209" s="413" t="s">
        <v>10858</v>
      </c>
      <c r="G209" s="413" t="s">
        <v>10859</v>
      </c>
      <c r="H209" s="174" t="s">
        <v>30</v>
      </c>
      <c r="I209" s="175" t="s">
        <v>31</v>
      </c>
      <c r="J209" s="174"/>
    </row>
    <row r="210" spans="1:10" ht="120" customHeight="1">
      <c r="A210" s="384"/>
      <c r="B210" s="412" t="s">
        <v>608</v>
      </c>
      <c r="C210" s="413" t="s">
        <v>613</v>
      </c>
      <c r="D210" s="413" t="s">
        <v>614</v>
      </c>
      <c r="E210" s="413" t="s">
        <v>23</v>
      </c>
      <c r="F210" s="413" t="s">
        <v>615</v>
      </c>
      <c r="G210" s="413" t="s">
        <v>616</v>
      </c>
      <c r="H210" s="174" t="s">
        <v>24</v>
      </c>
      <c r="I210" s="175" t="s">
        <v>31</v>
      </c>
      <c r="J210" s="174"/>
    </row>
    <row r="211" spans="1:10" ht="120" customHeight="1">
      <c r="A211" s="384"/>
      <c r="B211" s="412" t="s">
        <v>608</v>
      </c>
      <c r="C211" s="413" t="s">
        <v>617</v>
      </c>
      <c r="D211" s="413" t="s">
        <v>10860</v>
      </c>
      <c r="E211" s="413" t="s">
        <v>23</v>
      </c>
      <c r="F211" s="413" t="s">
        <v>618</v>
      </c>
      <c r="G211" s="413" t="s">
        <v>10861</v>
      </c>
      <c r="H211" s="174" t="s">
        <v>41</v>
      </c>
      <c r="I211" s="175" t="s">
        <v>31</v>
      </c>
      <c r="J211" s="174"/>
    </row>
    <row r="212" spans="1:10" ht="120" customHeight="1">
      <c r="A212" s="384"/>
      <c r="B212" s="412" t="s">
        <v>608</v>
      </c>
      <c r="C212" s="413" t="s">
        <v>619</v>
      </c>
      <c r="D212" s="413" t="s">
        <v>620</v>
      </c>
      <c r="E212" s="413" t="s">
        <v>23</v>
      </c>
      <c r="F212" s="413" t="s">
        <v>621</v>
      </c>
      <c r="G212" s="413" t="s">
        <v>622</v>
      </c>
      <c r="H212" s="174" t="s">
        <v>24</v>
      </c>
      <c r="I212" s="175" t="s">
        <v>31</v>
      </c>
      <c r="J212" s="174"/>
    </row>
    <row r="213" spans="1:10" ht="120" customHeight="1">
      <c r="A213" s="384"/>
      <c r="B213" s="412" t="s">
        <v>608</v>
      </c>
      <c r="C213" s="413" t="s">
        <v>623</v>
      </c>
      <c r="D213" s="413" t="s">
        <v>10862</v>
      </c>
      <c r="E213" s="413" t="s">
        <v>23</v>
      </c>
      <c r="F213" s="413" t="s">
        <v>624</v>
      </c>
      <c r="G213" s="413" t="s">
        <v>625</v>
      </c>
      <c r="H213" s="174" t="s">
        <v>24</v>
      </c>
      <c r="I213" s="175" t="s">
        <v>31</v>
      </c>
      <c r="J213" s="174"/>
    </row>
    <row r="214" spans="1:10" ht="120" customHeight="1">
      <c r="A214" s="384"/>
      <c r="B214" s="412" t="s">
        <v>608</v>
      </c>
      <c r="C214" s="413" t="s">
        <v>626</v>
      </c>
      <c r="D214" s="413" t="s">
        <v>627</v>
      </c>
      <c r="E214" s="413" t="s">
        <v>23</v>
      </c>
      <c r="F214" s="413" t="s">
        <v>10863</v>
      </c>
      <c r="G214" s="413" t="s">
        <v>10864</v>
      </c>
      <c r="H214" s="174" t="s">
        <v>30</v>
      </c>
      <c r="I214" s="175" t="s">
        <v>31</v>
      </c>
      <c r="J214" s="174"/>
    </row>
    <row r="215" spans="1:10" ht="120" customHeight="1">
      <c r="A215" s="384"/>
      <c r="B215" s="412" t="s">
        <v>608</v>
      </c>
      <c r="C215" s="413" t="s">
        <v>630</v>
      </c>
      <c r="D215" s="413" t="s">
        <v>10865</v>
      </c>
      <c r="E215" s="413" t="s">
        <v>23</v>
      </c>
      <c r="F215" s="413" t="s">
        <v>631</v>
      </c>
      <c r="G215" s="413" t="s">
        <v>10866</v>
      </c>
      <c r="H215" s="174" t="s">
        <v>24</v>
      </c>
      <c r="I215" s="175" t="s">
        <v>31</v>
      </c>
      <c r="J215" s="174"/>
    </row>
    <row r="216" spans="1:10" ht="120" customHeight="1">
      <c r="A216" s="384"/>
      <c r="B216" s="412" t="s">
        <v>608</v>
      </c>
      <c r="C216" s="413" t="s">
        <v>10867</v>
      </c>
      <c r="D216" s="413" t="s">
        <v>10868</v>
      </c>
      <c r="E216" s="413" t="s">
        <v>23</v>
      </c>
      <c r="F216" s="413" t="s">
        <v>633</v>
      </c>
      <c r="G216" s="413" t="s">
        <v>634</v>
      </c>
      <c r="H216" s="174" t="s">
        <v>36</v>
      </c>
      <c r="I216" s="213" t="s">
        <v>31</v>
      </c>
      <c r="J216" s="174"/>
    </row>
    <row r="217" spans="1:10" ht="120" customHeight="1">
      <c r="A217" s="384"/>
      <c r="B217" s="412" t="s">
        <v>608</v>
      </c>
      <c r="C217" s="413" t="s">
        <v>10869</v>
      </c>
      <c r="D217" s="413" t="s">
        <v>635</v>
      </c>
      <c r="E217" s="413" t="s">
        <v>10791</v>
      </c>
      <c r="F217" s="413" t="s">
        <v>10870</v>
      </c>
      <c r="G217" s="413" t="s">
        <v>636</v>
      </c>
      <c r="H217" s="174" t="s">
        <v>41</v>
      </c>
      <c r="I217" s="175" t="s">
        <v>31</v>
      </c>
      <c r="J217" s="174"/>
    </row>
    <row r="218" spans="1:10" ht="120" customHeight="1">
      <c r="A218" s="384"/>
      <c r="B218" s="412" t="s">
        <v>608</v>
      </c>
      <c r="C218" s="413" t="s">
        <v>637</v>
      </c>
      <c r="D218" s="413" t="s">
        <v>638</v>
      </c>
      <c r="E218" s="413" t="s">
        <v>639</v>
      </c>
      <c r="F218" s="413" t="s">
        <v>640</v>
      </c>
      <c r="G218" s="413" t="s">
        <v>641</v>
      </c>
      <c r="H218" s="201" t="s">
        <v>36</v>
      </c>
      <c r="I218" s="213" t="s">
        <v>31</v>
      </c>
      <c r="J218" s="201"/>
    </row>
    <row r="219" spans="1:10" ht="120" customHeight="1">
      <c r="A219" s="384"/>
      <c r="B219" s="412" t="s">
        <v>608</v>
      </c>
      <c r="C219" s="413" t="s">
        <v>642</v>
      </c>
      <c r="D219" s="413" t="s">
        <v>10871</v>
      </c>
      <c r="E219" s="413" t="s">
        <v>23</v>
      </c>
      <c r="F219" s="413" t="s">
        <v>644</v>
      </c>
      <c r="G219" s="413" t="s">
        <v>12475</v>
      </c>
      <c r="H219" s="174" t="s">
        <v>62</v>
      </c>
      <c r="I219" s="201"/>
      <c r="J219" s="174"/>
    </row>
    <row r="220" spans="1:10" ht="120" customHeight="1">
      <c r="A220" s="384"/>
      <c r="B220" s="412" t="s">
        <v>608</v>
      </c>
      <c r="C220" s="413" t="s">
        <v>645</v>
      </c>
      <c r="D220" s="413" t="s">
        <v>646</v>
      </c>
      <c r="E220" s="413" t="s">
        <v>23</v>
      </c>
      <c r="F220" s="413" t="s">
        <v>647</v>
      </c>
      <c r="G220" s="413" t="s">
        <v>648</v>
      </c>
      <c r="H220" s="174" t="s">
        <v>24</v>
      </c>
      <c r="I220" s="174"/>
      <c r="J220" s="174"/>
    </row>
    <row r="221" spans="1:10" ht="120" customHeight="1">
      <c r="A221" s="384"/>
      <c r="B221" s="412" t="s">
        <v>608</v>
      </c>
      <c r="C221" s="413" t="s">
        <v>649</v>
      </c>
      <c r="D221" s="413" t="s">
        <v>650</v>
      </c>
      <c r="E221" s="413" t="s">
        <v>23</v>
      </c>
      <c r="F221" s="413" t="s">
        <v>651</v>
      </c>
      <c r="G221" s="413" t="s">
        <v>648</v>
      </c>
      <c r="H221" s="174" t="s">
        <v>24</v>
      </c>
      <c r="I221" s="174"/>
      <c r="J221" s="174"/>
    </row>
    <row r="222" spans="1:10" ht="120" customHeight="1">
      <c r="A222" s="384"/>
      <c r="B222" s="412" t="s">
        <v>608</v>
      </c>
      <c r="C222" s="413" t="s">
        <v>652</v>
      </c>
      <c r="D222" s="413" t="s">
        <v>10872</v>
      </c>
      <c r="E222" s="413" t="s">
        <v>23</v>
      </c>
      <c r="F222" s="413" t="s">
        <v>653</v>
      </c>
      <c r="G222" s="413" t="s">
        <v>12476</v>
      </c>
      <c r="H222" s="174" t="s">
        <v>24</v>
      </c>
      <c r="I222" s="174"/>
      <c r="J222" s="174"/>
    </row>
    <row r="223" spans="1:10" ht="120" customHeight="1">
      <c r="A223" s="384"/>
      <c r="B223" s="412" t="s">
        <v>608</v>
      </c>
      <c r="C223" s="413" t="s">
        <v>10873</v>
      </c>
      <c r="D223" s="413" t="s">
        <v>10874</v>
      </c>
      <c r="E223" s="413" t="s">
        <v>23</v>
      </c>
      <c r="F223" s="413" t="s">
        <v>655</v>
      </c>
      <c r="G223" s="413" t="s">
        <v>656</v>
      </c>
      <c r="H223" s="174" t="s">
        <v>24</v>
      </c>
      <c r="I223" s="213" t="s">
        <v>31</v>
      </c>
      <c r="J223" s="174"/>
    </row>
    <row r="224" spans="1:10" ht="120" customHeight="1">
      <c r="A224" s="385" t="s">
        <v>657</v>
      </c>
      <c r="B224" s="171" t="s">
        <v>658</v>
      </c>
      <c r="C224" s="172" t="s">
        <v>10875</v>
      </c>
      <c r="D224" s="172" t="s">
        <v>10876</v>
      </c>
      <c r="E224" s="172" t="s">
        <v>10532</v>
      </c>
      <c r="F224" s="172" t="s">
        <v>660</v>
      </c>
      <c r="G224" s="189" t="s">
        <v>661</v>
      </c>
      <c r="H224" s="174" t="s">
        <v>41</v>
      </c>
      <c r="I224" s="175" t="s">
        <v>31</v>
      </c>
      <c r="J224" s="174"/>
    </row>
    <row r="225" spans="1:10" ht="120" customHeight="1">
      <c r="A225" s="386"/>
      <c r="B225" s="171" t="s">
        <v>658</v>
      </c>
      <c r="C225" s="172" t="s">
        <v>662</v>
      </c>
      <c r="D225" s="172" t="s">
        <v>10877</v>
      </c>
      <c r="E225" s="172" t="s">
        <v>10532</v>
      </c>
      <c r="F225" s="172" t="s">
        <v>663</v>
      </c>
      <c r="G225" s="189" t="s">
        <v>664</v>
      </c>
      <c r="H225" s="174" t="s">
        <v>24</v>
      </c>
      <c r="I225" s="175" t="s">
        <v>31</v>
      </c>
      <c r="J225" s="174"/>
    </row>
    <row r="226" spans="1:10" ht="120" customHeight="1">
      <c r="A226" s="386"/>
      <c r="B226" s="171" t="s">
        <v>658</v>
      </c>
      <c r="C226" s="172" t="s">
        <v>665</v>
      </c>
      <c r="D226" s="172" t="s">
        <v>10878</v>
      </c>
      <c r="E226" s="172" t="s">
        <v>10532</v>
      </c>
      <c r="F226" s="172" t="s">
        <v>666</v>
      </c>
      <c r="G226" s="189" t="s">
        <v>667</v>
      </c>
      <c r="H226" s="174" t="s">
        <v>41</v>
      </c>
      <c r="I226" s="175" t="s">
        <v>31</v>
      </c>
      <c r="J226" s="174"/>
    </row>
    <row r="227" spans="1:10" ht="120" customHeight="1">
      <c r="A227" s="386"/>
      <c r="B227" s="171" t="s">
        <v>658</v>
      </c>
      <c r="C227" s="172" t="s">
        <v>668</v>
      </c>
      <c r="D227" s="172" t="s">
        <v>10879</v>
      </c>
      <c r="E227" s="172" t="s">
        <v>10532</v>
      </c>
      <c r="F227" s="172" t="s">
        <v>669</v>
      </c>
      <c r="G227" s="189" t="s">
        <v>667</v>
      </c>
      <c r="H227" s="174" t="s">
        <v>24</v>
      </c>
      <c r="I227" s="175" t="s">
        <v>31</v>
      </c>
      <c r="J227" s="174"/>
    </row>
    <row r="228" spans="1:10" ht="120" customHeight="1">
      <c r="A228" s="386"/>
      <c r="B228" s="171" t="s">
        <v>658</v>
      </c>
      <c r="C228" s="172" t="s">
        <v>670</v>
      </c>
      <c r="D228" s="172" t="s">
        <v>10880</v>
      </c>
      <c r="E228" s="172" t="s">
        <v>10532</v>
      </c>
      <c r="F228" s="172" t="s">
        <v>672</v>
      </c>
      <c r="G228" s="189" t="s">
        <v>673</v>
      </c>
      <c r="H228" s="174" t="s">
        <v>30</v>
      </c>
      <c r="I228" s="175" t="s">
        <v>31</v>
      </c>
      <c r="J228" s="174"/>
    </row>
    <row r="229" spans="1:10" ht="120" customHeight="1">
      <c r="A229" s="386"/>
      <c r="B229" s="171" t="s">
        <v>658</v>
      </c>
      <c r="C229" s="172" t="s">
        <v>674</v>
      </c>
      <c r="D229" s="172" t="s">
        <v>10881</v>
      </c>
      <c r="E229" s="172" t="s">
        <v>10532</v>
      </c>
      <c r="F229" s="172" t="s">
        <v>675</v>
      </c>
      <c r="G229" s="189" t="s">
        <v>676</v>
      </c>
      <c r="H229" s="174" t="s">
        <v>36</v>
      </c>
      <c r="I229" s="175" t="s">
        <v>31</v>
      </c>
      <c r="J229" s="174"/>
    </row>
    <row r="230" spans="1:10" ht="120" customHeight="1">
      <c r="A230" s="386"/>
      <c r="B230" s="171" t="s">
        <v>658</v>
      </c>
      <c r="C230" s="172" t="s">
        <v>677</v>
      </c>
      <c r="D230" s="172" t="s">
        <v>10882</v>
      </c>
      <c r="E230" s="172" t="s">
        <v>10532</v>
      </c>
      <c r="F230" s="172" t="s">
        <v>678</v>
      </c>
      <c r="G230" s="189" t="s">
        <v>676</v>
      </c>
      <c r="H230" s="174" t="s">
        <v>36</v>
      </c>
      <c r="I230" s="175" t="s">
        <v>31</v>
      </c>
      <c r="J230" s="174"/>
    </row>
    <row r="231" spans="1:10" ht="120" customHeight="1">
      <c r="A231" s="386"/>
      <c r="B231" s="171" t="s">
        <v>658</v>
      </c>
      <c r="C231" s="172" t="s">
        <v>679</v>
      </c>
      <c r="D231" s="172" t="s">
        <v>10883</v>
      </c>
      <c r="E231" s="172" t="s">
        <v>10532</v>
      </c>
      <c r="F231" s="172" t="s">
        <v>680</v>
      </c>
      <c r="G231" s="189" t="s">
        <v>676</v>
      </c>
      <c r="H231" s="174" t="s">
        <v>36</v>
      </c>
      <c r="I231" s="175" t="s">
        <v>31</v>
      </c>
      <c r="J231" s="174"/>
    </row>
    <row r="232" spans="1:10" ht="120" customHeight="1">
      <c r="A232" s="386"/>
      <c r="B232" s="171" t="s">
        <v>658</v>
      </c>
      <c r="C232" s="172" t="s">
        <v>681</v>
      </c>
      <c r="D232" s="172" t="s">
        <v>10884</v>
      </c>
      <c r="E232" s="172" t="s">
        <v>10532</v>
      </c>
      <c r="F232" s="172" t="s">
        <v>682</v>
      </c>
      <c r="G232" s="209" t="s">
        <v>683</v>
      </c>
      <c r="H232" s="174" t="s">
        <v>36</v>
      </c>
      <c r="I232" s="175" t="s">
        <v>31</v>
      </c>
      <c r="J232" s="174"/>
    </row>
    <row r="233" spans="1:10" ht="120" customHeight="1">
      <c r="A233" s="386"/>
      <c r="B233" s="171" t="s">
        <v>658</v>
      </c>
      <c r="C233" s="172" t="s">
        <v>684</v>
      </c>
      <c r="D233" s="172" t="s">
        <v>10885</v>
      </c>
      <c r="E233" s="172" t="s">
        <v>10532</v>
      </c>
      <c r="F233" s="172" t="s">
        <v>685</v>
      </c>
      <c r="G233" s="189" t="s">
        <v>686</v>
      </c>
      <c r="H233" s="174" t="s">
        <v>36</v>
      </c>
      <c r="I233" s="175" t="s">
        <v>31</v>
      </c>
      <c r="J233" s="174"/>
    </row>
    <row r="234" spans="1:10" ht="120" customHeight="1">
      <c r="A234" s="386"/>
      <c r="B234" s="171" t="s">
        <v>658</v>
      </c>
      <c r="C234" s="172" t="s">
        <v>687</v>
      </c>
      <c r="D234" s="172" t="s">
        <v>10886</v>
      </c>
      <c r="E234" s="172" t="s">
        <v>10532</v>
      </c>
      <c r="F234" s="172" t="s">
        <v>688</v>
      </c>
      <c r="G234" s="189" t="s">
        <v>686</v>
      </c>
      <c r="H234" s="174" t="s">
        <v>36</v>
      </c>
      <c r="I234" s="175" t="s">
        <v>31</v>
      </c>
      <c r="J234" s="174"/>
    </row>
    <row r="235" spans="1:10" ht="120" customHeight="1">
      <c r="A235" s="386"/>
      <c r="B235" s="171" t="s">
        <v>658</v>
      </c>
      <c r="C235" s="172" t="s">
        <v>689</v>
      </c>
      <c r="D235" s="172" t="s">
        <v>10887</v>
      </c>
      <c r="E235" s="172" t="s">
        <v>10532</v>
      </c>
      <c r="F235" s="172" t="s">
        <v>690</v>
      </c>
      <c r="G235" s="189" t="s">
        <v>686</v>
      </c>
      <c r="H235" s="174" t="s">
        <v>36</v>
      </c>
      <c r="I235" s="175" t="s">
        <v>31</v>
      </c>
      <c r="J235" s="174"/>
    </row>
    <row r="236" spans="1:10" ht="120" customHeight="1">
      <c r="A236" s="386"/>
      <c r="B236" s="171" t="s">
        <v>658</v>
      </c>
      <c r="C236" s="172" t="s">
        <v>691</v>
      </c>
      <c r="D236" s="172" t="s">
        <v>10888</v>
      </c>
      <c r="E236" s="172" t="s">
        <v>10532</v>
      </c>
      <c r="F236" s="172" t="s">
        <v>692</v>
      </c>
      <c r="G236" s="189" t="s">
        <v>686</v>
      </c>
      <c r="H236" s="174" t="s">
        <v>36</v>
      </c>
      <c r="I236" s="175" t="s">
        <v>31</v>
      </c>
      <c r="J236" s="174"/>
    </row>
    <row r="237" spans="1:10" ht="120" customHeight="1">
      <c r="A237" s="386"/>
      <c r="B237" s="171" t="s">
        <v>658</v>
      </c>
      <c r="C237" s="172" t="s">
        <v>693</v>
      </c>
      <c r="D237" s="172" t="s">
        <v>10889</v>
      </c>
      <c r="E237" s="172" t="s">
        <v>10532</v>
      </c>
      <c r="F237" s="172" t="s">
        <v>694</v>
      </c>
      <c r="G237" s="189" t="s">
        <v>686</v>
      </c>
      <c r="H237" s="174" t="s">
        <v>36</v>
      </c>
      <c r="I237" s="175" t="s">
        <v>31</v>
      </c>
      <c r="J237" s="174"/>
    </row>
    <row r="238" spans="1:10" ht="120" customHeight="1">
      <c r="A238" s="386"/>
      <c r="B238" s="171" t="s">
        <v>658</v>
      </c>
      <c r="C238" s="172" t="s">
        <v>10890</v>
      </c>
      <c r="D238" s="172" t="s">
        <v>10891</v>
      </c>
      <c r="E238" s="172" t="s">
        <v>10532</v>
      </c>
      <c r="F238" s="172" t="s">
        <v>10892</v>
      </c>
      <c r="G238" s="189" t="s">
        <v>686</v>
      </c>
      <c r="H238" s="174" t="s">
        <v>36</v>
      </c>
      <c r="I238" s="175" t="s">
        <v>31</v>
      </c>
      <c r="J238" s="174"/>
    </row>
    <row r="239" spans="1:10" ht="120" customHeight="1">
      <c r="A239" s="386"/>
      <c r="B239" s="171" t="s">
        <v>658</v>
      </c>
      <c r="C239" s="172" t="s">
        <v>696</v>
      </c>
      <c r="D239" s="172" t="s">
        <v>10891</v>
      </c>
      <c r="E239" s="172" t="s">
        <v>10532</v>
      </c>
      <c r="F239" s="172" t="s">
        <v>695</v>
      </c>
      <c r="G239" s="189" t="s">
        <v>686</v>
      </c>
      <c r="H239" s="174" t="s">
        <v>36</v>
      </c>
      <c r="I239" s="175" t="s">
        <v>31</v>
      </c>
      <c r="J239" s="174"/>
    </row>
    <row r="240" spans="1:10" ht="120" customHeight="1">
      <c r="A240" s="386"/>
      <c r="B240" s="171" t="s">
        <v>658</v>
      </c>
      <c r="C240" s="210" t="s">
        <v>697</v>
      </c>
      <c r="D240" s="172" t="s">
        <v>10893</v>
      </c>
      <c r="E240" s="172" t="s">
        <v>10894</v>
      </c>
      <c r="F240" s="172" t="s">
        <v>12477</v>
      </c>
      <c r="G240" s="189" t="s">
        <v>10895</v>
      </c>
      <c r="H240" s="201" t="s">
        <v>30</v>
      </c>
      <c r="I240" s="174"/>
      <c r="J240" s="174"/>
    </row>
    <row r="241" spans="1:10" ht="120" customHeight="1">
      <c r="A241" s="386"/>
      <c r="B241" s="171" t="s">
        <v>658</v>
      </c>
      <c r="C241" s="210" t="s">
        <v>702</v>
      </c>
      <c r="D241" s="172" t="s">
        <v>10896</v>
      </c>
      <c r="E241" s="172" t="s">
        <v>10894</v>
      </c>
      <c r="F241" s="16" t="s">
        <v>703</v>
      </c>
      <c r="G241" s="189" t="s">
        <v>704</v>
      </c>
      <c r="H241" s="201" t="s">
        <v>36</v>
      </c>
      <c r="I241" s="174"/>
      <c r="J241" s="174"/>
    </row>
    <row r="242" spans="1:10" ht="120" customHeight="1">
      <c r="A242" s="386"/>
      <c r="B242" s="419" t="s">
        <v>658</v>
      </c>
      <c r="C242" s="274" t="s">
        <v>705</v>
      </c>
      <c r="D242" s="243" t="s">
        <v>10897</v>
      </c>
      <c r="E242" s="274" t="s">
        <v>23</v>
      </c>
      <c r="F242" s="420" t="s">
        <v>706</v>
      </c>
      <c r="G242" s="421" t="s">
        <v>707</v>
      </c>
      <c r="H242" s="422" t="s">
        <v>36</v>
      </c>
      <c r="I242" s="423"/>
      <c r="J242" s="424"/>
    </row>
    <row r="243" spans="1:10" ht="120" customHeight="1">
      <c r="A243" s="386"/>
      <c r="B243" s="171" t="s">
        <v>658</v>
      </c>
      <c r="C243" s="210" t="s">
        <v>708</v>
      </c>
      <c r="D243" s="172" t="s">
        <v>709</v>
      </c>
      <c r="E243" s="172" t="s">
        <v>710</v>
      </c>
      <c r="F243" s="172" t="s">
        <v>711</v>
      </c>
      <c r="G243" s="189" t="s">
        <v>712</v>
      </c>
      <c r="H243" s="174" t="s">
        <v>117</v>
      </c>
      <c r="I243" s="174"/>
      <c r="J243" s="174"/>
    </row>
    <row r="244" spans="1:10" ht="120" customHeight="1">
      <c r="A244" s="386"/>
      <c r="B244" s="171" t="s">
        <v>658</v>
      </c>
      <c r="C244" s="210" t="s">
        <v>713</v>
      </c>
      <c r="D244" s="172" t="s">
        <v>714</v>
      </c>
      <c r="E244" s="172" t="s">
        <v>710</v>
      </c>
      <c r="F244" s="172" t="s">
        <v>715</v>
      </c>
      <c r="G244" s="189" t="s">
        <v>716</v>
      </c>
      <c r="H244" s="174" t="s">
        <v>41</v>
      </c>
      <c r="I244" s="174"/>
      <c r="J244" s="174"/>
    </row>
    <row r="245" spans="1:10" ht="120" customHeight="1">
      <c r="A245" s="386"/>
      <c r="B245" s="171" t="s">
        <v>658</v>
      </c>
      <c r="C245" s="210" t="s">
        <v>717</v>
      </c>
      <c r="D245" s="172" t="s">
        <v>718</v>
      </c>
      <c r="E245" s="172" t="s">
        <v>719</v>
      </c>
      <c r="F245" s="172" t="s">
        <v>10898</v>
      </c>
      <c r="G245" s="189" t="s">
        <v>712</v>
      </c>
      <c r="H245" s="174" t="s">
        <v>117</v>
      </c>
      <c r="I245" s="174"/>
      <c r="J245" s="174"/>
    </row>
    <row r="246" spans="1:10" ht="120" customHeight="1">
      <c r="A246" s="386"/>
      <c r="B246" s="171" t="s">
        <v>658</v>
      </c>
      <c r="C246" s="210" t="s">
        <v>720</v>
      </c>
      <c r="D246" s="172" t="s">
        <v>721</v>
      </c>
      <c r="E246" s="172" t="s">
        <v>722</v>
      </c>
      <c r="F246" s="172" t="s">
        <v>723</v>
      </c>
      <c r="G246" s="189" t="s">
        <v>724</v>
      </c>
      <c r="H246" s="174" t="s">
        <v>41</v>
      </c>
      <c r="I246" s="174"/>
      <c r="J246" s="174"/>
    </row>
    <row r="247" spans="1:10" ht="120" customHeight="1">
      <c r="A247" s="386"/>
      <c r="B247" s="171" t="s">
        <v>658</v>
      </c>
      <c r="C247" s="210" t="s">
        <v>725</v>
      </c>
      <c r="D247" s="172" t="s">
        <v>10899</v>
      </c>
      <c r="E247" s="172" t="s">
        <v>726</v>
      </c>
      <c r="F247" s="172" t="s">
        <v>727</v>
      </c>
      <c r="G247" s="189" t="s">
        <v>728</v>
      </c>
      <c r="H247" s="174" t="s">
        <v>24</v>
      </c>
      <c r="I247" s="174" t="s">
        <v>31</v>
      </c>
      <c r="J247" s="174"/>
    </row>
    <row r="248" spans="1:10" ht="120" customHeight="1">
      <c r="A248" s="386"/>
      <c r="B248" s="171" t="s">
        <v>658</v>
      </c>
      <c r="C248" s="210" t="s">
        <v>729</v>
      </c>
      <c r="D248" s="172" t="s">
        <v>730</v>
      </c>
      <c r="E248" s="172" t="s">
        <v>726</v>
      </c>
      <c r="F248" s="172" t="s">
        <v>731</v>
      </c>
      <c r="G248" s="189" t="s">
        <v>728</v>
      </c>
      <c r="H248" s="201" t="s">
        <v>36</v>
      </c>
      <c r="I248" s="175" t="s">
        <v>31</v>
      </c>
      <c r="J248" s="174"/>
    </row>
    <row r="249" spans="1:10" ht="120" customHeight="1">
      <c r="A249" s="386"/>
      <c r="B249" s="171" t="s">
        <v>658</v>
      </c>
      <c r="C249" s="210" t="s">
        <v>732</v>
      </c>
      <c r="D249" s="172" t="s">
        <v>733</v>
      </c>
      <c r="E249" s="172" t="s">
        <v>726</v>
      </c>
      <c r="F249" s="172" t="s">
        <v>734</v>
      </c>
      <c r="G249" s="189" t="s">
        <v>735</v>
      </c>
      <c r="H249" s="201" t="s">
        <v>24</v>
      </c>
      <c r="I249" s="175" t="s">
        <v>31</v>
      </c>
      <c r="J249" s="174"/>
    </row>
    <row r="250" spans="1:10" ht="120" customHeight="1">
      <c r="A250" s="386"/>
      <c r="B250" s="171" t="s">
        <v>658</v>
      </c>
      <c r="C250" s="210" t="s">
        <v>736</v>
      </c>
      <c r="D250" s="172" t="s">
        <v>737</v>
      </c>
      <c r="E250" s="172" t="s">
        <v>726</v>
      </c>
      <c r="F250" s="172" t="s">
        <v>738</v>
      </c>
      <c r="G250" s="189" t="s">
        <v>739</v>
      </c>
      <c r="H250" s="201" t="s">
        <v>24</v>
      </c>
      <c r="I250" s="175" t="s">
        <v>31</v>
      </c>
      <c r="J250" s="174"/>
    </row>
    <row r="251" spans="1:10" ht="120" customHeight="1">
      <c r="A251" s="386"/>
      <c r="B251" s="171" t="s">
        <v>658</v>
      </c>
      <c r="C251" s="210" t="s">
        <v>740</v>
      </c>
      <c r="D251" s="172" t="s">
        <v>741</v>
      </c>
      <c r="E251" s="172" t="s">
        <v>726</v>
      </c>
      <c r="F251" s="172" t="s">
        <v>742</v>
      </c>
      <c r="G251" s="189" t="s">
        <v>735</v>
      </c>
      <c r="H251" s="201" t="s">
        <v>24</v>
      </c>
      <c r="I251" s="175" t="s">
        <v>31</v>
      </c>
      <c r="J251" s="174"/>
    </row>
    <row r="252" spans="1:10" ht="120" customHeight="1">
      <c r="A252" s="386"/>
      <c r="B252" s="171" t="s">
        <v>658</v>
      </c>
      <c r="C252" s="210" t="s">
        <v>743</v>
      </c>
      <c r="D252" s="172" t="s">
        <v>744</v>
      </c>
      <c r="E252" s="172" t="s">
        <v>726</v>
      </c>
      <c r="F252" s="172" t="s">
        <v>745</v>
      </c>
      <c r="G252" s="189" t="s">
        <v>746</v>
      </c>
      <c r="H252" s="201" t="s">
        <v>24</v>
      </c>
      <c r="I252" s="175" t="s">
        <v>31</v>
      </c>
      <c r="J252" s="174"/>
    </row>
    <row r="253" spans="1:10" ht="120" customHeight="1">
      <c r="A253" s="386"/>
      <c r="B253" s="171" t="s">
        <v>658</v>
      </c>
      <c r="C253" s="210" t="s">
        <v>747</v>
      </c>
      <c r="D253" s="172" t="s">
        <v>748</v>
      </c>
      <c r="E253" s="172" t="s">
        <v>726</v>
      </c>
      <c r="F253" s="172" t="s">
        <v>749</v>
      </c>
      <c r="G253" s="189" t="s">
        <v>746</v>
      </c>
      <c r="H253" s="201" t="s">
        <v>24</v>
      </c>
      <c r="I253" s="175" t="s">
        <v>31</v>
      </c>
      <c r="J253" s="174"/>
    </row>
    <row r="254" spans="1:10" ht="120" customHeight="1">
      <c r="A254" s="386"/>
      <c r="B254" s="171" t="s">
        <v>658</v>
      </c>
      <c r="C254" s="210" t="s">
        <v>750</v>
      </c>
      <c r="D254" s="172" t="s">
        <v>751</v>
      </c>
      <c r="E254" s="172" t="s">
        <v>726</v>
      </c>
      <c r="F254" s="172" t="s">
        <v>752</v>
      </c>
      <c r="G254" s="189" t="s">
        <v>746</v>
      </c>
      <c r="H254" s="201" t="s">
        <v>24</v>
      </c>
      <c r="I254" s="175" t="s">
        <v>31</v>
      </c>
      <c r="J254" s="174"/>
    </row>
    <row r="255" spans="1:10" ht="120" customHeight="1">
      <c r="A255" s="386"/>
      <c r="B255" s="171" t="s">
        <v>658</v>
      </c>
      <c r="C255" s="210" t="s">
        <v>753</v>
      </c>
      <c r="D255" s="172" t="s">
        <v>754</v>
      </c>
      <c r="E255" s="172" t="s">
        <v>726</v>
      </c>
      <c r="F255" s="172" t="s">
        <v>755</v>
      </c>
      <c r="G255" s="189" t="s">
        <v>746</v>
      </c>
      <c r="H255" s="201" t="s">
        <v>24</v>
      </c>
      <c r="I255" s="175" t="s">
        <v>31</v>
      </c>
      <c r="J255" s="174"/>
    </row>
    <row r="256" spans="1:10" ht="120" customHeight="1">
      <c r="A256" s="386"/>
      <c r="B256" s="171" t="s">
        <v>658</v>
      </c>
      <c r="C256" s="210" t="s">
        <v>756</v>
      </c>
      <c r="D256" s="172" t="s">
        <v>757</v>
      </c>
      <c r="E256" s="172" t="s">
        <v>726</v>
      </c>
      <c r="F256" s="172" t="s">
        <v>758</v>
      </c>
      <c r="G256" s="189" t="s">
        <v>759</v>
      </c>
      <c r="H256" s="201" t="s">
        <v>24</v>
      </c>
      <c r="I256" s="175" t="s">
        <v>31</v>
      </c>
      <c r="J256" s="174"/>
    </row>
    <row r="257" spans="1:10" ht="120" customHeight="1">
      <c r="A257" s="386"/>
      <c r="B257" s="171" t="s">
        <v>658</v>
      </c>
      <c r="C257" s="210" t="s">
        <v>760</v>
      </c>
      <c r="D257" s="172" t="s">
        <v>761</v>
      </c>
      <c r="E257" s="172" t="s">
        <v>726</v>
      </c>
      <c r="F257" s="172" t="s">
        <v>762</v>
      </c>
      <c r="G257" s="189" t="s">
        <v>759</v>
      </c>
      <c r="H257" s="201" t="s">
        <v>24</v>
      </c>
      <c r="I257" s="175" t="s">
        <v>31</v>
      </c>
      <c r="J257" s="174"/>
    </row>
    <row r="258" spans="1:10" ht="120" customHeight="1">
      <c r="A258" s="386"/>
      <c r="B258" s="171" t="s">
        <v>658</v>
      </c>
      <c r="C258" s="210" t="s">
        <v>763</v>
      </c>
      <c r="D258" s="172" t="s">
        <v>764</v>
      </c>
      <c r="E258" s="172" t="s">
        <v>726</v>
      </c>
      <c r="F258" s="172" t="s">
        <v>765</v>
      </c>
      <c r="G258" s="189" t="s">
        <v>759</v>
      </c>
      <c r="H258" s="201" t="s">
        <v>24</v>
      </c>
      <c r="I258" s="175" t="s">
        <v>31</v>
      </c>
      <c r="J258" s="174"/>
    </row>
    <row r="259" spans="1:10" ht="120" customHeight="1">
      <c r="A259" s="386"/>
      <c r="B259" s="171" t="s">
        <v>658</v>
      </c>
      <c r="C259" s="210" t="s">
        <v>766</v>
      </c>
      <c r="D259" s="172" t="s">
        <v>767</v>
      </c>
      <c r="E259" s="172" t="s">
        <v>726</v>
      </c>
      <c r="F259" s="172" t="s">
        <v>768</v>
      </c>
      <c r="G259" s="189" t="s">
        <v>759</v>
      </c>
      <c r="H259" s="201" t="s">
        <v>24</v>
      </c>
      <c r="I259" s="175" t="s">
        <v>31</v>
      </c>
      <c r="J259" s="174"/>
    </row>
    <row r="260" spans="1:10" ht="120" customHeight="1">
      <c r="A260" s="386"/>
      <c r="B260" s="171" t="s">
        <v>658</v>
      </c>
      <c r="C260" s="210" t="s">
        <v>769</v>
      </c>
      <c r="D260" s="172" t="s">
        <v>770</v>
      </c>
      <c r="E260" s="172" t="s">
        <v>726</v>
      </c>
      <c r="F260" s="172" t="s">
        <v>771</v>
      </c>
      <c r="G260" s="189" t="s">
        <v>759</v>
      </c>
      <c r="H260" s="201" t="s">
        <v>24</v>
      </c>
      <c r="I260" s="175" t="s">
        <v>31</v>
      </c>
      <c r="J260" s="174"/>
    </row>
    <row r="261" spans="1:10" ht="120" customHeight="1">
      <c r="A261" s="386"/>
      <c r="B261" s="171" t="s">
        <v>658</v>
      </c>
      <c r="C261" s="210" t="s">
        <v>772</v>
      </c>
      <c r="D261" s="172" t="s">
        <v>773</v>
      </c>
      <c r="E261" s="172" t="s">
        <v>726</v>
      </c>
      <c r="F261" s="172" t="s">
        <v>774</v>
      </c>
      <c r="G261" s="189" t="s">
        <v>759</v>
      </c>
      <c r="H261" s="201" t="s">
        <v>24</v>
      </c>
      <c r="I261" s="175" t="s">
        <v>31</v>
      </c>
      <c r="J261" s="174"/>
    </row>
    <row r="262" spans="1:10" ht="120" customHeight="1">
      <c r="A262" s="386"/>
      <c r="B262" s="178" t="s">
        <v>775</v>
      </c>
      <c r="C262" s="210" t="s">
        <v>776</v>
      </c>
      <c r="D262" s="177" t="s">
        <v>10900</v>
      </c>
      <c r="E262" s="172" t="s">
        <v>10532</v>
      </c>
      <c r="F262" s="172" t="s">
        <v>777</v>
      </c>
      <c r="G262" s="189" t="s">
        <v>664</v>
      </c>
      <c r="H262" s="174" t="s">
        <v>24</v>
      </c>
      <c r="I262" s="175" t="s">
        <v>31</v>
      </c>
      <c r="J262" s="174"/>
    </row>
    <row r="263" spans="1:10" ht="120" customHeight="1">
      <c r="A263" s="386"/>
      <c r="B263" s="178" t="s">
        <v>775</v>
      </c>
      <c r="C263" s="210" t="s">
        <v>778</v>
      </c>
      <c r="D263" s="172" t="s">
        <v>10901</v>
      </c>
      <c r="E263" s="172" t="s">
        <v>10532</v>
      </c>
      <c r="F263" s="172" t="s">
        <v>779</v>
      </c>
      <c r="G263" s="189" t="s">
        <v>664</v>
      </c>
      <c r="H263" s="174" t="s">
        <v>24</v>
      </c>
      <c r="I263" s="175" t="s">
        <v>31</v>
      </c>
      <c r="J263" s="174"/>
    </row>
    <row r="264" spans="1:10" ht="120" customHeight="1">
      <c r="A264" s="386"/>
      <c r="B264" s="178" t="s">
        <v>775</v>
      </c>
      <c r="C264" s="210" t="s">
        <v>780</v>
      </c>
      <c r="D264" s="172" t="s">
        <v>10902</v>
      </c>
      <c r="E264" s="172" t="s">
        <v>10532</v>
      </c>
      <c r="F264" s="172" t="s">
        <v>781</v>
      </c>
      <c r="G264" s="189" t="s">
        <v>664</v>
      </c>
      <c r="H264" s="174" t="s">
        <v>24</v>
      </c>
      <c r="I264" s="175" t="s">
        <v>31</v>
      </c>
      <c r="J264" s="174"/>
    </row>
    <row r="265" spans="1:10" ht="120" customHeight="1">
      <c r="A265" s="386"/>
      <c r="B265" s="178" t="s">
        <v>775</v>
      </c>
      <c r="C265" s="210" t="s">
        <v>782</v>
      </c>
      <c r="D265" s="172" t="s">
        <v>10903</v>
      </c>
      <c r="E265" s="172" t="s">
        <v>10532</v>
      </c>
      <c r="F265" s="172" t="s">
        <v>784</v>
      </c>
      <c r="G265" s="189" t="s">
        <v>667</v>
      </c>
      <c r="H265" s="174" t="s">
        <v>30</v>
      </c>
      <c r="I265" s="175" t="s">
        <v>31</v>
      </c>
      <c r="J265" s="174"/>
    </row>
    <row r="266" spans="1:10" ht="120" customHeight="1">
      <c r="A266" s="386"/>
      <c r="B266" s="178" t="s">
        <v>775</v>
      </c>
      <c r="C266" s="210" t="s">
        <v>785</v>
      </c>
      <c r="D266" s="172" t="s">
        <v>10904</v>
      </c>
      <c r="E266" s="172" t="s">
        <v>10532</v>
      </c>
      <c r="F266" s="172" t="s">
        <v>786</v>
      </c>
      <c r="G266" s="189" t="s">
        <v>667</v>
      </c>
      <c r="H266" s="174" t="s">
        <v>24</v>
      </c>
      <c r="I266" s="175" t="s">
        <v>31</v>
      </c>
      <c r="J266" s="174"/>
    </row>
    <row r="267" spans="1:10" ht="120" customHeight="1">
      <c r="A267" s="386"/>
      <c r="B267" s="178" t="s">
        <v>775</v>
      </c>
      <c r="C267" s="210" t="s">
        <v>787</v>
      </c>
      <c r="D267" s="172" t="s">
        <v>10905</v>
      </c>
      <c r="E267" s="172" t="s">
        <v>10532</v>
      </c>
      <c r="F267" s="172" t="s">
        <v>788</v>
      </c>
      <c r="G267" s="189" t="s">
        <v>676</v>
      </c>
      <c r="H267" s="174" t="s">
        <v>24</v>
      </c>
      <c r="I267" s="175" t="s">
        <v>31</v>
      </c>
      <c r="J267" s="174"/>
    </row>
    <row r="268" spans="1:10" ht="120" customHeight="1">
      <c r="A268" s="386"/>
      <c r="B268" s="178" t="s">
        <v>775</v>
      </c>
      <c r="C268" s="210" t="s">
        <v>789</v>
      </c>
      <c r="D268" s="172" t="s">
        <v>10906</v>
      </c>
      <c r="E268" s="172" t="s">
        <v>10532</v>
      </c>
      <c r="F268" s="172" t="s">
        <v>790</v>
      </c>
      <c r="G268" s="189" t="s">
        <v>676</v>
      </c>
      <c r="H268" s="174" t="s">
        <v>41</v>
      </c>
      <c r="I268" s="175" t="s">
        <v>31</v>
      </c>
      <c r="J268" s="174"/>
    </row>
    <row r="269" spans="1:10" ht="120" customHeight="1">
      <c r="A269" s="386"/>
      <c r="B269" s="178" t="s">
        <v>775</v>
      </c>
      <c r="C269" s="210" t="s">
        <v>791</v>
      </c>
      <c r="D269" s="172" t="s">
        <v>10907</v>
      </c>
      <c r="E269" s="172" t="s">
        <v>10532</v>
      </c>
      <c r="F269" s="172" t="s">
        <v>792</v>
      </c>
      <c r="G269" s="189" t="s">
        <v>676</v>
      </c>
      <c r="H269" s="174" t="s">
        <v>24</v>
      </c>
      <c r="I269" s="175" t="s">
        <v>31</v>
      </c>
      <c r="J269" s="174"/>
    </row>
    <row r="270" spans="1:10" ht="120" customHeight="1">
      <c r="A270" s="386"/>
      <c r="B270" s="178" t="s">
        <v>775</v>
      </c>
      <c r="C270" s="210" t="s">
        <v>793</v>
      </c>
      <c r="D270" s="172" t="s">
        <v>10908</v>
      </c>
      <c r="E270" s="172" t="s">
        <v>10532</v>
      </c>
      <c r="F270" s="172" t="s">
        <v>794</v>
      </c>
      <c r="G270" s="189" t="s">
        <v>676</v>
      </c>
      <c r="H270" s="174" t="s">
        <v>36</v>
      </c>
      <c r="I270" s="175" t="s">
        <v>31</v>
      </c>
      <c r="J270" s="174"/>
    </row>
    <row r="271" spans="1:10" ht="120" customHeight="1">
      <c r="A271" s="386"/>
      <c r="B271" s="178" t="s">
        <v>775</v>
      </c>
      <c r="C271" s="210" t="s">
        <v>795</v>
      </c>
      <c r="D271" s="172" t="s">
        <v>10909</v>
      </c>
      <c r="E271" s="172" t="s">
        <v>10532</v>
      </c>
      <c r="F271" s="172" t="s">
        <v>796</v>
      </c>
      <c r="G271" s="189" t="s">
        <v>676</v>
      </c>
      <c r="H271" s="174" t="s">
        <v>36</v>
      </c>
      <c r="I271" s="175" t="s">
        <v>31</v>
      </c>
      <c r="J271" s="174"/>
    </row>
    <row r="272" spans="1:10" ht="120" customHeight="1">
      <c r="A272" s="386"/>
      <c r="B272" s="178" t="s">
        <v>775</v>
      </c>
      <c r="C272" s="210" t="s">
        <v>797</v>
      </c>
      <c r="D272" s="172" t="s">
        <v>10910</v>
      </c>
      <c r="E272" s="172" t="s">
        <v>10532</v>
      </c>
      <c r="F272" s="172" t="s">
        <v>798</v>
      </c>
      <c r="G272" s="189" t="s">
        <v>686</v>
      </c>
      <c r="H272" s="174" t="s">
        <v>41</v>
      </c>
      <c r="I272" s="175"/>
      <c r="J272" s="174"/>
    </row>
    <row r="273" spans="1:10" ht="120" customHeight="1">
      <c r="A273" s="386"/>
      <c r="B273" s="178" t="s">
        <v>775</v>
      </c>
      <c r="C273" s="210" t="s">
        <v>799</v>
      </c>
      <c r="D273" s="172" t="s">
        <v>10911</v>
      </c>
      <c r="E273" s="172" t="s">
        <v>10532</v>
      </c>
      <c r="F273" s="172" t="s">
        <v>800</v>
      </c>
      <c r="G273" s="189" t="s">
        <v>686</v>
      </c>
      <c r="H273" s="174" t="s">
        <v>41</v>
      </c>
      <c r="I273" s="175"/>
      <c r="J273" s="174"/>
    </row>
    <row r="274" spans="1:10" ht="120" customHeight="1">
      <c r="A274" s="386"/>
      <c r="B274" s="178" t="s">
        <v>775</v>
      </c>
      <c r="C274" s="210" t="s">
        <v>801</v>
      </c>
      <c r="D274" s="172" t="s">
        <v>10912</v>
      </c>
      <c r="E274" s="172" t="s">
        <v>10532</v>
      </c>
      <c r="F274" s="172" t="s">
        <v>802</v>
      </c>
      <c r="G274" s="189" t="s">
        <v>676</v>
      </c>
      <c r="H274" s="174" t="s">
        <v>41</v>
      </c>
      <c r="I274" s="174"/>
      <c r="J274" s="174"/>
    </row>
    <row r="275" spans="1:10" ht="120" customHeight="1">
      <c r="A275" s="386"/>
      <c r="B275" s="178" t="s">
        <v>775</v>
      </c>
      <c r="C275" s="210" t="s">
        <v>803</v>
      </c>
      <c r="D275" s="172" t="s">
        <v>10913</v>
      </c>
      <c r="E275" s="172" t="s">
        <v>10532</v>
      </c>
      <c r="F275" s="172" t="s">
        <v>804</v>
      </c>
      <c r="G275" s="189" t="s">
        <v>686</v>
      </c>
      <c r="H275" s="174" t="s">
        <v>41</v>
      </c>
      <c r="I275" s="175"/>
      <c r="J275" s="174"/>
    </row>
    <row r="276" spans="1:10" ht="120" customHeight="1">
      <c r="A276" s="386"/>
      <c r="B276" s="178" t="s">
        <v>775</v>
      </c>
      <c r="C276" s="210" t="s">
        <v>805</v>
      </c>
      <c r="D276" s="172" t="s">
        <v>10914</v>
      </c>
      <c r="E276" s="172" t="s">
        <v>10532</v>
      </c>
      <c r="F276" s="172" t="s">
        <v>806</v>
      </c>
      <c r="G276" s="189" t="s">
        <v>807</v>
      </c>
      <c r="H276" s="174" t="s">
        <v>41</v>
      </c>
      <c r="I276" s="175"/>
      <c r="J276" s="174"/>
    </row>
    <row r="277" spans="1:10" ht="120" customHeight="1">
      <c r="A277" s="386"/>
      <c r="B277" s="178" t="s">
        <v>775</v>
      </c>
      <c r="C277" s="210" t="s">
        <v>808</v>
      </c>
      <c r="D277" s="172" t="s">
        <v>10915</v>
      </c>
      <c r="E277" s="172" t="s">
        <v>10532</v>
      </c>
      <c r="F277" s="172" t="s">
        <v>809</v>
      </c>
      <c r="G277" s="189" t="s">
        <v>810</v>
      </c>
      <c r="H277" s="174" t="s">
        <v>41</v>
      </c>
      <c r="I277" s="174" t="s">
        <v>31</v>
      </c>
      <c r="J277" s="174"/>
    </row>
    <row r="278" spans="1:10" ht="120" customHeight="1">
      <c r="A278" s="386"/>
      <c r="B278" s="178" t="s">
        <v>775</v>
      </c>
      <c r="C278" s="210" t="s">
        <v>811</v>
      </c>
      <c r="D278" s="172" t="s">
        <v>812</v>
      </c>
      <c r="E278" s="172" t="s">
        <v>726</v>
      </c>
      <c r="F278" s="172" t="s">
        <v>813</v>
      </c>
      <c r="G278" s="189" t="s">
        <v>814</v>
      </c>
      <c r="H278" s="174" t="s">
        <v>41</v>
      </c>
      <c r="I278" s="175" t="s">
        <v>31</v>
      </c>
      <c r="J278" s="174"/>
    </row>
    <row r="279" spans="1:10" ht="120" customHeight="1">
      <c r="A279" s="386"/>
      <c r="B279" s="178" t="s">
        <v>775</v>
      </c>
      <c r="C279" s="210" t="s">
        <v>815</v>
      </c>
      <c r="D279" s="172" t="s">
        <v>816</v>
      </c>
      <c r="E279" s="172" t="s">
        <v>726</v>
      </c>
      <c r="F279" s="172" t="s">
        <v>817</v>
      </c>
      <c r="G279" s="189" t="s">
        <v>818</v>
      </c>
      <c r="H279" s="174" t="s">
        <v>41</v>
      </c>
      <c r="I279" s="175" t="s">
        <v>31</v>
      </c>
      <c r="J279" s="174"/>
    </row>
    <row r="280" spans="1:10" ht="120" customHeight="1">
      <c r="A280" s="386"/>
      <c r="B280" s="178" t="s">
        <v>775</v>
      </c>
      <c r="C280" s="210" t="s">
        <v>819</v>
      </c>
      <c r="D280" s="172" t="s">
        <v>820</v>
      </c>
      <c r="E280" s="172" t="s">
        <v>726</v>
      </c>
      <c r="F280" s="172" t="s">
        <v>821</v>
      </c>
      <c r="G280" s="189" t="s">
        <v>814</v>
      </c>
      <c r="H280" s="174" t="s">
        <v>24</v>
      </c>
      <c r="I280" s="175" t="s">
        <v>31</v>
      </c>
      <c r="J280" s="174"/>
    </row>
    <row r="281" spans="1:10" ht="120" customHeight="1">
      <c r="A281" s="386"/>
      <c r="B281" s="178" t="s">
        <v>775</v>
      </c>
      <c r="C281" s="210" t="s">
        <v>822</v>
      </c>
      <c r="D281" s="172" t="s">
        <v>823</v>
      </c>
      <c r="E281" s="172" t="s">
        <v>726</v>
      </c>
      <c r="F281" s="172" t="s">
        <v>824</v>
      </c>
      <c r="G281" s="189" t="s">
        <v>707</v>
      </c>
      <c r="H281" s="174" t="s">
        <v>41</v>
      </c>
      <c r="I281" s="175" t="s">
        <v>31</v>
      </c>
      <c r="J281" s="174"/>
    </row>
    <row r="282" spans="1:10" ht="120" customHeight="1">
      <c r="A282" s="386"/>
      <c r="B282" s="178" t="s">
        <v>775</v>
      </c>
      <c r="C282" s="210" t="s">
        <v>825</v>
      </c>
      <c r="D282" s="172" t="s">
        <v>826</v>
      </c>
      <c r="E282" s="172" t="s">
        <v>726</v>
      </c>
      <c r="F282" s="172" t="s">
        <v>827</v>
      </c>
      <c r="G282" s="189" t="s">
        <v>707</v>
      </c>
      <c r="H282" s="174" t="s">
        <v>41</v>
      </c>
      <c r="I282" s="175" t="s">
        <v>31</v>
      </c>
      <c r="J282" s="174"/>
    </row>
    <row r="283" spans="1:10" ht="120" customHeight="1">
      <c r="A283" s="386"/>
      <c r="B283" s="178" t="s">
        <v>775</v>
      </c>
      <c r="C283" s="210" t="s">
        <v>828</v>
      </c>
      <c r="D283" s="172" t="s">
        <v>829</v>
      </c>
      <c r="E283" s="172" t="s">
        <v>726</v>
      </c>
      <c r="F283" s="172" t="s">
        <v>830</v>
      </c>
      <c r="G283" s="189" t="s">
        <v>831</v>
      </c>
      <c r="H283" s="174" t="s">
        <v>24</v>
      </c>
      <c r="I283" s="175" t="s">
        <v>31</v>
      </c>
      <c r="J283" s="174"/>
    </row>
    <row r="284" spans="1:10" ht="120" customHeight="1">
      <c r="A284" s="386"/>
      <c r="B284" s="178" t="s">
        <v>775</v>
      </c>
      <c r="C284" s="210" t="s">
        <v>832</v>
      </c>
      <c r="D284" s="172" t="s">
        <v>833</v>
      </c>
      <c r="E284" s="172" t="s">
        <v>726</v>
      </c>
      <c r="F284" s="172" t="s">
        <v>834</v>
      </c>
      <c r="G284" s="189" t="s">
        <v>831</v>
      </c>
      <c r="H284" s="174" t="s">
        <v>62</v>
      </c>
      <c r="I284" s="175" t="s">
        <v>31</v>
      </c>
      <c r="J284" s="174"/>
    </row>
    <row r="285" spans="1:10" ht="120" customHeight="1">
      <c r="A285" s="386"/>
      <c r="B285" s="211" t="s">
        <v>775</v>
      </c>
      <c r="C285" s="210" t="s">
        <v>835</v>
      </c>
      <c r="D285" s="172" t="s">
        <v>836</v>
      </c>
      <c r="E285" s="172" t="s">
        <v>726</v>
      </c>
      <c r="F285" s="172" t="s">
        <v>837</v>
      </c>
      <c r="G285" s="189" t="s">
        <v>831</v>
      </c>
      <c r="H285" s="174" t="s">
        <v>62</v>
      </c>
      <c r="I285" s="174" t="s">
        <v>31</v>
      </c>
      <c r="J285" s="174"/>
    </row>
    <row r="286" spans="1:10" ht="120" customHeight="1">
      <c r="A286" s="386"/>
      <c r="B286" s="178" t="s">
        <v>775</v>
      </c>
      <c r="C286" s="210" t="s">
        <v>838</v>
      </c>
      <c r="D286" s="172" t="s">
        <v>839</v>
      </c>
      <c r="E286" s="172" t="s">
        <v>726</v>
      </c>
      <c r="F286" s="172" t="s">
        <v>840</v>
      </c>
      <c r="G286" s="189" t="s">
        <v>831</v>
      </c>
      <c r="H286" s="174" t="s">
        <v>62</v>
      </c>
      <c r="I286" s="175" t="s">
        <v>31</v>
      </c>
      <c r="J286" s="174"/>
    </row>
    <row r="287" spans="1:10" ht="120" customHeight="1">
      <c r="A287" s="386"/>
      <c r="B287" s="178" t="s">
        <v>775</v>
      </c>
      <c r="C287" s="210" t="s">
        <v>841</v>
      </c>
      <c r="D287" s="172" t="s">
        <v>842</v>
      </c>
      <c r="E287" s="172" t="s">
        <v>726</v>
      </c>
      <c r="F287" s="172" t="s">
        <v>843</v>
      </c>
      <c r="G287" s="189" t="s">
        <v>831</v>
      </c>
      <c r="H287" s="174" t="s">
        <v>30</v>
      </c>
      <c r="I287" s="175" t="s">
        <v>31</v>
      </c>
      <c r="J287" s="174"/>
    </row>
    <row r="288" spans="1:10" ht="120" customHeight="1">
      <c r="A288" s="386"/>
      <c r="B288" s="178" t="s">
        <v>775</v>
      </c>
      <c r="C288" s="210" t="s">
        <v>844</v>
      </c>
      <c r="D288" s="172" t="s">
        <v>845</v>
      </c>
      <c r="E288" s="172" t="s">
        <v>726</v>
      </c>
      <c r="F288" s="172" t="s">
        <v>846</v>
      </c>
      <c r="G288" s="189" t="s">
        <v>847</v>
      </c>
      <c r="H288" s="174" t="s">
        <v>62</v>
      </c>
      <c r="I288" s="175" t="s">
        <v>31</v>
      </c>
      <c r="J288" s="174"/>
    </row>
    <row r="289" spans="1:10" ht="120" customHeight="1">
      <c r="A289" s="386"/>
      <c r="B289" s="178" t="s">
        <v>775</v>
      </c>
      <c r="C289" s="210" t="s">
        <v>848</v>
      </c>
      <c r="D289" s="172" t="s">
        <v>849</v>
      </c>
      <c r="E289" s="172" t="s">
        <v>726</v>
      </c>
      <c r="F289" s="172" t="s">
        <v>850</v>
      </c>
      <c r="G289" s="189" t="s">
        <v>847</v>
      </c>
      <c r="H289" s="174" t="s">
        <v>62</v>
      </c>
      <c r="I289" s="175" t="s">
        <v>31</v>
      </c>
      <c r="J289" s="174"/>
    </row>
    <row r="290" spans="1:10" ht="120" customHeight="1">
      <c r="A290" s="386"/>
      <c r="B290" s="178" t="s">
        <v>775</v>
      </c>
      <c r="C290" s="210" t="s">
        <v>851</v>
      </c>
      <c r="D290" s="172" t="s">
        <v>852</v>
      </c>
      <c r="E290" s="172" t="s">
        <v>726</v>
      </c>
      <c r="F290" s="172" t="s">
        <v>853</v>
      </c>
      <c r="G290" s="189" t="s">
        <v>831</v>
      </c>
      <c r="H290" s="174" t="s">
        <v>62</v>
      </c>
      <c r="I290" s="175" t="s">
        <v>31</v>
      </c>
      <c r="J290" s="174"/>
    </row>
    <row r="291" spans="1:10" ht="120" customHeight="1">
      <c r="A291" s="386"/>
      <c r="B291" s="178" t="s">
        <v>775</v>
      </c>
      <c r="C291" s="210" t="s">
        <v>854</v>
      </c>
      <c r="D291" s="172" t="s">
        <v>855</v>
      </c>
      <c r="E291" s="172" t="s">
        <v>726</v>
      </c>
      <c r="F291" s="172" t="s">
        <v>856</v>
      </c>
      <c r="G291" s="189" t="s">
        <v>847</v>
      </c>
      <c r="H291" s="174" t="s">
        <v>62</v>
      </c>
      <c r="I291" s="175" t="s">
        <v>31</v>
      </c>
      <c r="J291" s="174"/>
    </row>
    <row r="292" spans="1:10" ht="120" customHeight="1">
      <c r="A292" s="386"/>
      <c r="B292" s="178" t="s">
        <v>775</v>
      </c>
      <c r="C292" s="210" t="s">
        <v>857</v>
      </c>
      <c r="D292" s="172" t="s">
        <v>858</v>
      </c>
      <c r="E292" s="172" t="s">
        <v>726</v>
      </c>
      <c r="F292" s="172" t="s">
        <v>859</v>
      </c>
      <c r="G292" s="189" t="s">
        <v>831</v>
      </c>
      <c r="H292" s="174" t="s">
        <v>62</v>
      </c>
      <c r="I292" s="175" t="s">
        <v>31</v>
      </c>
      <c r="J292" s="174"/>
    </row>
    <row r="293" spans="1:10" ht="120" customHeight="1">
      <c r="A293" s="386"/>
      <c r="B293" s="417" t="s">
        <v>860</v>
      </c>
      <c r="C293" s="414" t="s">
        <v>861</v>
      </c>
      <c r="D293" s="425" t="s">
        <v>10916</v>
      </c>
      <c r="E293" s="414" t="s">
        <v>10917</v>
      </c>
      <c r="F293" s="414" t="s">
        <v>10918</v>
      </c>
      <c r="G293" s="414" t="s">
        <v>863</v>
      </c>
      <c r="H293" s="174" t="s">
        <v>41</v>
      </c>
      <c r="I293" s="174"/>
      <c r="J293" s="174"/>
    </row>
    <row r="294" spans="1:10" ht="120" customHeight="1">
      <c r="A294" s="386"/>
      <c r="B294" s="418" t="s">
        <v>860</v>
      </c>
      <c r="C294" s="426" t="s">
        <v>864</v>
      </c>
      <c r="D294" s="317" t="s">
        <v>10919</v>
      </c>
      <c r="E294" s="317" t="s">
        <v>10917</v>
      </c>
      <c r="F294" s="317" t="s">
        <v>10920</v>
      </c>
      <c r="G294" s="317" t="s">
        <v>865</v>
      </c>
      <c r="H294" s="181" t="s">
        <v>24</v>
      </c>
      <c r="I294" s="181"/>
      <c r="J294" s="181"/>
    </row>
    <row r="295" spans="1:10" ht="120" customHeight="1">
      <c r="A295" s="386"/>
      <c r="B295" s="418" t="s">
        <v>860</v>
      </c>
      <c r="C295" s="414" t="s">
        <v>866</v>
      </c>
      <c r="D295" s="416" t="s">
        <v>10921</v>
      </c>
      <c r="E295" s="413" t="s">
        <v>10917</v>
      </c>
      <c r="F295" s="413" t="s">
        <v>10922</v>
      </c>
      <c r="G295" s="413" t="s">
        <v>865</v>
      </c>
      <c r="H295" s="174" t="s">
        <v>30</v>
      </c>
      <c r="I295" s="174"/>
      <c r="J295" s="174"/>
    </row>
    <row r="296" spans="1:10" ht="120" customHeight="1">
      <c r="A296" s="386"/>
      <c r="B296" s="418" t="s">
        <v>860</v>
      </c>
      <c r="C296" s="414" t="s">
        <v>869</v>
      </c>
      <c r="D296" s="416" t="s">
        <v>10923</v>
      </c>
      <c r="E296" s="413" t="s">
        <v>10917</v>
      </c>
      <c r="F296" s="413" t="s">
        <v>10924</v>
      </c>
      <c r="G296" s="413" t="s">
        <v>863</v>
      </c>
      <c r="H296" s="179" t="s">
        <v>24</v>
      </c>
      <c r="I296" s="174"/>
      <c r="J296" s="174"/>
    </row>
    <row r="297" spans="1:10" ht="120" customHeight="1">
      <c r="A297" s="386"/>
      <c r="B297" s="418" t="s">
        <v>860</v>
      </c>
      <c r="C297" s="414" t="s">
        <v>870</v>
      </c>
      <c r="D297" s="416" t="s">
        <v>10925</v>
      </c>
      <c r="E297" s="413" t="s">
        <v>10917</v>
      </c>
      <c r="F297" s="413" t="s">
        <v>10926</v>
      </c>
      <c r="G297" s="413" t="s">
        <v>865</v>
      </c>
      <c r="H297" s="179" t="s">
        <v>24</v>
      </c>
      <c r="I297" s="174"/>
      <c r="J297" s="174"/>
    </row>
    <row r="298" spans="1:10" ht="120" customHeight="1">
      <c r="A298" s="386"/>
      <c r="B298" s="418" t="s">
        <v>860</v>
      </c>
      <c r="C298" s="414" t="s">
        <v>871</v>
      </c>
      <c r="D298" s="416" t="s">
        <v>10927</v>
      </c>
      <c r="E298" s="413" t="s">
        <v>10917</v>
      </c>
      <c r="F298" s="413" t="s">
        <v>10928</v>
      </c>
      <c r="G298" s="413" t="s">
        <v>865</v>
      </c>
      <c r="H298" s="179" t="s">
        <v>24</v>
      </c>
      <c r="I298" s="174"/>
      <c r="J298" s="174"/>
    </row>
    <row r="299" spans="1:10" ht="120" customHeight="1">
      <c r="A299" s="386"/>
      <c r="B299" s="418" t="s">
        <v>860</v>
      </c>
      <c r="C299" s="414" t="s">
        <v>872</v>
      </c>
      <c r="D299" s="416" t="s">
        <v>873</v>
      </c>
      <c r="E299" s="413" t="s">
        <v>874</v>
      </c>
      <c r="F299" s="413" t="s">
        <v>875</v>
      </c>
      <c r="G299" s="413" t="s">
        <v>876</v>
      </c>
      <c r="H299" s="201" t="s">
        <v>24</v>
      </c>
      <c r="I299" s="201"/>
      <c r="J299" s="201"/>
    </row>
    <row r="300" spans="1:10" ht="120" customHeight="1">
      <c r="A300" s="386"/>
      <c r="B300" s="418" t="s">
        <v>860</v>
      </c>
      <c r="C300" s="414" t="s">
        <v>877</v>
      </c>
      <c r="D300" s="416" t="s">
        <v>878</v>
      </c>
      <c r="E300" s="413" t="s">
        <v>874</v>
      </c>
      <c r="F300" s="413" t="s">
        <v>879</v>
      </c>
      <c r="G300" s="413" t="s">
        <v>880</v>
      </c>
      <c r="H300" s="201" t="s">
        <v>24</v>
      </c>
      <c r="I300" s="201"/>
      <c r="J300" s="201"/>
    </row>
    <row r="301" spans="1:10" ht="120" customHeight="1">
      <c r="A301" s="386"/>
      <c r="B301" s="418" t="s">
        <v>860</v>
      </c>
      <c r="C301" s="414" t="s">
        <v>881</v>
      </c>
      <c r="D301" s="416" t="s">
        <v>882</v>
      </c>
      <c r="E301" s="413" t="s">
        <v>874</v>
      </c>
      <c r="F301" s="413" t="s">
        <v>883</v>
      </c>
      <c r="G301" s="413" t="s">
        <v>876</v>
      </c>
      <c r="H301" s="427" t="s">
        <v>30</v>
      </c>
      <c r="I301" s="201"/>
      <c r="J301" s="201"/>
    </row>
    <row r="302" spans="1:10" ht="120" customHeight="1">
      <c r="A302" s="386"/>
      <c r="B302" s="418" t="s">
        <v>860</v>
      </c>
      <c r="C302" s="414" t="s">
        <v>884</v>
      </c>
      <c r="D302" s="416" t="s">
        <v>10929</v>
      </c>
      <c r="E302" s="413" t="s">
        <v>10917</v>
      </c>
      <c r="F302" s="413" t="s">
        <v>10930</v>
      </c>
      <c r="G302" s="413" t="s">
        <v>863</v>
      </c>
      <c r="H302" s="427" t="s">
        <v>24</v>
      </c>
      <c r="I302" s="201"/>
      <c r="J302" s="201"/>
    </row>
    <row r="303" spans="1:10" ht="120" customHeight="1">
      <c r="A303" s="386"/>
      <c r="B303" s="418" t="s">
        <v>860</v>
      </c>
      <c r="C303" s="414" t="s">
        <v>885</v>
      </c>
      <c r="D303" s="416" t="s">
        <v>10931</v>
      </c>
      <c r="E303" s="413" t="s">
        <v>10917</v>
      </c>
      <c r="F303" s="413" t="s">
        <v>10932</v>
      </c>
      <c r="G303" s="413" t="s">
        <v>865</v>
      </c>
      <c r="H303" s="427" t="s">
        <v>24</v>
      </c>
      <c r="I303" s="201"/>
      <c r="J303" s="201"/>
    </row>
    <row r="304" spans="1:10" ht="120" customHeight="1">
      <c r="A304" s="386"/>
      <c r="B304" s="418" t="s">
        <v>860</v>
      </c>
      <c r="C304" s="414" t="s">
        <v>886</v>
      </c>
      <c r="D304" s="416" t="s">
        <v>10933</v>
      </c>
      <c r="E304" s="413" t="s">
        <v>10917</v>
      </c>
      <c r="F304" s="413" t="s">
        <v>10934</v>
      </c>
      <c r="G304" s="413" t="s">
        <v>865</v>
      </c>
      <c r="H304" s="179" t="s">
        <v>30</v>
      </c>
      <c r="I304" s="174"/>
      <c r="J304" s="174"/>
    </row>
    <row r="305" spans="1:10" ht="120" customHeight="1">
      <c r="A305" s="386"/>
      <c r="B305" s="418" t="s">
        <v>860</v>
      </c>
      <c r="C305" s="414" t="s">
        <v>889</v>
      </c>
      <c r="D305" s="416" t="s">
        <v>10935</v>
      </c>
      <c r="E305" s="413" t="s">
        <v>10917</v>
      </c>
      <c r="F305" s="413" t="s">
        <v>10936</v>
      </c>
      <c r="G305" s="413" t="s">
        <v>863</v>
      </c>
      <c r="H305" s="179" t="s">
        <v>36</v>
      </c>
      <c r="I305" s="174"/>
      <c r="J305" s="174"/>
    </row>
    <row r="306" spans="1:10" ht="120" customHeight="1">
      <c r="A306" s="386"/>
      <c r="B306" s="418" t="s">
        <v>860</v>
      </c>
      <c r="C306" s="414" t="s">
        <v>890</v>
      </c>
      <c r="D306" s="416" t="s">
        <v>10937</v>
      </c>
      <c r="E306" s="413" t="s">
        <v>10917</v>
      </c>
      <c r="F306" s="413" t="s">
        <v>10938</v>
      </c>
      <c r="G306" s="413" t="s">
        <v>865</v>
      </c>
      <c r="H306" s="179" t="s">
        <v>36</v>
      </c>
      <c r="I306" s="174"/>
      <c r="J306" s="174"/>
    </row>
    <row r="307" spans="1:10" ht="120" customHeight="1">
      <c r="A307" s="386"/>
      <c r="B307" s="418" t="s">
        <v>860</v>
      </c>
      <c r="C307" s="414" t="s">
        <v>891</v>
      </c>
      <c r="D307" s="416" t="s">
        <v>10939</v>
      </c>
      <c r="E307" s="413" t="s">
        <v>10917</v>
      </c>
      <c r="F307" s="413" t="s">
        <v>10940</v>
      </c>
      <c r="G307" s="413" t="s">
        <v>865</v>
      </c>
      <c r="H307" s="427" t="s">
        <v>24</v>
      </c>
      <c r="I307" s="201"/>
      <c r="J307" s="201"/>
    </row>
    <row r="308" spans="1:10" ht="120" customHeight="1">
      <c r="A308" s="386"/>
      <c r="B308" s="418" t="s">
        <v>860</v>
      </c>
      <c r="C308" s="414" t="s">
        <v>892</v>
      </c>
      <c r="D308" s="416" t="s">
        <v>893</v>
      </c>
      <c r="E308" s="413" t="s">
        <v>874</v>
      </c>
      <c r="F308" s="413" t="s">
        <v>894</v>
      </c>
      <c r="G308" s="413" t="s">
        <v>876</v>
      </c>
      <c r="H308" s="427" t="s">
        <v>24</v>
      </c>
      <c r="I308" s="201"/>
      <c r="J308" s="201"/>
    </row>
    <row r="309" spans="1:10" ht="120" customHeight="1">
      <c r="A309" s="386"/>
      <c r="B309" s="418" t="s">
        <v>860</v>
      </c>
      <c r="C309" s="414" t="s">
        <v>895</v>
      </c>
      <c r="D309" s="416" t="s">
        <v>896</v>
      </c>
      <c r="E309" s="413" t="s">
        <v>874</v>
      </c>
      <c r="F309" s="413" t="s">
        <v>897</v>
      </c>
      <c r="G309" s="413" t="s">
        <v>898</v>
      </c>
      <c r="H309" s="427" t="s">
        <v>30</v>
      </c>
      <c r="I309" s="201"/>
      <c r="J309" s="201"/>
    </row>
    <row r="310" spans="1:10" ht="120" customHeight="1">
      <c r="A310" s="386"/>
      <c r="B310" s="418" t="s">
        <v>860</v>
      </c>
      <c r="C310" s="414" t="s">
        <v>899</v>
      </c>
      <c r="D310" s="416" t="s">
        <v>900</v>
      </c>
      <c r="E310" s="413" t="s">
        <v>874</v>
      </c>
      <c r="F310" s="413" t="s">
        <v>901</v>
      </c>
      <c r="G310" s="413" t="s">
        <v>898</v>
      </c>
      <c r="H310" s="427" t="s">
        <v>36</v>
      </c>
      <c r="I310" s="201"/>
      <c r="J310" s="201"/>
    </row>
    <row r="311" spans="1:10" ht="120" customHeight="1">
      <c r="A311" s="386"/>
      <c r="B311" s="418" t="s">
        <v>860</v>
      </c>
      <c r="C311" s="414" t="s">
        <v>902</v>
      </c>
      <c r="D311" s="416" t="s">
        <v>903</v>
      </c>
      <c r="E311" s="413" t="s">
        <v>23</v>
      </c>
      <c r="F311" s="413" t="s">
        <v>904</v>
      </c>
      <c r="G311" s="413" t="s">
        <v>905</v>
      </c>
      <c r="H311" s="179" t="s">
        <v>24</v>
      </c>
      <c r="I311" s="174"/>
      <c r="J311" s="174"/>
    </row>
    <row r="312" spans="1:10" ht="120" customHeight="1">
      <c r="A312" s="386"/>
      <c r="B312" s="418" t="s">
        <v>860</v>
      </c>
      <c r="C312" s="414" t="s">
        <v>906</v>
      </c>
      <c r="D312" s="416" t="s">
        <v>907</v>
      </c>
      <c r="E312" s="413" t="s">
        <v>23</v>
      </c>
      <c r="F312" s="413" t="s">
        <v>908</v>
      </c>
      <c r="G312" s="413" t="s">
        <v>909</v>
      </c>
      <c r="H312" s="427" t="s">
        <v>24</v>
      </c>
      <c r="I312" s="201"/>
      <c r="J312" s="201"/>
    </row>
    <row r="313" spans="1:10" ht="120" customHeight="1">
      <c r="A313" s="386"/>
      <c r="B313" s="418" t="s">
        <v>860</v>
      </c>
      <c r="C313" s="414" t="s">
        <v>910</v>
      </c>
      <c r="D313" s="416" t="s">
        <v>911</v>
      </c>
      <c r="E313" s="413" t="s">
        <v>23</v>
      </c>
      <c r="F313" s="413" t="s">
        <v>912</v>
      </c>
      <c r="G313" s="413" t="s">
        <v>913</v>
      </c>
      <c r="H313" s="427" t="s">
        <v>36</v>
      </c>
      <c r="I313" s="201"/>
      <c r="J313" s="201"/>
    </row>
    <row r="314" spans="1:10" ht="120" customHeight="1">
      <c r="A314" s="386"/>
      <c r="B314" s="418" t="s">
        <v>860</v>
      </c>
      <c r="C314" s="414" t="s">
        <v>914</v>
      </c>
      <c r="D314" s="416" t="s">
        <v>915</v>
      </c>
      <c r="E314" s="413" t="s">
        <v>23</v>
      </c>
      <c r="F314" s="413" t="s">
        <v>916</v>
      </c>
      <c r="G314" s="413" t="s">
        <v>917</v>
      </c>
      <c r="H314" s="427" t="s">
        <v>36</v>
      </c>
      <c r="I314" s="201"/>
      <c r="J314" s="201"/>
    </row>
    <row r="315" spans="1:10" ht="120" customHeight="1">
      <c r="A315" s="386"/>
      <c r="B315" s="418" t="s">
        <v>860</v>
      </c>
      <c r="C315" s="414" t="s">
        <v>918</v>
      </c>
      <c r="D315" s="416" t="s">
        <v>919</v>
      </c>
      <c r="E315" s="413" t="s">
        <v>10917</v>
      </c>
      <c r="F315" s="413" t="s">
        <v>920</v>
      </c>
      <c r="G315" s="413" t="s">
        <v>921</v>
      </c>
      <c r="H315" s="201" t="s">
        <v>184</v>
      </c>
      <c r="I315" s="201"/>
      <c r="J315" s="201"/>
    </row>
    <row r="316" spans="1:10" ht="120" customHeight="1">
      <c r="A316" s="386"/>
      <c r="B316" s="428" t="s">
        <v>860</v>
      </c>
      <c r="C316" s="429" t="s">
        <v>922</v>
      </c>
      <c r="D316" s="430" t="s">
        <v>10941</v>
      </c>
      <c r="E316" s="431" t="s">
        <v>874</v>
      </c>
      <c r="F316" s="431" t="s">
        <v>923</v>
      </c>
      <c r="G316" s="431" t="s">
        <v>924</v>
      </c>
      <c r="H316" s="408" t="s">
        <v>184</v>
      </c>
      <c r="I316" s="201"/>
      <c r="J316" s="201"/>
    </row>
    <row r="317" spans="1:10" ht="120" customHeight="1">
      <c r="A317" s="380"/>
      <c r="B317" s="417" t="s">
        <v>10942</v>
      </c>
      <c r="C317" s="222" t="s">
        <v>10943</v>
      </c>
      <c r="D317" s="432" t="s">
        <v>10944</v>
      </c>
      <c r="E317" s="210" t="s">
        <v>10532</v>
      </c>
      <c r="F317" s="210" t="s">
        <v>10945</v>
      </c>
      <c r="G317" s="209" t="s">
        <v>10946</v>
      </c>
      <c r="H317" s="201" t="s">
        <v>24</v>
      </c>
      <c r="I317" s="318"/>
      <c r="J317" s="201"/>
    </row>
    <row r="318" spans="1:10" ht="120" customHeight="1">
      <c r="A318" s="380"/>
      <c r="B318" s="417" t="s">
        <v>10942</v>
      </c>
      <c r="C318" s="222" t="s">
        <v>10947</v>
      </c>
      <c r="D318" s="432" t="s">
        <v>10948</v>
      </c>
      <c r="E318" s="210" t="s">
        <v>10532</v>
      </c>
      <c r="F318" s="210" t="s">
        <v>10949</v>
      </c>
      <c r="G318" s="209" t="s">
        <v>10950</v>
      </c>
      <c r="H318" s="201" t="s">
        <v>24</v>
      </c>
      <c r="I318" s="318"/>
      <c r="J318" s="201"/>
    </row>
    <row r="319" spans="1:10" ht="120" customHeight="1">
      <c r="A319" s="380"/>
      <c r="B319" s="417" t="s">
        <v>10942</v>
      </c>
      <c r="C319" s="222" t="s">
        <v>10951</v>
      </c>
      <c r="D319" s="432" t="s">
        <v>10952</v>
      </c>
      <c r="E319" s="210" t="s">
        <v>10532</v>
      </c>
      <c r="F319" s="210" t="s">
        <v>10953</v>
      </c>
      <c r="G319" s="209" t="s">
        <v>10954</v>
      </c>
      <c r="H319" s="201" t="s">
        <v>24</v>
      </c>
      <c r="I319" s="318"/>
      <c r="J319" s="201"/>
    </row>
    <row r="320" spans="1:10" ht="120" customHeight="1">
      <c r="A320" s="380"/>
      <c r="B320" s="417" t="s">
        <v>10942</v>
      </c>
      <c r="C320" s="222" t="s">
        <v>10955</v>
      </c>
      <c r="D320" s="432" t="s">
        <v>10956</v>
      </c>
      <c r="E320" s="210" t="s">
        <v>10532</v>
      </c>
      <c r="F320" s="210" t="s">
        <v>10957</v>
      </c>
      <c r="G320" s="209" t="s">
        <v>10958</v>
      </c>
      <c r="H320" s="201" t="s">
        <v>24</v>
      </c>
      <c r="I320" s="318"/>
      <c r="J320" s="201"/>
    </row>
    <row r="321" spans="1:10" ht="120" customHeight="1">
      <c r="A321" s="380"/>
      <c r="B321" s="417" t="s">
        <v>10942</v>
      </c>
      <c r="C321" s="222" t="s">
        <v>10959</v>
      </c>
      <c r="D321" s="432" t="s">
        <v>10960</v>
      </c>
      <c r="E321" s="210" t="s">
        <v>10532</v>
      </c>
      <c r="F321" s="210" t="s">
        <v>10961</v>
      </c>
      <c r="G321" s="209" t="s">
        <v>10962</v>
      </c>
      <c r="H321" s="201" t="s">
        <v>24</v>
      </c>
      <c r="I321" s="318"/>
      <c r="J321" s="201"/>
    </row>
    <row r="322" spans="1:10" ht="120" customHeight="1">
      <c r="A322" s="380"/>
      <c r="B322" s="417" t="s">
        <v>10942</v>
      </c>
      <c r="C322" s="222" t="s">
        <v>10963</v>
      </c>
      <c r="D322" s="432" t="s">
        <v>10964</v>
      </c>
      <c r="E322" s="210" t="s">
        <v>10532</v>
      </c>
      <c r="F322" s="210" t="s">
        <v>10965</v>
      </c>
      <c r="G322" s="209" t="s">
        <v>10966</v>
      </c>
      <c r="H322" s="201" t="s">
        <v>24</v>
      </c>
      <c r="I322" s="318"/>
      <c r="J322" s="201"/>
    </row>
    <row r="323" spans="1:10" ht="120" customHeight="1">
      <c r="A323" s="380"/>
      <c r="B323" s="417" t="s">
        <v>10942</v>
      </c>
      <c r="C323" s="222" t="s">
        <v>10967</v>
      </c>
      <c r="D323" s="432" t="s">
        <v>10968</v>
      </c>
      <c r="E323" s="210" t="s">
        <v>10532</v>
      </c>
      <c r="F323" s="210" t="s">
        <v>10969</v>
      </c>
      <c r="G323" s="209" t="s">
        <v>10970</v>
      </c>
      <c r="H323" s="201" t="s">
        <v>24</v>
      </c>
      <c r="I323" s="318"/>
      <c r="J323" s="201"/>
    </row>
    <row r="324" spans="1:10" ht="120" customHeight="1">
      <c r="A324" s="380"/>
      <c r="B324" s="417" t="s">
        <v>10942</v>
      </c>
      <c r="C324" s="222" t="s">
        <v>10971</v>
      </c>
      <c r="D324" s="432" t="s">
        <v>10972</v>
      </c>
      <c r="E324" s="210" t="s">
        <v>10532</v>
      </c>
      <c r="F324" s="210" t="s">
        <v>10973</v>
      </c>
      <c r="G324" s="209" t="s">
        <v>10974</v>
      </c>
      <c r="H324" s="201" t="s">
        <v>24</v>
      </c>
      <c r="I324" s="318"/>
      <c r="J324" s="201"/>
    </row>
    <row r="325" spans="1:10" ht="120" customHeight="1">
      <c r="A325" s="380"/>
      <c r="B325" s="417" t="s">
        <v>10975</v>
      </c>
      <c r="C325" s="16" t="s">
        <v>10976</v>
      </c>
      <c r="D325" s="433" t="s">
        <v>10977</v>
      </c>
      <c r="E325" s="172" t="s">
        <v>10532</v>
      </c>
      <c r="F325" s="172" t="s">
        <v>10978</v>
      </c>
      <c r="G325" s="189" t="s">
        <v>10979</v>
      </c>
      <c r="H325" s="201" t="s">
        <v>233</v>
      </c>
      <c r="I325" s="318"/>
      <c r="J325" s="201"/>
    </row>
    <row r="326" spans="1:10" ht="120" customHeight="1">
      <c r="A326" s="380"/>
      <c r="B326" s="417" t="s">
        <v>10975</v>
      </c>
      <c r="C326" s="16" t="s">
        <v>10980</v>
      </c>
      <c r="D326" s="433" t="s">
        <v>10981</v>
      </c>
      <c r="E326" s="172" t="s">
        <v>10532</v>
      </c>
      <c r="F326" s="172" t="s">
        <v>10982</v>
      </c>
      <c r="G326" s="189" t="s">
        <v>10983</v>
      </c>
      <c r="H326" s="201" t="s">
        <v>233</v>
      </c>
      <c r="I326" s="318"/>
      <c r="J326" s="201"/>
    </row>
    <row r="327" spans="1:10" ht="120" customHeight="1">
      <c r="A327" s="380"/>
      <c r="B327" s="417" t="s">
        <v>10975</v>
      </c>
      <c r="C327" s="16" t="s">
        <v>10984</v>
      </c>
      <c r="D327" s="433" t="s">
        <v>10985</v>
      </c>
      <c r="E327" s="172" t="s">
        <v>10532</v>
      </c>
      <c r="F327" s="172" t="s">
        <v>10986</v>
      </c>
      <c r="G327" s="189" t="s">
        <v>10979</v>
      </c>
      <c r="H327" s="201" t="s">
        <v>184</v>
      </c>
      <c r="I327" s="318"/>
      <c r="J327" s="201"/>
    </row>
    <row r="328" spans="1:10" ht="120" customHeight="1">
      <c r="A328" s="380"/>
      <c r="B328" s="417" t="s">
        <v>10975</v>
      </c>
      <c r="C328" s="16" t="s">
        <v>10987</v>
      </c>
      <c r="D328" s="433" t="s">
        <v>10988</v>
      </c>
      <c r="E328" s="172" t="s">
        <v>10532</v>
      </c>
      <c r="F328" s="172" t="s">
        <v>10989</v>
      </c>
      <c r="G328" s="189" t="s">
        <v>10983</v>
      </c>
      <c r="H328" s="201" t="s">
        <v>24</v>
      </c>
      <c r="I328" s="318"/>
      <c r="J328" s="201"/>
    </row>
    <row r="329" spans="1:10" ht="120" customHeight="1">
      <c r="A329" s="380"/>
      <c r="B329" s="417" t="s">
        <v>10975</v>
      </c>
      <c r="C329" s="16" t="s">
        <v>10990</v>
      </c>
      <c r="D329" s="433" t="s">
        <v>10991</v>
      </c>
      <c r="E329" s="172" t="s">
        <v>10532</v>
      </c>
      <c r="F329" s="172" t="s">
        <v>10992</v>
      </c>
      <c r="G329" s="189" t="s">
        <v>10979</v>
      </c>
      <c r="H329" s="201" t="s">
        <v>117</v>
      </c>
      <c r="I329" s="318"/>
      <c r="J329" s="201"/>
    </row>
    <row r="330" spans="1:10" ht="120" customHeight="1">
      <c r="A330" s="380"/>
      <c r="B330" s="417" t="s">
        <v>10975</v>
      </c>
      <c r="C330" s="16" t="s">
        <v>10993</v>
      </c>
      <c r="D330" s="433" t="s">
        <v>10994</v>
      </c>
      <c r="E330" s="172" t="s">
        <v>10532</v>
      </c>
      <c r="F330" s="172" t="s">
        <v>10995</v>
      </c>
      <c r="G330" s="189" t="s">
        <v>10983</v>
      </c>
      <c r="H330" s="201" t="s">
        <v>86</v>
      </c>
      <c r="I330" s="318"/>
      <c r="J330" s="201"/>
    </row>
    <row r="331" spans="1:10" ht="120" customHeight="1">
      <c r="A331" s="380"/>
      <c r="B331" s="417" t="s">
        <v>10975</v>
      </c>
      <c r="C331" s="16" t="s">
        <v>10996</v>
      </c>
      <c r="D331" s="433" t="s">
        <v>10997</v>
      </c>
      <c r="E331" s="172" t="s">
        <v>10532</v>
      </c>
      <c r="F331" s="172" t="s">
        <v>10998</v>
      </c>
      <c r="G331" s="189" t="s">
        <v>10983</v>
      </c>
      <c r="H331" s="201" t="s">
        <v>62</v>
      </c>
      <c r="I331" s="318"/>
      <c r="J331" s="201"/>
    </row>
    <row r="332" spans="1:10" ht="120" customHeight="1">
      <c r="A332" s="380"/>
      <c r="B332" s="417" t="s">
        <v>10975</v>
      </c>
      <c r="C332" s="16" t="s">
        <v>10999</v>
      </c>
      <c r="D332" s="433" t="s">
        <v>11000</v>
      </c>
      <c r="E332" s="172" t="s">
        <v>10597</v>
      </c>
      <c r="F332" s="172" t="s">
        <v>11001</v>
      </c>
      <c r="G332" s="189" t="s">
        <v>10983</v>
      </c>
      <c r="H332" s="201" t="s">
        <v>62</v>
      </c>
      <c r="I332" s="318"/>
      <c r="J332" s="201"/>
    </row>
    <row r="333" spans="1:10" ht="120" customHeight="1">
      <c r="A333" s="380"/>
      <c r="B333" s="417" t="s">
        <v>10975</v>
      </c>
      <c r="C333" s="16" t="s">
        <v>11002</v>
      </c>
      <c r="D333" s="433" t="s">
        <v>11003</v>
      </c>
      <c r="E333" s="172" t="s">
        <v>11004</v>
      </c>
      <c r="F333" s="172" t="s">
        <v>11005</v>
      </c>
      <c r="G333" s="189" t="s">
        <v>10979</v>
      </c>
      <c r="H333" s="201"/>
      <c r="I333" s="318"/>
      <c r="J333" s="201"/>
    </row>
    <row r="334" spans="1:10" ht="120" customHeight="1">
      <c r="A334" s="380"/>
      <c r="B334" s="417" t="s">
        <v>10975</v>
      </c>
      <c r="C334" s="16" t="s">
        <v>11006</v>
      </c>
      <c r="D334" s="433" t="s">
        <v>11007</v>
      </c>
      <c r="E334" s="172" t="s">
        <v>11008</v>
      </c>
      <c r="F334" s="172" t="s">
        <v>11009</v>
      </c>
      <c r="G334" s="189" t="s">
        <v>10979</v>
      </c>
      <c r="H334" s="201"/>
      <c r="I334" s="318"/>
      <c r="J334" s="201"/>
    </row>
    <row r="335" spans="1:10" ht="120" customHeight="1">
      <c r="A335" s="380"/>
      <c r="B335" s="417" t="s">
        <v>10975</v>
      </c>
      <c r="C335" s="16" t="s">
        <v>11010</v>
      </c>
      <c r="D335" s="433" t="s">
        <v>11011</v>
      </c>
      <c r="E335" s="172" t="s">
        <v>11012</v>
      </c>
      <c r="F335" s="172" t="s">
        <v>11013</v>
      </c>
      <c r="G335" s="189" t="s">
        <v>10979</v>
      </c>
      <c r="H335" s="201"/>
      <c r="I335" s="318"/>
      <c r="J335" s="201"/>
    </row>
    <row r="336" spans="1:10" ht="120" customHeight="1">
      <c r="A336" s="380"/>
      <c r="B336" s="417" t="s">
        <v>10975</v>
      </c>
      <c r="C336" s="16" t="s">
        <v>11014</v>
      </c>
      <c r="D336" s="433" t="s">
        <v>11015</v>
      </c>
      <c r="E336" s="172" t="s">
        <v>11016</v>
      </c>
      <c r="F336" s="172" t="s">
        <v>11017</v>
      </c>
      <c r="G336" s="189" t="s">
        <v>10979</v>
      </c>
      <c r="H336" s="201"/>
      <c r="I336" s="318"/>
      <c r="J336" s="201"/>
    </row>
    <row r="337" spans="1:10" ht="120" customHeight="1">
      <c r="A337" s="380"/>
      <c r="B337" s="417" t="s">
        <v>10975</v>
      </c>
      <c r="C337" s="16" t="s">
        <v>11018</v>
      </c>
      <c r="D337" s="433" t="s">
        <v>11019</v>
      </c>
      <c r="E337" s="172" t="s">
        <v>11012</v>
      </c>
      <c r="F337" s="172" t="s">
        <v>11020</v>
      </c>
      <c r="G337" s="189" t="s">
        <v>10979</v>
      </c>
      <c r="H337" s="201"/>
      <c r="I337" s="318"/>
      <c r="J337" s="201"/>
    </row>
    <row r="338" spans="1:10" ht="120" customHeight="1">
      <c r="A338" s="387" t="s">
        <v>11021</v>
      </c>
      <c r="B338" s="412" t="s">
        <v>11022</v>
      </c>
      <c r="C338" s="413" t="s">
        <v>11023</v>
      </c>
      <c r="D338" s="416" t="s">
        <v>11024</v>
      </c>
      <c r="E338" s="413" t="s">
        <v>10791</v>
      </c>
      <c r="F338" s="413" t="s">
        <v>11025</v>
      </c>
      <c r="G338" s="413" t="s">
        <v>926</v>
      </c>
      <c r="H338" s="405" t="s">
        <v>41</v>
      </c>
      <c r="I338" s="174"/>
      <c r="J338" s="174"/>
    </row>
    <row r="339" spans="1:10" ht="120" customHeight="1">
      <c r="A339" s="387"/>
      <c r="B339" s="412" t="s">
        <v>925</v>
      </c>
      <c r="C339" s="414" t="s">
        <v>11026</v>
      </c>
      <c r="D339" s="416" t="s">
        <v>11027</v>
      </c>
      <c r="E339" s="413" t="s">
        <v>11028</v>
      </c>
      <c r="F339" s="413" t="s">
        <v>11029</v>
      </c>
      <c r="G339" s="413" t="s">
        <v>928</v>
      </c>
      <c r="H339" s="174" t="s">
        <v>929</v>
      </c>
      <c r="I339" s="174"/>
      <c r="J339" s="174"/>
    </row>
    <row r="340" spans="1:10" ht="120" customHeight="1">
      <c r="A340" s="387"/>
      <c r="B340" s="412" t="s">
        <v>925</v>
      </c>
      <c r="C340" s="414" t="s">
        <v>11030</v>
      </c>
      <c r="D340" s="416" t="s">
        <v>11031</v>
      </c>
      <c r="E340" s="413" t="s">
        <v>10791</v>
      </c>
      <c r="F340" s="413" t="s">
        <v>11032</v>
      </c>
      <c r="G340" s="413" t="s">
        <v>11033</v>
      </c>
      <c r="H340" s="174" t="s">
        <v>233</v>
      </c>
      <c r="I340" s="174"/>
      <c r="J340" s="174"/>
    </row>
    <row r="341" spans="1:10" ht="120" customHeight="1">
      <c r="A341" s="387"/>
      <c r="B341" s="412" t="s">
        <v>925</v>
      </c>
      <c r="C341" s="414" t="s">
        <v>934</v>
      </c>
      <c r="D341" s="416" t="s">
        <v>11034</v>
      </c>
      <c r="E341" s="413" t="s">
        <v>23</v>
      </c>
      <c r="F341" s="413" t="s">
        <v>11035</v>
      </c>
      <c r="G341" s="413" t="s">
        <v>936</v>
      </c>
      <c r="H341" s="174" t="s">
        <v>117</v>
      </c>
      <c r="I341" s="174"/>
      <c r="J341" s="174"/>
    </row>
    <row r="342" spans="1:10" ht="120" customHeight="1">
      <c r="A342" s="387"/>
      <c r="B342" s="412" t="s">
        <v>925</v>
      </c>
      <c r="C342" s="414" t="s">
        <v>937</v>
      </c>
      <c r="D342" s="416" t="s">
        <v>11036</v>
      </c>
      <c r="E342" s="413" t="s">
        <v>23</v>
      </c>
      <c r="F342" s="413" t="s">
        <v>11037</v>
      </c>
      <c r="G342" s="413" t="s">
        <v>939</v>
      </c>
      <c r="H342" s="174" t="s">
        <v>117</v>
      </c>
      <c r="I342" s="174"/>
      <c r="J342" s="174"/>
    </row>
    <row r="343" spans="1:10" ht="120" customHeight="1">
      <c r="A343" s="387"/>
      <c r="B343" s="412" t="s">
        <v>925</v>
      </c>
      <c r="C343" s="414" t="s">
        <v>940</v>
      </c>
      <c r="D343" s="416" t="s">
        <v>11038</v>
      </c>
      <c r="E343" s="413" t="s">
        <v>23</v>
      </c>
      <c r="F343" s="413" t="s">
        <v>11039</v>
      </c>
      <c r="G343" s="413" t="s">
        <v>942</v>
      </c>
      <c r="H343" s="174" t="s">
        <v>117</v>
      </c>
      <c r="I343" s="174"/>
      <c r="J343" s="174"/>
    </row>
    <row r="344" spans="1:10" ht="120" customHeight="1">
      <c r="A344" s="387"/>
      <c r="B344" s="412" t="s">
        <v>925</v>
      </c>
      <c r="C344" s="414" t="s">
        <v>943</v>
      </c>
      <c r="D344" s="416" t="s">
        <v>11040</v>
      </c>
      <c r="E344" s="413" t="s">
        <v>23</v>
      </c>
      <c r="F344" s="413" t="s">
        <v>11041</v>
      </c>
      <c r="G344" s="413" t="s">
        <v>944</v>
      </c>
      <c r="H344" s="174" t="s">
        <v>117</v>
      </c>
      <c r="I344" s="174"/>
      <c r="J344" s="174"/>
    </row>
    <row r="345" spans="1:10" ht="120" customHeight="1">
      <c r="A345" s="387"/>
      <c r="B345" s="412" t="s">
        <v>925</v>
      </c>
      <c r="C345" s="414" t="s">
        <v>945</v>
      </c>
      <c r="D345" s="416" t="s">
        <v>11042</v>
      </c>
      <c r="E345" s="413" t="s">
        <v>23</v>
      </c>
      <c r="F345" s="413" t="s">
        <v>11043</v>
      </c>
      <c r="G345" s="413" t="s">
        <v>11044</v>
      </c>
      <c r="H345" s="174" t="s">
        <v>117</v>
      </c>
      <c r="I345" s="174"/>
      <c r="J345" s="174"/>
    </row>
    <row r="346" spans="1:10" ht="120" customHeight="1">
      <c r="A346" s="387"/>
      <c r="B346" s="412" t="s">
        <v>925</v>
      </c>
      <c r="C346" s="414" t="s">
        <v>948</v>
      </c>
      <c r="D346" s="416" t="s">
        <v>11045</v>
      </c>
      <c r="E346" s="413" t="s">
        <v>927</v>
      </c>
      <c r="F346" s="413" t="s">
        <v>11046</v>
      </c>
      <c r="G346" s="413" t="s">
        <v>11047</v>
      </c>
      <c r="H346" s="174" t="s">
        <v>929</v>
      </c>
      <c r="I346" s="174"/>
      <c r="J346" s="174"/>
    </row>
    <row r="347" spans="1:10" ht="120" customHeight="1">
      <c r="A347" s="387"/>
      <c r="B347" s="412" t="s">
        <v>925</v>
      </c>
      <c r="C347" s="414" t="s">
        <v>11048</v>
      </c>
      <c r="D347" s="416" t="s">
        <v>11049</v>
      </c>
      <c r="E347" s="413" t="s">
        <v>927</v>
      </c>
      <c r="F347" s="413" t="s">
        <v>11050</v>
      </c>
      <c r="G347" s="413" t="s">
        <v>11051</v>
      </c>
      <c r="H347" s="174" t="s">
        <v>929</v>
      </c>
      <c r="I347" s="174"/>
      <c r="J347" s="174"/>
    </row>
    <row r="348" spans="1:10" ht="120" customHeight="1">
      <c r="A348" s="387"/>
      <c r="B348" s="412" t="s">
        <v>925</v>
      </c>
      <c r="C348" s="414" t="s">
        <v>952</v>
      </c>
      <c r="D348" s="416" t="s">
        <v>11052</v>
      </c>
      <c r="E348" s="413" t="s">
        <v>23</v>
      </c>
      <c r="F348" s="413" t="s">
        <v>11053</v>
      </c>
      <c r="G348" s="413" t="s">
        <v>954</v>
      </c>
      <c r="H348" s="174" t="s">
        <v>929</v>
      </c>
      <c r="I348" s="174"/>
      <c r="J348" s="174"/>
    </row>
    <row r="349" spans="1:10" ht="120" customHeight="1">
      <c r="A349" s="387"/>
      <c r="B349" s="412" t="s">
        <v>925</v>
      </c>
      <c r="C349" s="414" t="s">
        <v>955</v>
      </c>
      <c r="D349" s="416" t="s">
        <v>956</v>
      </c>
      <c r="E349" s="413" t="s">
        <v>23</v>
      </c>
      <c r="F349" s="413" t="s">
        <v>11054</v>
      </c>
      <c r="G349" s="413" t="s">
        <v>957</v>
      </c>
      <c r="H349" s="174" t="s">
        <v>86</v>
      </c>
      <c r="I349" s="174"/>
      <c r="J349" s="174"/>
    </row>
    <row r="350" spans="1:10" ht="120" customHeight="1">
      <c r="A350" s="387"/>
      <c r="B350" s="412" t="s">
        <v>925</v>
      </c>
      <c r="C350" s="414" t="s">
        <v>958</v>
      </c>
      <c r="D350" s="416" t="s">
        <v>959</v>
      </c>
      <c r="E350" s="413" t="s">
        <v>23</v>
      </c>
      <c r="F350" s="413" t="s">
        <v>11055</v>
      </c>
      <c r="G350" s="413" t="s">
        <v>957</v>
      </c>
      <c r="H350" s="174" t="s">
        <v>24</v>
      </c>
      <c r="I350" s="174"/>
      <c r="J350" s="174"/>
    </row>
    <row r="351" spans="1:10" ht="120" customHeight="1">
      <c r="A351" s="387"/>
      <c r="B351" s="412" t="s">
        <v>925</v>
      </c>
      <c r="C351" s="414" t="s">
        <v>960</v>
      </c>
      <c r="D351" s="416" t="s">
        <v>961</v>
      </c>
      <c r="E351" s="413" t="s">
        <v>23</v>
      </c>
      <c r="F351" s="413" t="s">
        <v>11056</v>
      </c>
      <c r="G351" s="413" t="s">
        <v>957</v>
      </c>
      <c r="H351" s="174" t="s">
        <v>36</v>
      </c>
      <c r="I351" s="174"/>
      <c r="J351" s="174"/>
    </row>
    <row r="352" spans="1:10" ht="120" customHeight="1">
      <c r="A352" s="387"/>
      <c r="B352" s="412" t="s">
        <v>925</v>
      </c>
      <c r="C352" s="414" t="s">
        <v>11057</v>
      </c>
      <c r="D352" s="416" t="s">
        <v>962</v>
      </c>
      <c r="E352" s="413" t="s">
        <v>23</v>
      </c>
      <c r="F352" s="413" t="s">
        <v>11058</v>
      </c>
      <c r="G352" s="413" t="s">
        <v>957</v>
      </c>
      <c r="H352" s="174" t="s">
        <v>36</v>
      </c>
      <c r="I352" s="174"/>
      <c r="J352" s="174"/>
    </row>
    <row r="353" spans="1:10" ht="120" customHeight="1">
      <c r="A353" s="387"/>
      <c r="B353" s="412" t="s">
        <v>925</v>
      </c>
      <c r="C353" s="414" t="s">
        <v>11059</v>
      </c>
      <c r="D353" s="416" t="s">
        <v>963</v>
      </c>
      <c r="E353" s="413" t="s">
        <v>23</v>
      </c>
      <c r="F353" s="413" t="s">
        <v>11060</v>
      </c>
      <c r="G353" s="413" t="s">
        <v>957</v>
      </c>
      <c r="H353" s="174" t="s">
        <v>36</v>
      </c>
      <c r="I353" s="174"/>
      <c r="J353" s="174"/>
    </row>
    <row r="354" spans="1:10" ht="120" customHeight="1">
      <c r="A354" s="387"/>
      <c r="B354" s="412" t="s">
        <v>925</v>
      </c>
      <c r="C354" s="414" t="s">
        <v>964</v>
      </c>
      <c r="D354" s="416" t="s">
        <v>11061</v>
      </c>
      <c r="E354" s="413" t="s">
        <v>966</v>
      </c>
      <c r="F354" s="413" t="s">
        <v>11062</v>
      </c>
      <c r="G354" s="413" t="s">
        <v>967</v>
      </c>
      <c r="H354" s="201" t="s">
        <v>24</v>
      </c>
      <c r="I354" s="174"/>
      <c r="J354" s="174"/>
    </row>
    <row r="355" spans="1:10" ht="120" customHeight="1">
      <c r="A355" s="387"/>
      <c r="B355" s="418" t="s">
        <v>968</v>
      </c>
      <c r="C355" s="413" t="s">
        <v>969</v>
      </c>
      <c r="D355" s="413" t="s">
        <v>11063</v>
      </c>
      <c r="E355" s="413" t="s">
        <v>23</v>
      </c>
      <c r="F355" s="413" t="s">
        <v>11064</v>
      </c>
      <c r="G355" s="413" t="s">
        <v>970</v>
      </c>
      <c r="H355" s="174" t="s">
        <v>41</v>
      </c>
      <c r="I355" s="174"/>
      <c r="J355" s="174"/>
    </row>
    <row r="356" spans="1:10" ht="120" customHeight="1">
      <c r="A356" s="387"/>
      <c r="B356" s="418" t="s">
        <v>968</v>
      </c>
      <c r="C356" s="413" t="s">
        <v>971</v>
      </c>
      <c r="D356" s="416" t="s">
        <v>11065</v>
      </c>
      <c r="E356" s="413" t="s">
        <v>23</v>
      </c>
      <c r="F356" s="413" t="s">
        <v>11066</v>
      </c>
      <c r="G356" s="413" t="s">
        <v>974</v>
      </c>
      <c r="H356" s="174" t="s">
        <v>233</v>
      </c>
      <c r="I356" s="174"/>
      <c r="J356" s="174"/>
    </row>
    <row r="357" spans="1:10" ht="120" customHeight="1">
      <c r="A357" s="387"/>
      <c r="B357" s="418" t="s">
        <v>968</v>
      </c>
      <c r="C357" s="413" t="s">
        <v>975</v>
      </c>
      <c r="D357" s="416" t="s">
        <v>11067</v>
      </c>
      <c r="E357" s="413" t="s">
        <v>23</v>
      </c>
      <c r="F357" s="413" t="s">
        <v>11068</v>
      </c>
      <c r="G357" s="413" t="s">
        <v>976</v>
      </c>
      <c r="H357" s="174" t="s">
        <v>117</v>
      </c>
      <c r="I357" s="174"/>
      <c r="J357" s="174"/>
    </row>
    <row r="358" spans="1:10" ht="120" customHeight="1">
      <c r="A358" s="387"/>
      <c r="B358" s="418" t="s">
        <v>968</v>
      </c>
      <c r="C358" s="413" t="s">
        <v>977</v>
      </c>
      <c r="D358" s="416" t="s">
        <v>11069</v>
      </c>
      <c r="E358" s="413" t="s">
        <v>23</v>
      </c>
      <c r="F358" s="413" t="s">
        <v>11070</v>
      </c>
      <c r="G358" s="413" t="s">
        <v>979</v>
      </c>
      <c r="H358" s="174" t="s">
        <v>117</v>
      </c>
      <c r="I358" s="174"/>
      <c r="J358" s="174"/>
    </row>
    <row r="359" spans="1:10" ht="120" customHeight="1">
      <c r="A359" s="387"/>
      <c r="B359" s="418" t="s">
        <v>968</v>
      </c>
      <c r="C359" s="413" t="s">
        <v>980</v>
      </c>
      <c r="D359" s="416" t="s">
        <v>981</v>
      </c>
      <c r="E359" s="413" t="s">
        <v>23</v>
      </c>
      <c r="F359" s="413" t="s">
        <v>982</v>
      </c>
      <c r="G359" s="413" t="s">
        <v>957</v>
      </c>
      <c r="H359" s="174" t="s">
        <v>117</v>
      </c>
      <c r="I359" s="174"/>
      <c r="J359" s="174"/>
    </row>
    <row r="360" spans="1:10" ht="120" customHeight="1">
      <c r="A360" s="387"/>
      <c r="B360" s="418" t="s">
        <v>968</v>
      </c>
      <c r="C360" s="413" t="s">
        <v>983</v>
      </c>
      <c r="D360" s="416" t="s">
        <v>984</v>
      </c>
      <c r="E360" s="413" t="s">
        <v>23</v>
      </c>
      <c r="F360" s="413" t="s">
        <v>985</v>
      </c>
      <c r="G360" s="413" t="s">
        <v>986</v>
      </c>
      <c r="H360" s="174" t="s">
        <v>117</v>
      </c>
      <c r="I360" s="174"/>
      <c r="J360" s="174"/>
    </row>
    <row r="361" spans="1:10" ht="120" customHeight="1">
      <c r="A361" s="387"/>
      <c r="B361" s="418" t="s">
        <v>968</v>
      </c>
      <c r="C361" s="413" t="s">
        <v>987</v>
      </c>
      <c r="D361" s="416" t="s">
        <v>988</v>
      </c>
      <c r="E361" s="413" t="s">
        <v>23</v>
      </c>
      <c r="F361" s="413" t="s">
        <v>989</v>
      </c>
      <c r="G361" s="413" t="s">
        <v>957</v>
      </c>
      <c r="H361" s="174" t="s">
        <v>117</v>
      </c>
      <c r="I361" s="174"/>
      <c r="J361" s="174"/>
    </row>
    <row r="362" spans="1:10" ht="120" customHeight="1">
      <c r="A362" s="387"/>
      <c r="B362" s="418" t="s">
        <v>968</v>
      </c>
      <c r="C362" s="413" t="s">
        <v>11071</v>
      </c>
      <c r="D362" s="416" t="s">
        <v>11072</v>
      </c>
      <c r="E362" s="413" t="s">
        <v>23</v>
      </c>
      <c r="F362" s="413" t="s">
        <v>990</v>
      </c>
      <c r="G362" s="413" t="s">
        <v>957</v>
      </c>
      <c r="H362" s="174" t="s">
        <v>117</v>
      </c>
      <c r="I362" s="174"/>
      <c r="J362" s="174"/>
    </row>
    <row r="363" spans="1:10" ht="120" customHeight="1">
      <c r="A363" s="387"/>
      <c r="B363" s="418" t="s">
        <v>7596</v>
      </c>
      <c r="C363" s="413" t="s">
        <v>991</v>
      </c>
      <c r="D363" s="416" t="s">
        <v>11073</v>
      </c>
      <c r="E363" s="413" t="s">
        <v>23</v>
      </c>
      <c r="F363" s="413" t="s">
        <v>11074</v>
      </c>
      <c r="G363" s="413" t="s">
        <v>947</v>
      </c>
      <c r="H363" s="174" t="s">
        <v>117</v>
      </c>
      <c r="I363" s="174"/>
      <c r="J363" s="174"/>
    </row>
    <row r="364" spans="1:10" ht="120" customHeight="1">
      <c r="A364" s="376"/>
      <c r="B364" s="418" t="s">
        <v>968</v>
      </c>
      <c r="C364" s="413" t="s">
        <v>992</v>
      </c>
      <c r="D364" s="416" t="s">
        <v>11075</v>
      </c>
      <c r="E364" s="413" t="s">
        <v>927</v>
      </c>
      <c r="F364" s="413" t="s">
        <v>11076</v>
      </c>
      <c r="G364" s="413" t="s">
        <v>994</v>
      </c>
      <c r="H364" s="174" t="s">
        <v>929</v>
      </c>
      <c r="I364" s="174"/>
      <c r="J364" s="174"/>
    </row>
    <row r="365" spans="1:10" ht="120" customHeight="1">
      <c r="A365" s="170"/>
      <c r="B365" s="418" t="s">
        <v>968</v>
      </c>
      <c r="C365" s="413" t="s">
        <v>11077</v>
      </c>
      <c r="D365" s="416" t="s">
        <v>11078</v>
      </c>
      <c r="E365" s="413" t="s">
        <v>11028</v>
      </c>
      <c r="F365" s="413" t="s">
        <v>995</v>
      </c>
      <c r="G365" s="413" t="s">
        <v>11079</v>
      </c>
      <c r="H365" s="174" t="s">
        <v>36</v>
      </c>
      <c r="I365" s="174"/>
      <c r="J365" s="174"/>
    </row>
    <row r="366" spans="1:10" ht="120" customHeight="1">
      <c r="A366" s="170"/>
      <c r="B366" s="418" t="s">
        <v>11080</v>
      </c>
      <c r="C366" s="413" t="s">
        <v>11081</v>
      </c>
      <c r="D366" s="416" t="s">
        <v>11082</v>
      </c>
      <c r="E366" s="413" t="s">
        <v>11028</v>
      </c>
      <c r="F366" s="413" t="s">
        <v>11083</v>
      </c>
      <c r="G366" s="413" t="s">
        <v>11084</v>
      </c>
      <c r="H366" s="174" t="s">
        <v>233</v>
      </c>
      <c r="I366" s="174"/>
      <c r="J366" s="174"/>
    </row>
    <row r="367" spans="1:10" ht="120" customHeight="1">
      <c r="A367" s="381" t="s">
        <v>11085</v>
      </c>
      <c r="B367" s="178" t="s">
        <v>997</v>
      </c>
      <c r="C367" s="172" t="s">
        <v>998</v>
      </c>
      <c r="D367" s="177" t="s">
        <v>999</v>
      </c>
      <c r="E367" s="172" t="s">
        <v>23</v>
      </c>
      <c r="F367" s="172" t="s">
        <v>11086</v>
      </c>
      <c r="G367" s="189" t="s">
        <v>1000</v>
      </c>
      <c r="H367" s="174" t="s">
        <v>41</v>
      </c>
      <c r="I367" s="174"/>
      <c r="J367" s="174"/>
    </row>
    <row r="368" spans="1:10" ht="120" customHeight="1">
      <c r="A368" s="381"/>
      <c r="B368" s="178" t="s">
        <v>997</v>
      </c>
      <c r="C368" s="172" t="s">
        <v>1001</v>
      </c>
      <c r="D368" s="177" t="s">
        <v>1002</v>
      </c>
      <c r="E368" s="172" t="s">
        <v>1003</v>
      </c>
      <c r="F368" s="172" t="s">
        <v>11087</v>
      </c>
      <c r="G368" s="189" t="s">
        <v>1005</v>
      </c>
      <c r="H368" s="174" t="s">
        <v>30</v>
      </c>
      <c r="I368" s="174"/>
      <c r="J368" s="174"/>
    </row>
    <row r="369" spans="1:10" ht="120" customHeight="1">
      <c r="A369" s="375"/>
      <c r="B369" s="308" t="s">
        <v>997</v>
      </c>
      <c r="C369" s="242" t="s">
        <v>1006</v>
      </c>
      <c r="D369" s="304" t="s">
        <v>1007</v>
      </c>
      <c r="E369" s="242" t="s">
        <v>1008</v>
      </c>
      <c r="F369" s="242" t="s">
        <v>1009</v>
      </c>
      <c r="G369" s="305" t="s">
        <v>11088</v>
      </c>
      <c r="H369" s="406" t="s">
        <v>41</v>
      </c>
      <c r="I369" s="174"/>
      <c r="J369" s="174"/>
    </row>
    <row r="370" spans="1:10" ht="120" customHeight="1">
      <c r="A370" s="381"/>
      <c r="B370" s="178" t="s">
        <v>11089</v>
      </c>
      <c r="C370" s="172" t="s">
        <v>11090</v>
      </c>
      <c r="D370" s="177" t="s">
        <v>11091</v>
      </c>
      <c r="E370" s="172" t="s">
        <v>1003</v>
      </c>
      <c r="F370" s="172" t="s">
        <v>11092</v>
      </c>
      <c r="G370" s="189" t="s">
        <v>12478</v>
      </c>
      <c r="H370" s="174" t="s">
        <v>41</v>
      </c>
      <c r="I370" s="316"/>
      <c r="J370" s="174"/>
    </row>
    <row r="371" spans="1:10" ht="120" customHeight="1">
      <c r="A371" s="376"/>
      <c r="B371" s="300" t="s">
        <v>1011</v>
      </c>
      <c r="C371" s="310" t="s">
        <v>1012</v>
      </c>
      <c r="D371" s="434" t="s">
        <v>1013</v>
      </c>
      <c r="E371" s="301" t="s">
        <v>23</v>
      </c>
      <c r="F371" s="310" t="s">
        <v>1014</v>
      </c>
      <c r="G371" s="302" t="s">
        <v>1015</v>
      </c>
      <c r="H371" s="405" t="s">
        <v>117</v>
      </c>
      <c r="I371" s="174"/>
      <c r="J371" s="174"/>
    </row>
    <row r="372" spans="1:10" ht="120" customHeight="1">
      <c r="A372" s="381"/>
      <c r="B372" s="171" t="s">
        <v>1011</v>
      </c>
      <c r="C372" s="210" t="s">
        <v>1016</v>
      </c>
      <c r="D372" s="177" t="s">
        <v>1017</v>
      </c>
      <c r="E372" s="172" t="s">
        <v>23</v>
      </c>
      <c r="F372" s="172" t="s">
        <v>11093</v>
      </c>
      <c r="G372" s="189" t="s">
        <v>1018</v>
      </c>
      <c r="H372" s="174" t="s">
        <v>117</v>
      </c>
      <c r="I372" s="174"/>
      <c r="J372" s="174"/>
    </row>
    <row r="373" spans="1:10" ht="120" customHeight="1">
      <c r="A373" s="381"/>
      <c r="B373" s="171" t="s">
        <v>1011</v>
      </c>
      <c r="C373" s="210" t="s">
        <v>11094</v>
      </c>
      <c r="D373" s="177" t="s">
        <v>1019</v>
      </c>
      <c r="E373" s="172" t="s">
        <v>23</v>
      </c>
      <c r="F373" s="172" t="s">
        <v>1020</v>
      </c>
      <c r="G373" s="189" t="s">
        <v>12479</v>
      </c>
      <c r="H373" s="174" t="s">
        <v>62</v>
      </c>
      <c r="I373" s="174"/>
      <c r="J373" s="174"/>
    </row>
    <row r="374" spans="1:10" ht="120" customHeight="1">
      <c r="A374" s="381"/>
      <c r="B374" s="171" t="s">
        <v>1011</v>
      </c>
      <c r="C374" s="210" t="s">
        <v>11095</v>
      </c>
      <c r="D374" s="177" t="s">
        <v>1021</v>
      </c>
      <c r="E374" s="172" t="s">
        <v>23</v>
      </c>
      <c r="F374" s="172" t="s">
        <v>1022</v>
      </c>
      <c r="G374" s="189" t="s">
        <v>12480</v>
      </c>
      <c r="H374" s="174" t="s">
        <v>62</v>
      </c>
      <c r="I374" s="174"/>
      <c r="J374" s="174"/>
    </row>
    <row r="375" spans="1:10" ht="120" customHeight="1">
      <c r="A375" s="381"/>
      <c r="B375" s="171" t="s">
        <v>1011</v>
      </c>
      <c r="C375" s="210" t="s">
        <v>1024</v>
      </c>
      <c r="D375" s="177" t="s">
        <v>1025</v>
      </c>
      <c r="E375" s="172" t="s">
        <v>1008</v>
      </c>
      <c r="F375" s="172" t="s">
        <v>11096</v>
      </c>
      <c r="G375" s="189" t="s">
        <v>1005</v>
      </c>
      <c r="H375" s="174" t="s">
        <v>41</v>
      </c>
      <c r="I375" s="174"/>
      <c r="J375" s="174"/>
    </row>
    <row r="376" spans="1:10" ht="120" customHeight="1">
      <c r="A376" s="381"/>
      <c r="B376" s="171" t="s">
        <v>1011</v>
      </c>
      <c r="C376" s="210" t="s">
        <v>1026</v>
      </c>
      <c r="D376" s="177" t="s">
        <v>1027</v>
      </c>
      <c r="E376" s="172" t="s">
        <v>23</v>
      </c>
      <c r="F376" s="172" t="s">
        <v>1028</v>
      </c>
      <c r="G376" s="189" t="s">
        <v>1029</v>
      </c>
      <c r="H376" s="174" t="s">
        <v>41</v>
      </c>
      <c r="I376" s="174"/>
      <c r="J376" s="174"/>
    </row>
    <row r="377" spans="1:10" ht="120" customHeight="1">
      <c r="A377" s="375"/>
      <c r="B377" s="303" t="s">
        <v>1011</v>
      </c>
      <c r="C377" s="311" t="s">
        <v>1030</v>
      </c>
      <c r="D377" s="304" t="s">
        <v>1031</v>
      </c>
      <c r="E377" s="242" t="s">
        <v>541</v>
      </c>
      <c r="F377" s="242" t="s">
        <v>1032</v>
      </c>
      <c r="G377" s="305" t="s">
        <v>1033</v>
      </c>
      <c r="H377" s="406" t="s">
        <v>41</v>
      </c>
      <c r="I377" s="174"/>
      <c r="J377" s="174"/>
    </row>
    <row r="378" spans="1:10" ht="120" customHeight="1">
      <c r="A378" s="381"/>
      <c r="B378" s="171" t="s">
        <v>1011</v>
      </c>
      <c r="C378" s="210" t="s">
        <v>11097</v>
      </c>
      <c r="D378" s="177" t="s">
        <v>11098</v>
      </c>
      <c r="E378" s="172" t="s">
        <v>11099</v>
      </c>
      <c r="F378" s="172" t="s">
        <v>11100</v>
      </c>
      <c r="G378" s="189" t="s">
        <v>12481</v>
      </c>
      <c r="H378" s="174" t="s">
        <v>41</v>
      </c>
      <c r="I378" s="316"/>
      <c r="J378" s="174"/>
    </row>
    <row r="379" spans="1:10" ht="120" customHeight="1">
      <c r="A379" s="376"/>
      <c r="B379" s="307" t="s">
        <v>1034</v>
      </c>
      <c r="C379" s="310" t="s">
        <v>1035</v>
      </c>
      <c r="D379" s="314" t="s">
        <v>1036</v>
      </c>
      <c r="E379" s="301" t="s">
        <v>23</v>
      </c>
      <c r="F379" s="12" t="s">
        <v>1037</v>
      </c>
      <c r="G379" s="345" t="s">
        <v>11101</v>
      </c>
      <c r="H379" s="405" t="s">
        <v>41</v>
      </c>
      <c r="I379" s="174"/>
      <c r="J379" s="174"/>
    </row>
    <row r="380" spans="1:10" ht="120" customHeight="1">
      <c r="A380" s="381"/>
      <c r="B380" s="178" t="s">
        <v>1034</v>
      </c>
      <c r="C380" s="210" t="s">
        <v>1039</v>
      </c>
      <c r="D380" s="177" t="s">
        <v>1040</v>
      </c>
      <c r="E380" s="172" t="s">
        <v>23</v>
      </c>
      <c r="F380" s="16" t="s">
        <v>1041</v>
      </c>
      <c r="G380" s="204" t="s">
        <v>1042</v>
      </c>
      <c r="H380" s="174" t="s">
        <v>41</v>
      </c>
      <c r="I380" s="174"/>
      <c r="J380" s="174"/>
    </row>
    <row r="381" spans="1:10" ht="120" customHeight="1">
      <c r="A381" s="381"/>
      <c r="B381" s="178" t="s">
        <v>1034</v>
      </c>
      <c r="C381" s="210" t="s">
        <v>1043</v>
      </c>
      <c r="D381" s="177" t="s">
        <v>11102</v>
      </c>
      <c r="E381" s="172" t="s">
        <v>23</v>
      </c>
      <c r="F381" s="16" t="s">
        <v>1045</v>
      </c>
      <c r="G381" s="204" t="s">
        <v>11103</v>
      </c>
      <c r="H381" s="174" t="s">
        <v>41</v>
      </c>
      <c r="I381" s="174"/>
      <c r="J381" s="174"/>
    </row>
    <row r="382" spans="1:10" ht="120" customHeight="1">
      <c r="A382" s="381"/>
      <c r="B382" s="178" t="s">
        <v>1034</v>
      </c>
      <c r="C382" s="210" t="s">
        <v>1047</v>
      </c>
      <c r="D382" s="177" t="s">
        <v>1048</v>
      </c>
      <c r="E382" s="172" t="s">
        <v>23</v>
      </c>
      <c r="F382" s="16" t="s">
        <v>1049</v>
      </c>
      <c r="G382" s="204" t="s">
        <v>11104</v>
      </c>
      <c r="H382" s="174" t="s">
        <v>30</v>
      </c>
      <c r="I382" s="174"/>
      <c r="J382" s="174"/>
    </row>
    <row r="383" spans="1:10" ht="120" customHeight="1">
      <c r="A383" s="381"/>
      <c r="B383" s="178" t="s">
        <v>1034</v>
      </c>
      <c r="C383" s="210" t="s">
        <v>1051</v>
      </c>
      <c r="D383" s="177" t="s">
        <v>1052</v>
      </c>
      <c r="E383" s="172" t="s">
        <v>23</v>
      </c>
      <c r="F383" s="16" t="s">
        <v>1053</v>
      </c>
      <c r="G383" s="204" t="s">
        <v>1054</v>
      </c>
      <c r="H383" s="174" t="s">
        <v>41</v>
      </c>
      <c r="I383" s="174"/>
      <c r="J383" s="174"/>
    </row>
    <row r="384" spans="1:10" ht="120" customHeight="1">
      <c r="A384" s="381"/>
      <c r="B384" s="178" t="s">
        <v>1055</v>
      </c>
      <c r="C384" s="210" t="s">
        <v>1056</v>
      </c>
      <c r="D384" s="177" t="s">
        <v>1057</v>
      </c>
      <c r="E384" s="172" t="s">
        <v>23</v>
      </c>
      <c r="F384" s="16" t="s">
        <v>1058</v>
      </c>
      <c r="G384" s="204" t="s">
        <v>1059</v>
      </c>
      <c r="H384" s="174" t="s">
        <v>62</v>
      </c>
      <c r="I384" s="174"/>
      <c r="J384" s="174"/>
    </row>
    <row r="385" spans="1:10" ht="120" customHeight="1">
      <c r="A385" s="381"/>
      <c r="B385" s="178" t="s">
        <v>1055</v>
      </c>
      <c r="C385" s="210" t="s">
        <v>11105</v>
      </c>
      <c r="D385" s="177" t="s">
        <v>11106</v>
      </c>
      <c r="E385" s="172" t="s">
        <v>10791</v>
      </c>
      <c r="F385" s="172" t="s">
        <v>1061</v>
      </c>
      <c r="G385" s="189" t="s">
        <v>1005</v>
      </c>
      <c r="H385" s="174" t="s">
        <v>41</v>
      </c>
      <c r="I385" s="174"/>
      <c r="J385" s="174"/>
    </row>
    <row r="386" spans="1:10" ht="120" customHeight="1">
      <c r="A386" s="381"/>
      <c r="B386" s="178" t="s">
        <v>1055</v>
      </c>
      <c r="C386" s="210" t="s">
        <v>1062</v>
      </c>
      <c r="D386" s="177" t="s">
        <v>1063</v>
      </c>
      <c r="E386" s="172" t="s">
        <v>23</v>
      </c>
      <c r="F386" s="16" t="s">
        <v>1064</v>
      </c>
      <c r="G386" s="204" t="s">
        <v>1065</v>
      </c>
      <c r="H386" s="174" t="s">
        <v>36</v>
      </c>
      <c r="I386" s="174"/>
      <c r="J386" s="174"/>
    </row>
    <row r="387" spans="1:10" ht="120" customHeight="1">
      <c r="A387" s="375"/>
      <c r="B387" s="308" t="s">
        <v>1055</v>
      </c>
      <c r="C387" s="311" t="s">
        <v>11107</v>
      </c>
      <c r="D387" s="304" t="s">
        <v>11108</v>
      </c>
      <c r="E387" s="242" t="s">
        <v>23</v>
      </c>
      <c r="F387" s="319" t="s">
        <v>1066</v>
      </c>
      <c r="G387" s="320" t="s">
        <v>1067</v>
      </c>
      <c r="H387" s="406" t="s">
        <v>41</v>
      </c>
      <c r="I387" s="174"/>
      <c r="J387" s="174"/>
    </row>
    <row r="388" spans="1:10" ht="120" customHeight="1">
      <c r="A388" s="381"/>
      <c r="B388" s="178" t="s">
        <v>1034</v>
      </c>
      <c r="C388" s="210" t="s">
        <v>11109</v>
      </c>
      <c r="D388" s="177" t="s">
        <v>11110</v>
      </c>
      <c r="E388" s="172" t="s">
        <v>23</v>
      </c>
      <c r="F388" s="16" t="s">
        <v>11111</v>
      </c>
      <c r="G388" s="204" t="s">
        <v>12482</v>
      </c>
      <c r="H388" s="174" t="s">
        <v>41</v>
      </c>
      <c r="I388" s="316"/>
      <c r="J388" s="174"/>
    </row>
    <row r="389" spans="1:10" ht="120" customHeight="1">
      <c r="A389" s="376"/>
      <c r="B389" s="300" t="s">
        <v>1068</v>
      </c>
      <c r="C389" s="301" t="s">
        <v>1069</v>
      </c>
      <c r="D389" s="314" t="s">
        <v>7734</v>
      </c>
      <c r="E389" s="301" t="s">
        <v>23</v>
      </c>
      <c r="F389" s="301" t="s">
        <v>1070</v>
      </c>
      <c r="G389" s="302" t="s">
        <v>1071</v>
      </c>
      <c r="H389" s="405" t="s">
        <v>41</v>
      </c>
      <c r="I389" s="174"/>
      <c r="J389" s="174"/>
    </row>
    <row r="390" spans="1:10" ht="120" customHeight="1">
      <c r="A390" s="381"/>
      <c r="B390" s="171" t="s">
        <v>1068</v>
      </c>
      <c r="C390" s="172" t="s">
        <v>1072</v>
      </c>
      <c r="D390" s="177" t="s">
        <v>1073</v>
      </c>
      <c r="E390" s="172" t="s">
        <v>23</v>
      </c>
      <c r="F390" s="172" t="s">
        <v>1074</v>
      </c>
      <c r="G390" s="189" t="s">
        <v>1075</v>
      </c>
      <c r="H390" s="174" t="s">
        <v>24</v>
      </c>
      <c r="I390" s="174"/>
      <c r="J390" s="174"/>
    </row>
    <row r="391" spans="1:10" ht="120" customHeight="1">
      <c r="A391" s="381"/>
      <c r="B391" s="171" t="s">
        <v>1068</v>
      </c>
      <c r="C391" s="172" t="s">
        <v>1076</v>
      </c>
      <c r="D391" s="177" t="s">
        <v>1077</v>
      </c>
      <c r="E391" s="172" t="s">
        <v>1078</v>
      </c>
      <c r="F391" s="172" t="s">
        <v>1079</v>
      </c>
      <c r="G391" s="189" t="s">
        <v>1080</v>
      </c>
      <c r="H391" s="174" t="s">
        <v>41</v>
      </c>
      <c r="I391" s="174"/>
      <c r="J391" s="174"/>
    </row>
    <row r="392" spans="1:10" ht="120" customHeight="1">
      <c r="A392" s="381"/>
      <c r="B392" s="171" t="s">
        <v>1068</v>
      </c>
      <c r="C392" s="172" t="s">
        <v>1081</v>
      </c>
      <c r="D392" s="177" t="s">
        <v>11112</v>
      </c>
      <c r="E392" s="172" t="s">
        <v>23</v>
      </c>
      <c r="F392" s="172" t="s">
        <v>11113</v>
      </c>
      <c r="G392" s="189" t="s">
        <v>11114</v>
      </c>
      <c r="H392" s="174" t="s">
        <v>36</v>
      </c>
      <c r="I392" s="174"/>
      <c r="J392" s="174"/>
    </row>
    <row r="393" spans="1:10" ht="120" customHeight="1">
      <c r="A393" s="375"/>
      <c r="B393" s="303" t="s">
        <v>1068</v>
      </c>
      <c r="C393" s="242" t="s">
        <v>1084</v>
      </c>
      <c r="D393" s="304" t="s">
        <v>1085</v>
      </c>
      <c r="E393" s="242" t="s">
        <v>1086</v>
      </c>
      <c r="F393" s="242" t="s">
        <v>1087</v>
      </c>
      <c r="G393" s="305" t="s">
        <v>1088</v>
      </c>
      <c r="H393" s="406" t="s">
        <v>24</v>
      </c>
      <c r="I393" s="174"/>
      <c r="J393" s="174"/>
    </row>
    <row r="394" spans="1:10" ht="120" customHeight="1">
      <c r="A394" s="381"/>
      <c r="B394" s="171" t="s">
        <v>11115</v>
      </c>
      <c r="C394" s="172" t="s">
        <v>11116</v>
      </c>
      <c r="D394" s="177" t="s">
        <v>11117</v>
      </c>
      <c r="E394" s="172" t="s">
        <v>23</v>
      </c>
      <c r="F394" s="172" t="s">
        <v>11118</v>
      </c>
      <c r="G394" s="189" t="s">
        <v>12483</v>
      </c>
      <c r="H394" s="174" t="s">
        <v>41</v>
      </c>
      <c r="I394" s="316"/>
      <c r="J394" s="174"/>
    </row>
    <row r="395" spans="1:10" ht="120" customHeight="1">
      <c r="A395" s="376"/>
      <c r="B395" s="307" t="s">
        <v>11119</v>
      </c>
      <c r="C395" s="310" t="s">
        <v>1090</v>
      </c>
      <c r="D395" s="314" t="s">
        <v>1091</v>
      </c>
      <c r="E395" s="301" t="s">
        <v>23</v>
      </c>
      <c r="F395" s="301" t="s">
        <v>1092</v>
      </c>
      <c r="G395" s="302" t="s">
        <v>1093</v>
      </c>
      <c r="H395" s="405" t="s">
        <v>30</v>
      </c>
      <c r="I395" s="174"/>
      <c r="J395" s="174"/>
    </row>
    <row r="396" spans="1:10" ht="120" customHeight="1">
      <c r="A396" s="381"/>
      <c r="B396" s="178" t="s">
        <v>11119</v>
      </c>
      <c r="C396" s="210" t="s">
        <v>1094</v>
      </c>
      <c r="D396" s="177" t="s">
        <v>1095</v>
      </c>
      <c r="E396" s="172" t="s">
        <v>23</v>
      </c>
      <c r="F396" s="172" t="s">
        <v>1096</v>
      </c>
      <c r="G396" s="189" t="s">
        <v>1097</v>
      </c>
      <c r="H396" s="174" t="s">
        <v>41</v>
      </c>
      <c r="I396" s="174"/>
      <c r="J396" s="174"/>
    </row>
    <row r="397" spans="1:10" ht="120" customHeight="1">
      <c r="A397" s="381"/>
      <c r="B397" s="178" t="s">
        <v>11119</v>
      </c>
      <c r="C397" s="210" t="s">
        <v>1099</v>
      </c>
      <c r="D397" s="177" t="s">
        <v>11120</v>
      </c>
      <c r="E397" s="172" t="s">
        <v>23</v>
      </c>
      <c r="F397" s="172" t="s">
        <v>11121</v>
      </c>
      <c r="G397" s="189" t="s">
        <v>1101</v>
      </c>
      <c r="H397" s="174" t="s">
        <v>62</v>
      </c>
      <c r="I397" s="174"/>
      <c r="J397" s="174"/>
    </row>
    <row r="398" spans="1:10" ht="120" customHeight="1">
      <c r="A398" s="381"/>
      <c r="B398" s="178" t="s">
        <v>11119</v>
      </c>
      <c r="C398" s="210" t="s">
        <v>1102</v>
      </c>
      <c r="D398" s="177" t="s">
        <v>11122</v>
      </c>
      <c r="E398" s="172" t="s">
        <v>11123</v>
      </c>
      <c r="F398" s="172" t="s">
        <v>1104</v>
      </c>
      <c r="G398" s="189" t="s">
        <v>11124</v>
      </c>
      <c r="H398" s="174" t="s">
        <v>41</v>
      </c>
      <c r="I398" s="174"/>
      <c r="J398" s="174"/>
    </row>
    <row r="399" spans="1:10" ht="120" customHeight="1">
      <c r="A399" s="375"/>
      <c r="B399" s="308" t="s">
        <v>11119</v>
      </c>
      <c r="C399" s="311" t="s">
        <v>1106</v>
      </c>
      <c r="D399" s="304" t="s">
        <v>1107</v>
      </c>
      <c r="E399" s="242" t="s">
        <v>23</v>
      </c>
      <c r="F399" s="304" t="s">
        <v>11125</v>
      </c>
      <c r="G399" s="305" t="s">
        <v>11126</v>
      </c>
      <c r="H399" s="406" t="s">
        <v>36</v>
      </c>
      <c r="I399" s="174"/>
      <c r="J399" s="174"/>
    </row>
    <row r="400" spans="1:10" ht="120" customHeight="1">
      <c r="A400" s="381"/>
      <c r="B400" s="178" t="s">
        <v>11119</v>
      </c>
      <c r="C400" s="210" t="s">
        <v>11127</v>
      </c>
      <c r="D400" s="177" t="s">
        <v>11128</v>
      </c>
      <c r="E400" s="172" t="s">
        <v>10791</v>
      </c>
      <c r="F400" s="172" t="s">
        <v>11129</v>
      </c>
      <c r="G400" s="189" t="s">
        <v>12484</v>
      </c>
      <c r="H400" s="174" t="s">
        <v>41</v>
      </c>
      <c r="I400" s="316"/>
      <c r="J400" s="174"/>
    </row>
    <row r="401" spans="1:10" ht="120" customHeight="1">
      <c r="A401" s="381"/>
      <c r="B401" s="212" t="s">
        <v>1109</v>
      </c>
      <c r="C401" s="210" t="s">
        <v>11130</v>
      </c>
      <c r="D401" s="177" t="s">
        <v>1111</v>
      </c>
      <c r="E401" s="210" t="s">
        <v>23</v>
      </c>
      <c r="F401" s="16" t="s">
        <v>12485</v>
      </c>
      <c r="G401" s="249" t="s">
        <v>12486</v>
      </c>
      <c r="H401" s="201" t="s">
        <v>30</v>
      </c>
      <c r="I401" s="318"/>
      <c r="J401" s="201"/>
    </row>
    <row r="402" spans="1:10" ht="120" customHeight="1">
      <c r="A402" s="376"/>
      <c r="B402" s="321" t="s">
        <v>1109</v>
      </c>
      <c r="C402" s="310" t="s">
        <v>1114</v>
      </c>
      <c r="D402" s="434" t="s">
        <v>1115</v>
      </c>
      <c r="E402" s="310" t="s">
        <v>23</v>
      </c>
      <c r="F402" s="12" t="s">
        <v>12487</v>
      </c>
      <c r="G402" s="435" t="s">
        <v>1116</v>
      </c>
      <c r="H402" s="436" t="s">
        <v>41</v>
      </c>
      <c r="I402" s="201"/>
      <c r="J402" s="201"/>
    </row>
    <row r="403" spans="1:10" ht="120" customHeight="1">
      <c r="A403" s="381"/>
      <c r="B403" s="212" t="s">
        <v>1109</v>
      </c>
      <c r="C403" s="210" t="s">
        <v>1117</v>
      </c>
      <c r="D403" s="283" t="s">
        <v>11131</v>
      </c>
      <c r="E403" s="210" t="s">
        <v>23</v>
      </c>
      <c r="F403" s="16" t="s">
        <v>12488</v>
      </c>
      <c r="G403" s="249" t="s">
        <v>11132</v>
      </c>
      <c r="H403" s="174" t="s">
        <v>41</v>
      </c>
      <c r="I403" s="174"/>
      <c r="J403" s="174"/>
    </row>
    <row r="404" spans="1:10" ht="120" customHeight="1">
      <c r="A404" s="381"/>
      <c r="B404" s="212" t="s">
        <v>1109</v>
      </c>
      <c r="C404" s="210" t="s">
        <v>1118</v>
      </c>
      <c r="D404" s="283" t="s">
        <v>1119</v>
      </c>
      <c r="E404" s="210" t="s">
        <v>23</v>
      </c>
      <c r="F404" s="16" t="s">
        <v>12489</v>
      </c>
      <c r="G404" s="249" t="s">
        <v>11133</v>
      </c>
      <c r="H404" s="201" t="s">
        <v>41</v>
      </c>
      <c r="I404" s="174"/>
      <c r="J404" s="174"/>
    </row>
    <row r="405" spans="1:10" ht="120" customHeight="1">
      <c r="A405" s="381"/>
      <c r="B405" s="212" t="s">
        <v>1109</v>
      </c>
      <c r="C405" s="210" t="s">
        <v>1120</v>
      </c>
      <c r="D405" s="283" t="s">
        <v>1121</v>
      </c>
      <c r="E405" s="210" t="s">
        <v>23</v>
      </c>
      <c r="F405" s="16" t="s">
        <v>12490</v>
      </c>
      <c r="G405" s="249" t="s">
        <v>11134</v>
      </c>
      <c r="H405" s="174" t="s">
        <v>41</v>
      </c>
      <c r="I405" s="174"/>
      <c r="J405" s="174"/>
    </row>
    <row r="406" spans="1:10" ht="120" customHeight="1">
      <c r="A406" s="381"/>
      <c r="B406" s="212" t="s">
        <v>1109</v>
      </c>
      <c r="C406" s="210" t="s">
        <v>1122</v>
      </c>
      <c r="D406" s="177" t="s">
        <v>1123</v>
      </c>
      <c r="E406" s="172" t="s">
        <v>23</v>
      </c>
      <c r="F406" s="411" t="s">
        <v>12491</v>
      </c>
      <c r="G406" s="249" t="s">
        <v>12492</v>
      </c>
      <c r="H406" s="201" t="s">
        <v>41</v>
      </c>
      <c r="I406" s="174"/>
      <c r="J406" s="174"/>
    </row>
    <row r="407" spans="1:10" ht="120" customHeight="1">
      <c r="A407" s="375"/>
      <c r="B407" s="437" t="s">
        <v>1109</v>
      </c>
      <c r="C407" s="311" t="s">
        <v>1124</v>
      </c>
      <c r="D407" s="304" t="s">
        <v>1125</v>
      </c>
      <c r="E407" s="242" t="s">
        <v>23</v>
      </c>
      <c r="F407" s="11" t="s">
        <v>12493</v>
      </c>
      <c r="G407" s="305" t="s">
        <v>12494</v>
      </c>
      <c r="H407" s="408" t="s">
        <v>24</v>
      </c>
      <c r="I407" s="174"/>
      <c r="J407" s="174"/>
    </row>
    <row r="408" spans="1:10" ht="120" customHeight="1">
      <c r="A408" s="381"/>
      <c r="B408" s="212" t="s">
        <v>1109</v>
      </c>
      <c r="C408" s="210" t="s">
        <v>11135</v>
      </c>
      <c r="D408" s="177" t="s">
        <v>1126</v>
      </c>
      <c r="E408" s="172" t="s">
        <v>23</v>
      </c>
      <c r="F408" s="438" t="s">
        <v>12495</v>
      </c>
      <c r="G408" s="249" t="s">
        <v>12496</v>
      </c>
      <c r="H408" s="201" t="s">
        <v>41</v>
      </c>
      <c r="I408" s="316"/>
      <c r="J408" s="174"/>
    </row>
    <row r="409" spans="1:10" ht="120" customHeight="1">
      <c r="A409" s="387"/>
      <c r="B409" s="439" t="s">
        <v>1109</v>
      </c>
      <c r="C409" s="440" t="s">
        <v>1127</v>
      </c>
      <c r="D409" s="441" t="s">
        <v>1128</v>
      </c>
      <c r="E409" s="333" t="s">
        <v>23</v>
      </c>
      <c r="F409" s="442" t="s">
        <v>12497</v>
      </c>
      <c r="G409" s="443" t="s">
        <v>1067</v>
      </c>
      <c r="H409" s="444" t="s">
        <v>41</v>
      </c>
      <c r="I409" s="174"/>
      <c r="J409" s="174"/>
    </row>
    <row r="410" spans="1:10" ht="120" customHeight="1">
      <c r="A410" s="381"/>
      <c r="B410" s="212" t="s">
        <v>1109</v>
      </c>
      <c r="C410" s="210" t="s">
        <v>11136</v>
      </c>
      <c r="D410" s="283" t="s">
        <v>11137</v>
      </c>
      <c r="E410" s="210" t="s">
        <v>23</v>
      </c>
      <c r="F410" s="16" t="s">
        <v>12498</v>
      </c>
      <c r="G410" s="249" t="s">
        <v>12499</v>
      </c>
      <c r="H410" s="201" t="s">
        <v>41</v>
      </c>
      <c r="I410" s="316"/>
      <c r="J410" s="174"/>
    </row>
    <row r="411" spans="1:10" ht="120" customHeight="1">
      <c r="A411" s="376"/>
      <c r="B411" s="321" t="s">
        <v>1129</v>
      </c>
      <c r="C411" s="310" t="s">
        <v>1130</v>
      </c>
      <c r="D411" s="314" t="s">
        <v>1131</v>
      </c>
      <c r="E411" s="301" t="s">
        <v>1132</v>
      </c>
      <c r="F411" s="310" t="s">
        <v>1133</v>
      </c>
      <c r="G411" s="302" t="s">
        <v>1134</v>
      </c>
      <c r="H411" s="405" t="s">
        <v>24</v>
      </c>
      <c r="I411" s="174"/>
      <c r="J411" s="174"/>
    </row>
    <row r="412" spans="1:10" ht="120" customHeight="1">
      <c r="A412" s="381"/>
      <c r="B412" s="212" t="s">
        <v>1129</v>
      </c>
      <c r="C412" s="210" t="s">
        <v>1135</v>
      </c>
      <c r="D412" s="177" t="s">
        <v>11138</v>
      </c>
      <c r="E412" s="172" t="s">
        <v>1132</v>
      </c>
      <c r="F412" s="172" t="s">
        <v>11139</v>
      </c>
      <c r="G412" s="189" t="s">
        <v>1136</v>
      </c>
      <c r="H412" s="174" t="s">
        <v>24</v>
      </c>
      <c r="I412" s="174"/>
      <c r="J412" s="174"/>
    </row>
    <row r="413" spans="1:10" ht="120" customHeight="1">
      <c r="A413" s="381" t="s">
        <v>11140</v>
      </c>
      <c r="B413" s="211" t="s">
        <v>1138</v>
      </c>
      <c r="C413" s="210" t="s">
        <v>1139</v>
      </c>
      <c r="D413" s="283" t="s">
        <v>1140</v>
      </c>
      <c r="E413" s="210" t="s">
        <v>23</v>
      </c>
      <c r="F413" s="210" t="s">
        <v>1141</v>
      </c>
      <c r="G413" s="209" t="s">
        <v>1142</v>
      </c>
      <c r="H413" s="201" t="s">
        <v>41</v>
      </c>
      <c r="I413" s="201"/>
      <c r="J413" s="201"/>
    </row>
    <row r="414" spans="1:10" ht="120" customHeight="1">
      <c r="A414" s="381"/>
      <c r="B414" s="178" t="s">
        <v>1138</v>
      </c>
      <c r="C414" s="172" t="s">
        <v>1143</v>
      </c>
      <c r="D414" s="177" t="s">
        <v>1144</v>
      </c>
      <c r="E414" s="172" t="s">
        <v>23</v>
      </c>
      <c r="F414" s="172" t="s">
        <v>1145</v>
      </c>
      <c r="G414" s="189" t="s">
        <v>1146</v>
      </c>
      <c r="H414" s="174" t="s">
        <v>24</v>
      </c>
      <c r="I414" s="174"/>
      <c r="J414" s="174"/>
    </row>
    <row r="415" spans="1:10" ht="120" customHeight="1">
      <c r="A415" s="381"/>
      <c r="B415" s="178" t="s">
        <v>1138</v>
      </c>
      <c r="C415" s="172" t="s">
        <v>1147</v>
      </c>
      <c r="D415" s="177" t="s">
        <v>1148</v>
      </c>
      <c r="E415" s="172" t="s">
        <v>23</v>
      </c>
      <c r="F415" s="172" t="s">
        <v>1149</v>
      </c>
      <c r="G415" s="189" t="s">
        <v>12500</v>
      </c>
      <c r="H415" s="174" t="s">
        <v>24</v>
      </c>
      <c r="I415" s="174"/>
      <c r="J415" s="174"/>
    </row>
    <row r="416" spans="1:10" ht="120" customHeight="1">
      <c r="A416" s="381"/>
      <c r="B416" s="178" t="s">
        <v>1138</v>
      </c>
      <c r="C416" s="172" t="s">
        <v>1151</v>
      </c>
      <c r="D416" s="177" t="s">
        <v>1152</v>
      </c>
      <c r="E416" s="172" t="s">
        <v>23</v>
      </c>
      <c r="F416" s="172" t="s">
        <v>11141</v>
      </c>
      <c r="G416" s="189" t="s">
        <v>1153</v>
      </c>
      <c r="H416" s="174" t="s">
        <v>41</v>
      </c>
      <c r="I416" s="174"/>
      <c r="J416" s="174"/>
    </row>
    <row r="417" spans="1:10" ht="120" customHeight="1">
      <c r="A417" s="381"/>
      <c r="B417" s="178" t="s">
        <v>1138</v>
      </c>
      <c r="C417" s="172" t="s">
        <v>1154</v>
      </c>
      <c r="D417" s="177" t="s">
        <v>1155</v>
      </c>
      <c r="E417" s="172" t="s">
        <v>23</v>
      </c>
      <c r="F417" s="172" t="s">
        <v>1156</v>
      </c>
      <c r="G417" s="189" t="s">
        <v>1157</v>
      </c>
      <c r="H417" s="174" t="s">
        <v>41</v>
      </c>
      <c r="I417" s="174"/>
      <c r="J417" s="174"/>
    </row>
    <row r="418" spans="1:10" ht="120" customHeight="1">
      <c r="A418" s="381"/>
      <c r="B418" s="178" t="s">
        <v>1138</v>
      </c>
      <c r="C418" s="172" t="s">
        <v>1158</v>
      </c>
      <c r="D418" s="172" t="s">
        <v>1159</v>
      </c>
      <c r="E418" s="172" t="s">
        <v>1160</v>
      </c>
      <c r="F418" s="172" t="s">
        <v>1161</v>
      </c>
      <c r="G418" s="189" t="s">
        <v>1162</v>
      </c>
      <c r="H418" s="174" t="s">
        <v>184</v>
      </c>
      <c r="I418" s="174"/>
      <c r="J418" s="174"/>
    </row>
    <row r="419" spans="1:10" ht="120" customHeight="1">
      <c r="A419" s="381"/>
      <c r="B419" s="178" t="s">
        <v>1138</v>
      </c>
      <c r="C419" s="172" t="s">
        <v>1163</v>
      </c>
      <c r="D419" s="172" t="s">
        <v>1164</v>
      </c>
      <c r="E419" s="172" t="s">
        <v>1165</v>
      </c>
      <c r="F419" s="172" t="s">
        <v>1166</v>
      </c>
      <c r="G419" s="189" t="s">
        <v>1167</v>
      </c>
      <c r="H419" s="174" t="s">
        <v>30</v>
      </c>
      <c r="I419" s="174"/>
      <c r="J419" s="174"/>
    </row>
    <row r="420" spans="1:10" ht="120" customHeight="1">
      <c r="A420" s="381"/>
      <c r="B420" s="178" t="s">
        <v>1138</v>
      </c>
      <c r="C420" s="172" t="s">
        <v>1168</v>
      </c>
      <c r="D420" s="172" t="s">
        <v>1164</v>
      </c>
      <c r="E420" s="172" t="s">
        <v>1165</v>
      </c>
      <c r="F420" s="172" t="s">
        <v>1169</v>
      </c>
      <c r="G420" s="189" t="s">
        <v>1170</v>
      </c>
      <c r="H420" s="174" t="s">
        <v>24</v>
      </c>
      <c r="I420" s="174"/>
      <c r="J420" s="174"/>
    </row>
    <row r="421" spans="1:10" ht="120" customHeight="1">
      <c r="A421" s="381"/>
      <c r="B421" s="178" t="s">
        <v>1138</v>
      </c>
      <c r="C421" s="172" t="s">
        <v>1171</v>
      </c>
      <c r="D421" s="177" t="s">
        <v>1172</v>
      </c>
      <c r="E421" s="172" t="s">
        <v>1173</v>
      </c>
      <c r="F421" s="172" t="s">
        <v>11142</v>
      </c>
      <c r="G421" s="189" t="s">
        <v>1174</v>
      </c>
      <c r="H421" s="174" t="s">
        <v>24</v>
      </c>
      <c r="I421" s="174"/>
      <c r="J421" s="174"/>
    </row>
    <row r="422" spans="1:10" ht="120" customHeight="1">
      <c r="A422" s="381"/>
      <c r="B422" s="178" t="s">
        <v>1138</v>
      </c>
      <c r="C422" s="172" t="s">
        <v>1175</v>
      </c>
      <c r="D422" s="177" t="s">
        <v>1176</v>
      </c>
      <c r="E422" s="172" t="s">
        <v>1173</v>
      </c>
      <c r="F422" s="172" t="s">
        <v>1177</v>
      </c>
      <c r="G422" s="189" t="s">
        <v>1178</v>
      </c>
      <c r="H422" s="174" t="s">
        <v>36</v>
      </c>
      <c r="I422" s="174"/>
      <c r="J422" s="174"/>
    </row>
    <row r="423" spans="1:10" ht="120" customHeight="1">
      <c r="A423" s="381"/>
      <c r="B423" s="178" t="s">
        <v>1138</v>
      </c>
      <c r="C423" s="172" t="s">
        <v>1179</v>
      </c>
      <c r="D423" s="177" t="s">
        <v>1180</v>
      </c>
      <c r="E423" s="172" t="s">
        <v>1181</v>
      </c>
      <c r="F423" s="172" t="s">
        <v>1182</v>
      </c>
      <c r="G423" s="189" t="s">
        <v>1183</v>
      </c>
      <c r="H423" s="174" t="s">
        <v>36</v>
      </c>
      <c r="I423" s="174"/>
      <c r="J423" s="174"/>
    </row>
    <row r="424" spans="1:10" ht="120" customHeight="1">
      <c r="A424" s="381"/>
      <c r="B424" s="178" t="s">
        <v>1138</v>
      </c>
      <c r="C424" s="172" t="s">
        <v>1184</v>
      </c>
      <c r="D424" s="177" t="s">
        <v>1185</v>
      </c>
      <c r="E424" s="172" t="s">
        <v>1181</v>
      </c>
      <c r="F424" s="172" t="s">
        <v>1186</v>
      </c>
      <c r="G424" s="189" t="s">
        <v>1187</v>
      </c>
      <c r="H424" s="174" t="s">
        <v>36</v>
      </c>
      <c r="I424" s="174"/>
      <c r="J424" s="174"/>
    </row>
    <row r="425" spans="1:10" ht="120" customHeight="1">
      <c r="A425" s="381"/>
      <c r="B425" s="178" t="s">
        <v>1138</v>
      </c>
      <c r="C425" s="172" t="s">
        <v>1188</v>
      </c>
      <c r="D425" s="177" t="s">
        <v>1189</v>
      </c>
      <c r="E425" s="172" t="s">
        <v>23</v>
      </c>
      <c r="F425" s="172" t="s">
        <v>1190</v>
      </c>
      <c r="G425" s="189" t="s">
        <v>1142</v>
      </c>
      <c r="H425" s="174" t="s">
        <v>41</v>
      </c>
      <c r="I425" s="174"/>
      <c r="J425" s="174"/>
    </row>
    <row r="426" spans="1:10" ht="120" customHeight="1">
      <c r="A426" s="381"/>
      <c r="B426" s="178" t="s">
        <v>1138</v>
      </c>
      <c r="C426" s="172" t="s">
        <v>1191</v>
      </c>
      <c r="D426" s="177" t="s">
        <v>1192</v>
      </c>
      <c r="E426" s="172" t="s">
        <v>23</v>
      </c>
      <c r="F426" s="172" t="s">
        <v>1193</v>
      </c>
      <c r="G426" s="189" t="s">
        <v>1194</v>
      </c>
      <c r="H426" s="174" t="s">
        <v>41</v>
      </c>
      <c r="I426" s="174"/>
      <c r="J426" s="174"/>
    </row>
    <row r="427" spans="1:10" ht="120" customHeight="1">
      <c r="A427" s="381"/>
      <c r="B427" s="178" t="s">
        <v>1138</v>
      </c>
      <c r="C427" s="172" t="s">
        <v>1195</v>
      </c>
      <c r="D427" s="177" t="s">
        <v>1196</v>
      </c>
      <c r="E427" s="172" t="s">
        <v>23</v>
      </c>
      <c r="F427" s="172" t="s">
        <v>1197</v>
      </c>
      <c r="G427" s="189" t="s">
        <v>1198</v>
      </c>
      <c r="H427" s="174" t="s">
        <v>41</v>
      </c>
      <c r="I427" s="174"/>
      <c r="J427" s="174"/>
    </row>
    <row r="428" spans="1:10" ht="120" customHeight="1">
      <c r="A428" s="381"/>
      <c r="B428" s="178" t="s">
        <v>1138</v>
      </c>
      <c r="C428" s="172" t="s">
        <v>1199</v>
      </c>
      <c r="D428" s="172" t="s">
        <v>1200</v>
      </c>
      <c r="E428" s="172" t="s">
        <v>23</v>
      </c>
      <c r="F428" s="172" t="s">
        <v>1201</v>
      </c>
      <c r="G428" s="189" t="s">
        <v>1202</v>
      </c>
      <c r="H428" s="174" t="s">
        <v>30</v>
      </c>
      <c r="I428" s="174"/>
      <c r="J428" s="174"/>
    </row>
    <row r="429" spans="1:10" ht="120" customHeight="1">
      <c r="A429" s="381"/>
      <c r="B429" s="178" t="s">
        <v>1138</v>
      </c>
      <c r="C429" s="172" t="s">
        <v>1203</v>
      </c>
      <c r="D429" s="177" t="s">
        <v>1204</v>
      </c>
      <c r="E429" s="172" t="s">
        <v>23</v>
      </c>
      <c r="F429" s="172" t="s">
        <v>1205</v>
      </c>
      <c r="G429" s="189" t="s">
        <v>1206</v>
      </c>
      <c r="H429" s="174" t="s">
        <v>24</v>
      </c>
      <c r="I429" s="174"/>
      <c r="J429" s="174"/>
    </row>
    <row r="430" spans="1:10" ht="120" customHeight="1">
      <c r="A430" s="381"/>
      <c r="B430" s="178" t="s">
        <v>1138</v>
      </c>
      <c r="C430" s="172" t="s">
        <v>1207</v>
      </c>
      <c r="D430" s="177" t="s">
        <v>1208</v>
      </c>
      <c r="E430" s="172" t="s">
        <v>23</v>
      </c>
      <c r="F430" s="172" t="s">
        <v>1209</v>
      </c>
      <c r="G430" s="189" t="s">
        <v>1210</v>
      </c>
      <c r="H430" s="174" t="s">
        <v>24</v>
      </c>
      <c r="I430" s="174"/>
      <c r="J430" s="174"/>
    </row>
    <row r="431" spans="1:10" ht="120" customHeight="1">
      <c r="A431" s="381"/>
      <c r="B431" s="178" t="s">
        <v>1138</v>
      </c>
      <c r="C431" s="172" t="s">
        <v>1211</v>
      </c>
      <c r="D431" s="177" t="s">
        <v>1212</v>
      </c>
      <c r="E431" s="172" t="s">
        <v>23</v>
      </c>
      <c r="F431" s="172" t="s">
        <v>1213</v>
      </c>
      <c r="G431" s="189" t="s">
        <v>1214</v>
      </c>
      <c r="H431" s="174" t="s">
        <v>24</v>
      </c>
      <c r="I431" s="174"/>
      <c r="J431" s="174"/>
    </row>
    <row r="432" spans="1:10" ht="120" customHeight="1">
      <c r="A432" s="381"/>
      <c r="B432" s="178" t="s">
        <v>1138</v>
      </c>
      <c r="C432" s="172" t="s">
        <v>1215</v>
      </c>
      <c r="D432" s="177" t="s">
        <v>1216</v>
      </c>
      <c r="E432" s="172" t="s">
        <v>23</v>
      </c>
      <c r="F432" s="172" t="s">
        <v>1217</v>
      </c>
      <c r="G432" s="189" t="s">
        <v>1218</v>
      </c>
      <c r="H432" s="174" t="s">
        <v>36</v>
      </c>
      <c r="I432" s="174"/>
      <c r="J432" s="174"/>
    </row>
    <row r="433" spans="1:10" ht="120" customHeight="1">
      <c r="A433" s="381"/>
      <c r="B433" s="178" t="s">
        <v>1138</v>
      </c>
      <c r="C433" s="172" t="s">
        <v>1219</v>
      </c>
      <c r="D433" s="177" t="s">
        <v>1220</v>
      </c>
      <c r="E433" s="172" t="s">
        <v>23</v>
      </c>
      <c r="F433" s="172" t="s">
        <v>1221</v>
      </c>
      <c r="G433" s="189" t="s">
        <v>1222</v>
      </c>
      <c r="H433" s="174" t="s">
        <v>36</v>
      </c>
      <c r="I433" s="174"/>
      <c r="J433" s="174"/>
    </row>
    <row r="434" spans="1:10" ht="120" customHeight="1">
      <c r="A434" s="381"/>
      <c r="B434" s="178" t="s">
        <v>1138</v>
      </c>
      <c r="C434" s="172" t="s">
        <v>1223</v>
      </c>
      <c r="D434" s="177" t="s">
        <v>1224</v>
      </c>
      <c r="E434" s="172" t="s">
        <v>23</v>
      </c>
      <c r="F434" s="172" t="s">
        <v>1225</v>
      </c>
      <c r="G434" s="189" t="s">
        <v>1226</v>
      </c>
      <c r="H434" s="174" t="s">
        <v>36</v>
      </c>
      <c r="I434" s="174"/>
      <c r="J434" s="174"/>
    </row>
    <row r="435" spans="1:10" ht="120" customHeight="1">
      <c r="A435" s="381"/>
      <c r="B435" s="171" t="s">
        <v>1227</v>
      </c>
      <c r="C435" s="172" t="s">
        <v>1228</v>
      </c>
      <c r="D435" s="177" t="s">
        <v>1229</v>
      </c>
      <c r="E435" s="172" t="s">
        <v>23</v>
      </c>
      <c r="F435" s="172" t="s">
        <v>1230</v>
      </c>
      <c r="G435" s="189" t="s">
        <v>1231</v>
      </c>
      <c r="H435" s="174" t="s">
        <v>24</v>
      </c>
      <c r="I435" s="174"/>
      <c r="J435" s="174"/>
    </row>
    <row r="436" spans="1:10" ht="120" customHeight="1">
      <c r="A436" s="381"/>
      <c r="B436" s="171" t="s">
        <v>1227</v>
      </c>
      <c r="C436" s="172" t="s">
        <v>1232</v>
      </c>
      <c r="D436" s="177" t="s">
        <v>1233</v>
      </c>
      <c r="E436" s="172" t="s">
        <v>23</v>
      </c>
      <c r="F436" s="172" t="s">
        <v>1234</v>
      </c>
      <c r="G436" s="189" t="s">
        <v>1235</v>
      </c>
      <c r="H436" s="174" t="s">
        <v>24</v>
      </c>
      <c r="I436" s="174"/>
      <c r="J436" s="174"/>
    </row>
    <row r="437" spans="1:10" ht="120" customHeight="1">
      <c r="A437" s="381"/>
      <c r="B437" s="171" t="s">
        <v>1227</v>
      </c>
      <c r="C437" s="172" t="s">
        <v>1236</v>
      </c>
      <c r="D437" s="177" t="s">
        <v>1237</v>
      </c>
      <c r="E437" s="172" t="s">
        <v>23</v>
      </c>
      <c r="F437" s="172" t="s">
        <v>11143</v>
      </c>
      <c r="G437" s="189" t="s">
        <v>1238</v>
      </c>
      <c r="H437" s="174" t="s">
        <v>24</v>
      </c>
      <c r="I437" s="174"/>
      <c r="J437" s="174"/>
    </row>
    <row r="438" spans="1:10" ht="120" customHeight="1">
      <c r="A438" s="381"/>
      <c r="B438" s="171" t="s">
        <v>1227</v>
      </c>
      <c r="C438" s="172" t="s">
        <v>1239</v>
      </c>
      <c r="D438" s="177" t="s">
        <v>1240</v>
      </c>
      <c r="E438" s="172" t="s">
        <v>23</v>
      </c>
      <c r="F438" s="172" t="s">
        <v>1241</v>
      </c>
      <c r="G438" s="189" t="s">
        <v>1235</v>
      </c>
      <c r="H438" s="174" t="s">
        <v>36</v>
      </c>
      <c r="I438" s="174"/>
      <c r="J438" s="174"/>
    </row>
    <row r="439" spans="1:10" ht="120" customHeight="1">
      <c r="A439" s="381"/>
      <c r="B439" s="171" t="s">
        <v>1227</v>
      </c>
      <c r="C439" s="172" t="s">
        <v>1242</v>
      </c>
      <c r="D439" s="177" t="s">
        <v>1243</v>
      </c>
      <c r="E439" s="172" t="s">
        <v>1244</v>
      </c>
      <c r="F439" s="172" t="s">
        <v>11144</v>
      </c>
      <c r="G439" s="189" t="s">
        <v>1245</v>
      </c>
      <c r="H439" s="174" t="s">
        <v>24</v>
      </c>
      <c r="I439" s="174"/>
      <c r="J439" s="174"/>
    </row>
    <row r="440" spans="1:10" ht="120" customHeight="1">
      <c r="A440" s="381"/>
      <c r="B440" s="171" t="s">
        <v>1227</v>
      </c>
      <c r="C440" s="172" t="s">
        <v>1246</v>
      </c>
      <c r="D440" s="177" t="s">
        <v>1247</v>
      </c>
      <c r="E440" s="172" t="s">
        <v>1248</v>
      </c>
      <c r="F440" s="172" t="s">
        <v>1249</v>
      </c>
      <c r="G440" s="189" t="s">
        <v>1250</v>
      </c>
      <c r="H440" s="174" t="s">
        <v>24</v>
      </c>
      <c r="I440" s="174"/>
      <c r="J440" s="174"/>
    </row>
    <row r="441" spans="1:10" ht="120" customHeight="1">
      <c r="A441" s="381"/>
      <c r="B441" s="171" t="s">
        <v>1227</v>
      </c>
      <c r="C441" s="172" t="s">
        <v>1251</v>
      </c>
      <c r="D441" s="177" t="s">
        <v>1252</v>
      </c>
      <c r="E441" s="172" t="s">
        <v>23</v>
      </c>
      <c r="F441" s="172" t="s">
        <v>1253</v>
      </c>
      <c r="G441" s="189" t="s">
        <v>1254</v>
      </c>
      <c r="H441" s="174" t="s">
        <v>24</v>
      </c>
      <c r="I441" s="174"/>
      <c r="J441" s="174"/>
    </row>
    <row r="442" spans="1:10" ht="120" customHeight="1">
      <c r="A442" s="381"/>
      <c r="B442" s="171" t="s">
        <v>1227</v>
      </c>
      <c r="C442" s="172" t="s">
        <v>1255</v>
      </c>
      <c r="D442" s="177" t="s">
        <v>1256</v>
      </c>
      <c r="E442" s="172" t="s">
        <v>23</v>
      </c>
      <c r="F442" s="172" t="s">
        <v>1257</v>
      </c>
      <c r="G442" s="189" t="s">
        <v>1258</v>
      </c>
      <c r="H442" s="174" t="s">
        <v>36</v>
      </c>
      <c r="I442" s="174"/>
      <c r="J442" s="174"/>
    </row>
    <row r="443" spans="1:10" ht="120" customHeight="1">
      <c r="A443" s="381"/>
      <c r="B443" s="171" t="s">
        <v>1227</v>
      </c>
      <c r="C443" s="172" t="s">
        <v>1259</v>
      </c>
      <c r="D443" s="177" t="s">
        <v>1260</v>
      </c>
      <c r="E443" s="172" t="s">
        <v>1261</v>
      </c>
      <c r="F443" s="172" t="s">
        <v>1262</v>
      </c>
      <c r="G443" s="189" t="s">
        <v>1263</v>
      </c>
      <c r="H443" s="174" t="s">
        <v>24</v>
      </c>
      <c r="I443" s="174"/>
      <c r="J443" s="174"/>
    </row>
    <row r="444" spans="1:10" ht="120" customHeight="1">
      <c r="A444" s="381"/>
      <c r="B444" s="171" t="s">
        <v>1227</v>
      </c>
      <c r="C444" s="172" t="s">
        <v>1264</v>
      </c>
      <c r="D444" s="177" t="s">
        <v>1265</v>
      </c>
      <c r="E444" s="172" t="s">
        <v>23</v>
      </c>
      <c r="F444" s="172" t="s">
        <v>1266</v>
      </c>
      <c r="G444" s="189" t="s">
        <v>1267</v>
      </c>
      <c r="H444" s="174" t="s">
        <v>24</v>
      </c>
      <c r="I444" s="174"/>
      <c r="J444" s="174"/>
    </row>
    <row r="445" spans="1:10" ht="120" customHeight="1">
      <c r="A445" s="381"/>
      <c r="B445" s="171" t="s">
        <v>1227</v>
      </c>
      <c r="C445" s="172" t="s">
        <v>1268</v>
      </c>
      <c r="D445" s="172" t="s">
        <v>1269</v>
      </c>
      <c r="E445" s="172" t="s">
        <v>23</v>
      </c>
      <c r="F445" s="172" t="s">
        <v>1270</v>
      </c>
      <c r="G445" s="189" t="s">
        <v>1271</v>
      </c>
      <c r="H445" s="174" t="s">
        <v>41</v>
      </c>
      <c r="I445" s="174"/>
      <c r="J445" s="174"/>
    </row>
    <row r="446" spans="1:10" ht="120" customHeight="1">
      <c r="A446" s="381"/>
      <c r="B446" s="171" t="s">
        <v>1227</v>
      </c>
      <c r="C446" s="172" t="s">
        <v>1272</v>
      </c>
      <c r="D446" s="172" t="s">
        <v>1273</v>
      </c>
      <c r="E446" s="172" t="s">
        <v>23</v>
      </c>
      <c r="F446" s="172" t="s">
        <v>1274</v>
      </c>
      <c r="G446" s="189" t="s">
        <v>1275</v>
      </c>
      <c r="H446" s="174" t="s">
        <v>41</v>
      </c>
      <c r="I446" s="174"/>
      <c r="J446" s="174"/>
    </row>
    <row r="447" spans="1:10" ht="120" customHeight="1">
      <c r="A447" s="381"/>
      <c r="B447" s="171" t="s">
        <v>1227</v>
      </c>
      <c r="C447" s="172" t="s">
        <v>1276</v>
      </c>
      <c r="D447" s="172" t="s">
        <v>1277</v>
      </c>
      <c r="E447" s="172" t="s">
        <v>1278</v>
      </c>
      <c r="F447" s="172" t="s">
        <v>1279</v>
      </c>
      <c r="G447" s="189" t="s">
        <v>1280</v>
      </c>
      <c r="H447" s="174" t="s">
        <v>41</v>
      </c>
      <c r="I447" s="174"/>
      <c r="J447" s="174"/>
    </row>
    <row r="448" spans="1:10" ht="120" customHeight="1">
      <c r="A448" s="381"/>
      <c r="B448" s="171" t="s">
        <v>1227</v>
      </c>
      <c r="C448" s="172" t="s">
        <v>1281</v>
      </c>
      <c r="D448" s="177" t="s">
        <v>1282</v>
      </c>
      <c r="E448" s="172" t="s">
        <v>1283</v>
      </c>
      <c r="F448" s="172" t="s">
        <v>11145</v>
      </c>
      <c r="G448" s="189" t="s">
        <v>1284</v>
      </c>
      <c r="H448" s="174" t="s">
        <v>41</v>
      </c>
      <c r="I448" s="174"/>
      <c r="J448" s="174"/>
    </row>
    <row r="449" spans="1:10" ht="120" customHeight="1">
      <c r="A449" s="381"/>
      <c r="B449" s="171" t="s">
        <v>1227</v>
      </c>
      <c r="C449" s="172" t="s">
        <v>1285</v>
      </c>
      <c r="D449" s="177" t="s">
        <v>1286</v>
      </c>
      <c r="E449" s="172" t="s">
        <v>1283</v>
      </c>
      <c r="F449" s="172" t="s">
        <v>1287</v>
      </c>
      <c r="G449" s="189" t="s">
        <v>1288</v>
      </c>
      <c r="H449" s="174" t="s">
        <v>24</v>
      </c>
      <c r="I449" s="174"/>
      <c r="J449" s="174"/>
    </row>
    <row r="450" spans="1:10" ht="120" customHeight="1">
      <c r="A450" s="381"/>
      <c r="B450" s="171" t="s">
        <v>1227</v>
      </c>
      <c r="C450" s="172" t="s">
        <v>1289</v>
      </c>
      <c r="D450" s="177" t="s">
        <v>1290</v>
      </c>
      <c r="E450" s="172" t="s">
        <v>1283</v>
      </c>
      <c r="F450" s="172" t="s">
        <v>1291</v>
      </c>
      <c r="G450" s="189" t="s">
        <v>1288</v>
      </c>
      <c r="H450" s="174" t="s">
        <v>24</v>
      </c>
      <c r="I450" s="174"/>
      <c r="J450" s="174"/>
    </row>
    <row r="451" spans="1:10" ht="120" customHeight="1">
      <c r="A451" s="375"/>
      <c r="B451" s="322" t="s">
        <v>1227</v>
      </c>
      <c r="C451" s="242" t="s">
        <v>1292</v>
      </c>
      <c r="D451" s="242" t="s">
        <v>1293</v>
      </c>
      <c r="E451" s="242" t="s">
        <v>1294</v>
      </c>
      <c r="F451" s="242" t="s">
        <v>11146</v>
      </c>
      <c r="G451" s="305" t="s">
        <v>11147</v>
      </c>
      <c r="H451" s="445" t="s">
        <v>30</v>
      </c>
      <c r="I451" s="181"/>
      <c r="J451" s="174"/>
    </row>
    <row r="452" spans="1:10" ht="120" customHeight="1">
      <c r="A452" s="381"/>
      <c r="B452" s="260" t="s">
        <v>1227</v>
      </c>
      <c r="C452" s="172" t="s">
        <v>11148</v>
      </c>
      <c r="D452" s="172" t="s">
        <v>11149</v>
      </c>
      <c r="E452" s="172" t="s">
        <v>11150</v>
      </c>
      <c r="F452" s="172" t="s">
        <v>11151</v>
      </c>
      <c r="G452" s="189" t="s">
        <v>11152</v>
      </c>
      <c r="H452" s="181"/>
      <c r="I452" s="312"/>
      <c r="J452" s="174"/>
    </row>
    <row r="453" spans="1:10" ht="120" customHeight="1">
      <c r="A453" s="381"/>
      <c r="B453" s="260" t="s">
        <v>1227</v>
      </c>
      <c r="C453" s="172" t="s">
        <v>11153</v>
      </c>
      <c r="D453" s="172" t="s">
        <v>11154</v>
      </c>
      <c r="E453" s="172" t="s">
        <v>11150</v>
      </c>
      <c r="F453" s="172" t="s">
        <v>11155</v>
      </c>
      <c r="G453" s="189" t="s">
        <v>11156</v>
      </c>
      <c r="H453" s="181"/>
      <c r="I453" s="312"/>
      <c r="J453" s="174"/>
    </row>
    <row r="454" spans="1:10" ht="120" customHeight="1">
      <c r="A454" s="381"/>
      <c r="B454" s="260" t="s">
        <v>1227</v>
      </c>
      <c r="C454" s="172" t="s">
        <v>11157</v>
      </c>
      <c r="D454" s="172" t="s">
        <v>11158</v>
      </c>
      <c r="E454" s="172" t="s">
        <v>11150</v>
      </c>
      <c r="F454" s="172" t="s">
        <v>11159</v>
      </c>
      <c r="G454" s="189" t="s">
        <v>11160</v>
      </c>
      <c r="H454" s="181"/>
      <c r="I454" s="312"/>
      <c r="J454" s="174"/>
    </row>
    <row r="455" spans="1:10" ht="120" customHeight="1">
      <c r="A455" s="381"/>
      <c r="B455" s="260" t="s">
        <v>1227</v>
      </c>
      <c r="C455" s="172" t="s">
        <v>11161</v>
      </c>
      <c r="D455" s="172" t="s">
        <v>11162</v>
      </c>
      <c r="E455" s="172" t="s">
        <v>1294</v>
      </c>
      <c r="F455" s="172" t="s">
        <v>11163</v>
      </c>
      <c r="G455" s="189" t="s">
        <v>11164</v>
      </c>
      <c r="H455" s="181"/>
      <c r="I455" s="312"/>
      <c r="J455" s="174"/>
    </row>
    <row r="456" spans="1:10" ht="120" customHeight="1">
      <c r="A456" s="376"/>
      <c r="B456" s="307" t="s">
        <v>1297</v>
      </c>
      <c r="C456" s="301" t="s">
        <v>1298</v>
      </c>
      <c r="D456" s="314" t="s">
        <v>1299</v>
      </c>
      <c r="E456" s="301" t="s">
        <v>23</v>
      </c>
      <c r="F456" s="301" t="s">
        <v>1300</v>
      </c>
      <c r="G456" s="302" t="s">
        <v>1301</v>
      </c>
      <c r="H456" s="405" t="s">
        <v>24</v>
      </c>
      <c r="I456" s="174"/>
      <c r="J456" s="174"/>
    </row>
    <row r="457" spans="1:10" ht="120" customHeight="1">
      <c r="A457" s="381"/>
      <c r="B457" s="178" t="s">
        <v>1297</v>
      </c>
      <c r="C457" s="172" t="s">
        <v>1302</v>
      </c>
      <c r="D457" s="177" t="s">
        <v>1303</v>
      </c>
      <c r="E457" s="172" t="s">
        <v>23</v>
      </c>
      <c r="F457" s="172" t="s">
        <v>1304</v>
      </c>
      <c r="G457" s="189" t="s">
        <v>1305</v>
      </c>
      <c r="H457" s="174" t="s">
        <v>41</v>
      </c>
      <c r="I457" s="174"/>
      <c r="J457" s="174"/>
    </row>
    <row r="458" spans="1:10" ht="120" customHeight="1">
      <c r="A458" s="381"/>
      <c r="B458" s="178" t="s">
        <v>1297</v>
      </c>
      <c r="C458" s="172" t="s">
        <v>1306</v>
      </c>
      <c r="D458" s="177" t="s">
        <v>1307</v>
      </c>
      <c r="E458" s="172" t="s">
        <v>23</v>
      </c>
      <c r="F458" s="172" t="s">
        <v>1308</v>
      </c>
      <c r="G458" s="189" t="s">
        <v>1305</v>
      </c>
      <c r="H458" s="174" t="s">
        <v>24</v>
      </c>
      <c r="I458" s="174"/>
      <c r="J458" s="174"/>
    </row>
    <row r="459" spans="1:10" ht="120" customHeight="1">
      <c r="A459" s="381"/>
      <c r="B459" s="178" t="s">
        <v>1297</v>
      </c>
      <c r="C459" s="172" t="s">
        <v>1309</v>
      </c>
      <c r="D459" s="177" t="s">
        <v>1310</v>
      </c>
      <c r="E459" s="172" t="s">
        <v>23</v>
      </c>
      <c r="F459" s="172" t="s">
        <v>1311</v>
      </c>
      <c r="G459" s="189" t="s">
        <v>1305</v>
      </c>
      <c r="H459" s="174" t="s">
        <v>24</v>
      </c>
      <c r="I459" s="174"/>
      <c r="J459" s="174"/>
    </row>
    <row r="460" spans="1:10" ht="120" customHeight="1">
      <c r="A460" s="381"/>
      <c r="B460" s="178" t="s">
        <v>1297</v>
      </c>
      <c r="C460" s="210" t="s">
        <v>1312</v>
      </c>
      <c r="D460" s="177" t="s">
        <v>1313</v>
      </c>
      <c r="E460" s="177" t="s">
        <v>23</v>
      </c>
      <c r="F460" s="172" t="s">
        <v>11165</v>
      </c>
      <c r="G460" s="203" t="s">
        <v>1314</v>
      </c>
      <c r="H460" s="181" t="s">
        <v>24</v>
      </c>
      <c r="I460" s="181"/>
      <c r="J460" s="181"/>
    </row>
    <row r="461" spans="1:10" ht="120" customHeight="1">
      <c r="A461" s="381"/>
      <c r="B461" s="178" t="s">
        <v>1297</v>
      </c>
      <c r="C461" s="172" t="s">
        <v>1315</v>
      </c>
      <c r="D461" s="177" t="s">
        <v>1316</v>
      </c>
      <c r="E461" s="172" t="s">
        <v>23</v>
      </c>
      <c r="F461" s="172" t="s">
        <v>1317</v>
      </c>
      <c r="G461" s="189" t="s">
        <v>1318</v>
      </c>
      <c r="H461" s="174" t="s">
        <v>41</v>
      </c>
      <c r="I461" s="174"/>
      <c r="J461" s="174"/>
    </row>
    <row r="462" spans="1:10" ht="120" customHeight="1">
      <c r="A462" s="381"/>
      <c r="B462" s="178" t="s">
        <v>1297</v>
      </c>
      <c r="C462" s="172" t="s">
        <v>1319</v>
      </c>
      <c r="D462" s="177" t="s">
        <v>1320</v>
      </c>
      <c r="E462" s="172" t="s">
        <v>1321</v>
      </c>
      <c r="F462" s="177" t="s">
        <v>1322</v>
      </c>
      <c r="G462" s="189" t="s">
        <v>1323</v>
      </c>
      <c r="H462" s="174" t="s">
        <v>117</v>
      </c>
      <c r="I462" s="174"/>
      <c r="J462" s="174"/>
    </row>
    <row r="463" spans="1:10" ht="120" customHeight="1">
      <c r="A463" s="381"/>
      <c r="B463" s="178" t="s">
        <v>1297</v>
      </c>
      <c r="C463" s="172" t="s">
        <v>1324</v>
      </c>
      <c r="D463" s="177" t="s">
        <v>1325</v>
      </c>
      <c r="E463" s="172" t="s">
        <v>1326</v>
      </c>
      <c r="F463" s="172" t="s">
        <v>1327</v>
      </c>
      <c r="G463" s="189" t="s">
        <v>1328</v>
      </c>
      <c r="H463" s="174" t="s">
        <v>24</v>
      </c>
      <c r="I463" s="174"/>
      <c r="J463" s="174"/>
    </row>
    <row r="464" spans="1:10" ht="120" customHeight="1">
      <c r="A464" s="381"/>
      <c r="B464" s="178" t="s">
        <v>1297</v>
      </c>
      <c r="C464" s="172" t="s">
        <v>1329</v>
      </c>
      <c r="D464" s="172" t="s">
        <v>1330</v>
      </c>
      <c r="E464" s="172" t="s">
        <v>1326</v>
      </c>
      <c r="F464" s="172" t="s">
        <v>1331</v>
      </c>
      <c r="G464" s="189" t="s">
        <v>1332</v>
      </c>
      <c r="H464" s="174" t="s">
        <v>24</v>
      </c>
      <c r="I464" s="174"/>
      <c r="J464" s="174"/>
    </row>
    <row r="465" spans="1:10" ht="120" customHeight="1">
      <c r="A465" s="381"/>
      <c r="B465" s="178" t="s">
        <v>1297</v>
      </c>
      <c r="C465" s="172" t="s">
        <v>1333</v>
      </c>
      <c r="D465" s="177" t="s">
        <v>1334</v>
      </c>
      <c r="E465" s="172" t="s">
        <v>23</v>
      </c>
      <c r="F465" s="172" t="s">
        <v>1335</v>
      </c>
      <c r="G465" s="189" t="s">
        <v>1336</v>
      </c>
      <c r="H465" s="174" t="s">
        <v>41</v>
      </c>
      <c r="I465" s="174"/>
      <c r="J465" s="174"/>
    </row>
    <row r="466" spans="1:10" ht="120" customHeight="1">
      <c r="A466" s="381"/>
      <c r="B466" s="178" t="s">
        <v>1297</v>
      </c>
      <c r="C466" s="172" t="s">
        <v>1337</v>
      </c>
      <c r="D466" s="172" t="s">
        <v>1338</v>
      </c>
      <c r="E466" s="172" t="s">
        <v>1326</v>
      </c>
      <c r="F466" s="172" t="s">
        <v>1339</v>
      </c>
      <c r="G466" s="189" t="s">
        <v>1340</v>
      </c>
      <c r="H466" s="174" t="s">
        <v>24</v>
      </c>
      <c r="I466" s="174"/>
      <c r="J466" s="174"/>
    </row>
    <row r="467" spans="1:10" ht="120" customHeight="1">
      <c r="A467" s="381"/>
      <c r="B467" s="178" t="s">
        <v>1297</v>
      </c>
      <c r="C467" s="172" t="s">
        <v>1341</v>
      </c>
      <c r="D467" s="177" t="s">
        <v>1342</v>
      </c>
      <c r="E467" s="172" t="s">
        <v>1321</v>
      </c>
      <c r="F467" s="172" t="s">
        <v>1343</v>
      </c>
      <c r="G467" s="189" t="s">
        <v>1344</v>
      </c>
      <c r="H467" s="174" t="s">
        <v>36</v>
      </c>
      <c r="I467" s="174"/>
      <c r="J467" s="174"/>
    </row>
    <row r="468" spans="1:10" ht="120" customHeight="1">
      <c r="A468" s="381"/>
      <c r="B468" s="178" t="s">
        <v>1297</v>
      </c>
      <c r="C468" s="172" t="s">
        <v>1345</v>
      </c>
      <c r="D468" s="177" t="s">
        <v>1346</v>
      </c>
      <c r="E468" s="172" t="s">
        <v>1326</v>
      </c>
      <c r="F468" s="172" t="s">
        <v>11166</v>
      </c>
      <c r="G468" s="189" t="s">
        <v>1347</v>
      </c>
      <c r="H468" s="174" t="s">
        <v>24</v>
      </c>
      <c r="I468" s="174"/>
      <c r="J468" s="174"/>
    </row>
    <row r="469" spans="1:10" ht="120" customHeight="1">
      <c r="A469" s="381"/>
      <c r="B469" s="171" t="s">
        <v>1348</v>
      </c>
      <c r="C469" s="172" t="s">
        <v>1349</v>
      </c>
      <c r="D469" s="172" t="s">
        <v>1350</v>
      </c>
      <c r="E469" s="172" t="s">
        <v>1351</v>
      </c>
      <c r="F469" s="172" t="s">
        <v>1352</v>
      </c>
      <c r="G469" s="189" t="s">
        <v>1353</v>
      </c>
      <c r="H469" s="174" t="s">
        <v>24</v>
      </c>
      <c r="I469" s="174"/>
      <c r="J469" s="174"/>
    </row>
    <row r="470" spans="1:10" ht="120" customHeight="1">
      <c r="A470" s="381"/>
      <c r="B470" s="171" t="s">
        <v>1348</v>
      </c>
      <c r="C470" s="172" t="s">
        <v>1354</v>
      </c>
      <c r="D470" s="172" t="s">
        <v>1355</v>
      </c>
      <c r="E470" s="172" t="s">
        <v>1356</v>
      </c>
      <c r="F470" s="172" t="s">
        <v>1357</v>
      </c>
      <c r="G470" s="189" t="s">
        <v>1358</v>
      </c>
      <c r="H470" s="174" t="s">
        <v>24</v>
      </c>
      <c r="I470" s="174"/>
      <c r="J470" s="174"/>
    </row>
    <row r="471" spans="1:10" ht="120" customHeight="1">
      <c r="A471" s="381"/>
      <c r="B471" s="171" t="s">
        <v>1348</v>
      </c>
      <c r="C471" s="172" t="s">
        <v>1359</v>
      </c>
      <c r="D471" s="172" t="s">
        <v>1360</v>
      </c>
      <c r="E471" s="172" t="s">
        <v>1356</v>
      </c>
      <c r="F471" s="172" t="s">
        <v>1361</v>
      </c>
      <c r="G471" s="189" t="s">
        <v>1362</v>
      </c>
      <c r="H471" s="174" t="s">
        <v>24</v>
      </c>
      <c r="I471" s="174"/>
      <c r="J471" s="174"/>
    </row>
    <row r="472" spans="1:10" ht="120" customHeight="1">
      <c r="A472" s="381"/>
      <c r="B472" s="171" t="s">
        <v>1348</v>
      </c>
      <c r="C472" s="172" t="s">
        <v>1363</v>
      </c>
      <c r="D472" s="172" t="s">
        <v>1364</v>
      </c>
      <c r="E472" s="172" t="s">
        <v>1356</v>
      </c>
      <c r="F472" s="172" t="s">
        <v>1365</v>
      </c>
      <c r="G472" s="189" t="s">
        <v>1366</v>
      </c>
      <c r="H472" s="174" t="s">
        <v>184</v>
      </c>
      <c r="I472" s="174"/>
      <c r="J472" s="174"/>
    </row>
    <row r="473" spans="1:10" ht="120" customHeight="1">
      <c r="A473" s="381"/>
      <c r="B473" s="171" t="s">
        <v>1348</v>
      </c>
      <c r="C473" s="172" t="s">
        <v>1367</v>
      </c>
      <c r="D473" s="172" t="s">
        <v>1368</v>
      </c>
      <c r="E473" s="172" t="s">
        <v>1356</v>
      </c>
      <c r="F473" s="172" t="s">
        <v>1369</v>
      </c>
      <c r="G473" s="189" t="s">
        <v>1370</v>
      </c>
      <c r="H473" s="174" t="s">
        <v>24</v>
      </c>
      <c r="I473" s="174"/>
      <c r="J473" s="174"/>
    </row>
    <row r="474" spans="1:10" ht="120" customHeight="1">
      <c r="A474" s="381"/>
      <c r="B474" s="171" t="s">
        <v>1348</v>
      </c>
      <c r="C474" s="172" t="s">
        <v>1371</v>
      </c>
      <c r="D474" s="177" t="s">
        <v>1372</v>
      </c>
      <c r="E474" s="172" t="s">
        <v>1356</v>
      </c>
      <c r="F474" s="172" t="s">
        <v>1373</v>
      </c>
      <c r="G474" s="189" t="s">
        <v>1374</v>
      </c>
      <c r="H474" s="174" t="s">
        <v>36</v>
      </c>
      <c r="I474" s="174"/>
      <c r="J474" s="174"/>
    </row>
    <row r="475" spans="1:10" ht="120" customHeight="1">
      <c r="A475" s="381"/>
      <c r="B475" s="171" t="s">
        <v>1348</v>
      </c>
      <c r="C475" s="172" t="s">
        <v>1375</v>
      </c>
      <c r="D475" s="172" t="s">
        <v>1376</v>
      </c>
      <c r="E475" s="172" t="s">
        <v>1351</v>
      </c>
      <c r="F475" s="172" t="s">
        <v>1377</v>
      </c>
      <c r="G475" s="189" t="s">
        <v>1378</v>
      </c>
      <c r="H475" s="174" t="s">
        <v>117</v>
      </c>
      <c r="I475" s="174"/>
      <c r="J475" s="174"/>
    </row>
    <row r="476" spans="1:10" ht="120" customHeight="1">
      <c r="A476" s="381"/>
      <c r="B476" s="171" t="s">
        <v>1348</v>
      </c>
      <c r="C476" s="172" t="s">
        <v>1379</v>
      </c>
      <c r="D476" s="172" t="s">
        <v>1380</v>
      </c>
      <c r="E476" s="172" t="s">
        <v>1351</v>
      </c>
      <c r="F476" s="172" t="s">
        <v>1381</v>
      </c>
      <c r="G476" s="189" t="s">
        <v>1382</v>
      </c>
      <c r="H476" s="174" t="s">
        <v>36</v>
      </c>
      <c r="I476" s="174"/>
      <c r="J476" s="174"/>
    </row>
    <row r="477" spans="1:10" ht="120" customHeight="1">
      <c r="A477" s="381"/>
      <c r="B477" s="171" t="s">
        <v>1348</v>
      </c>
      <c r="C477" s="172" t="s">
        <v>1383</v>
      </c>
      <c r="D477" s="172" t="s">
        <v>1384</v>
      </c>
      <c r="E477" s="172" t="s">
        <v>1351</v>
      </c>
      <c r="F477" s="172" t="s">
        <v>1385</v>
      </c>
      <c r="G477" s="189" t="s">
        <v>1386</v>
      </c>
      <c r="H477" s="174" t="s">
        <v>36</v>
      </c>
      <c r="I477" s="174"/>
      <c r="J477" s="174"/>
    </row>
    <row r="478" spans="1:10" ht="120" customHeight="1">
      <c r="A478" s="381"/>
      <c r="B478" s="171" t="s">
        <v>1348</v>
      </c>
      <c r="C478" s="172" t="s">
        <v>1387</v>
      </c>
      <c r="D478" s="172" t="s">
        <v>1388</v>
      </c>
      <c r="E478" s="172" t="s">
        <v>1351</v>
      </c>
      <c r="F478" s="172" t="s">
        <v>1389</v>
      </c>
      <c r="G478" s="189" t="s">
        <v>1390</v>
      </c>
      <c r="H478" s="174" t="s">
        <v>36</v>
      </c>
      <c r="I478" s="174"/>
      <c r="J478" s="174"/>
    </row>
    <row r="479" spans="1:10" ht="120" customHeight="1">
      <c r="A479" s="381"/>
      <c r="B479" s="171" t="s">
        <v>1348</v>
      </c>
      <c r="C479" s="172" t="s">
        <v>1391</v>
      </c>
      <c r="D479" s="172" t="s">
        <v>1392</v>
      </c>
      <c r="E479" s="172" t="s">
        <v>1351</v>
      </c>
      <c r="F479" s="172" t="s">
        <v>1393</v>
      </c>
      <c r="G479" s="189" t="s">
        <v>1394</v>
      </c>
      <c r="H479" s="174" t="s">
        <v>36</v>
      </c>
      <c r="I479" s="174"/>
      <c r="J479" s="174"/>
    </row>
    <row r="480" spans="1:10" ht="120" customHeight="1">
      <c r="A480" s="381"/>
      <c r="B480" s="171" t="s">
        <v>1348</v>
      </c>
      <c r="C480" s="172" t="s">
        <v>1395</v>
      </c>
      <c r="D480" s="172" t="s">
        <v>1396</v>
      </c>
      <c r="E480" s="172" t="s">
        <v>1351</v>
      </c>
      <c r="F480" s="172" t="s">
        <v>1397</v>
      </c>
      <c r="G480" s="189" t="s">
        <v>1398</v>
      </c>
      <c r="H480" s="174" t="s">
        <v>30</v>
      </c>
      <c r="I480" s="174"/>
      <c r="J480" s="174"/>
    </row>
    <row r="481" spans="1:10" ht="120" customHeight="1">
      <c r="A481" s="381"/>
      <c r="B481" s="171" t="s">
        <v>1348</v>
      </c>
      <c r="C481" s="172" t="s">
        <v>1399</v>
      </c>
      <c r="D481" s="172" t="s">
        <v>1400</v>
      </c>
      <c r="E481" s="172" t="s">
        <v>1351</v>
      </c>
      <c r="F481" s="172" t="s">
        <v>1401</v>
      </c>
      <c r="G481" s="189" t="s">
        <v>1402</v>
      </c>
      <c r="H481" s="174" t="s">
        <v>24</v>
      </c>
      <c r="I481" s="174"/>
      <c r="J481" s="174"/>
    </row>
    <row r="482" spans="1:10" ht="120" customHeight="1">
      <c r="A482" s="381"/>
      <c r="B482" s="171" t="s">
        <v>1348</v>
      </c>
      <c r="C482" s="172" t="s">
        <v>1403</v>
      </c>
      <c r="D482" s="172" t="s">
        <v>1404</v>
      </c>
      <c r="E482" s="172" t="s">
        <v>1351</v>
      </c>
      <c r="F482" s="172" t="s">
        <v>1405</v>
      </c>
      <c r="G482" s="189" t="s">
        <v>1406</v>
      </c>
      <c r="H482" s="174" t="s">
        <v>36</v>
      </c>
      <c r="I482" s="174"/>
      <c r="J482" s="174"/>
    </row>
    <row r="483" spans="1:10" ht="120" customHeight="1">
      <c r="A483" s="381"/>
      <c r="B483" s="171" t="s">
        <v>1348</v>
      </c>
      <c r="C483" s="172" t="s">
        <v>1407</v>
      </c>
      <c r="D483" s="172" t="s">
        <v>1408</v>
      </c>
      <c r="E483" s="172" t="s">
        <v>1351</v>
      </c>
      <c r="F483" s="172" t="s">
        <v>1409</v>
      </c>
      <c r="G483" s="189" t="s">
        <v>1410</v>
      </c>
      <c r="H483" s="174" t="s">
        <v>24</v>
      </c>
      <c r="I483" s="174"/>
      <c r="J483" s="174"/>
    </row>
    <row r="484" spans="1:10" ht="120" customHeight="1">
      <c r="A484" s="381"/>
      <c r="B484" s="171" t="s">
        <v>1348</v>
      </c>
      <c r="C484" s="172" t="s">
        <v>1411</v>
      </c>
      <c r="D484" s="172" t="s">
        <v>1412</v>
      </c>
      <c r="E484" s="172" t="s">
        <v>1351</v>
      </c>
      <c r="F484" s="172" t="s">
        <v>1413</v>
      </c>
      <c r="G484" s="189" t="s">
        <v>1414</v>
      </c>
      <c r="H484" s="174" t="s">
        <v>24</v>
      </c>
      <c r="I484" s="174"/>
      <c r="J484" s="174"/>
    </row>
    <row r="485" spans="1:10" ht="120" customHeight="1">
      <c r="A485" s="381"/>
      <c r="B485" s="171" t="s">
        <v>1348</v>
      </c>
      <c r="C485" s="172" t="s">
        <v>1415</v>
      </c>
      <c r="D485" s="172" t="s">
        <v>1416</v>
      </c>
      <c r="E485" s="172" t="s">
        <v>1351</v>
      </c>
      <c r="F485" s="172" t="s">
        <v>1417</v>
      </c>
      <c r="G485" s="189" t="s">
        <v>1418</v>
      </c>
      <c r="H485" s="174" t="s">
        <v>41</v>
      </c>
      <c r="I485" s="174"/>
      <c r="J485" s="174"/>
    </row>
    <row r="486" spans="1:10" ht="120" customHeight="1">
      <c r="A486" s="381"/>
      <c r="B486" s="171" t="s">
        <v>1348</v>
      </c>
      <c r="C486" s="172" t="s">
        <v>1419</v>
      </c>
      <c r="D486" s="172" t="s">
        <v>1420</v>
      </c>
      <c r="E486" s="172" t="s">
        <v>1351</v>
      </c>
      <c r="F486" s="172" t="s">
        <v>1421</v>
      </c>
      <c r="G486" s="189" t="s">
        <v>1422</v>
      </c>
      <c r="H486" s="174" t="s">
        <v>24</v>
      </c>
      <c r="I486" s="174"/>
      <c r="J486" s="174"/>
    </row>
    <row r="487" spans="1:10" ht="120" customHeight="1">
      <c r="A487" s="381"/>
      <c r="B487" s="171" t="s">
        <v>1348</v>
      </c>
      <c r="C487" s="172" t="s">
        <v>1423</v>
      </c>
      <c r="D487" s="172" t="s">
        <v>1424</v>
      </c>
      <c r="E487" s="172" t="s">
        <v>1351</v>
      </c>
      <c r="F487" s="172" t="s">
        <v>1425</v>
      </c>
      <c r="G487" s="189" t="s">
        <v>1426</v>
      </c>
      <c r="H487" s="174" t="s">
        <v>24</v>
      </c>
      <c r="I487" s="174"/>
      <c r="J487" s="174"/>
    </row>
    <row r="488" spans="1:10" ht="120" customHeight="1">
      <c r="A488" s="381"/>
      <c r="B488" s="171" t="s">
        <v>1348</v>
      </c>
      <c r="C488" s="172" t="s">
        <v>1427</v>
      </c>
      <c r="D488" s="172" t="s">
        <v>1428</v>
      </c>
      <c r="E488" s="172" t="s">
        <v>1351</v>
      </c>
      <c r="F488" s="172" t="s">
        <v>1429</v>
      </c>
      <c r="G488" s="189" t="s">
        <v>1430</v>
      </c>
      <c r="H488" s="174" t="s">
        <v>41</v>
      </c>
      <c r="I488" s="174"/>
      <c r="J488" s="174"/>
    </row>
    <row r="489" spans="1:10" ht="120" customHeight="1">
      <c r="A489" s="381"/>
      <c r="B489" s="171" t="s">
        <v>1348</v>
      </c>
      <c r="C489" s="172" t="s">
        <v>1431</v>
      </c>
      <c r="D489" s="172" t="s">
        <v>1432</v>
      </c>
      <c r="E489" s="172" t="s">
        <v>1351</v>
      </c>
      <c r="F489" s="172" t="s">
        <v>1433</v>
      </c>
      <c r="G489" s="189" t="s">
        <v>1434</v>
      </c>
      <c r="H489" s="174" t="s">
        <v>24</v>
      </c>
      <c r="I489" s="174"/>
      <c r="J489" s="174"/>
    </row>
    <row r="490" spans="1:10" ht="120" customHeight="1">
      <c r="A490" s="381"/>
      <c r="B490" s="171" t="s">
        <v>1348</v>
      </c>
      <c r="C490" s="172" t="s">
        <v>1435</v>
      </c>
      <c r="D490" s="172" t="s">
        <v>1436</v>
      </c>
      <c r="E490" s="172" t="s">
        <v>1351</v>
      </c>
      <c r="F490" s="172" t="s">
        <v>1437</v>
      </c>
      <c r="G490" s="189" t="s">
        <v>1438</v>
      </c>
      <c r="H490" s="174" t="s">
        <v>36</v>
      </c>
      <c r="I490" s="174"/>
      <c r="J490" s="174"/>
    </row>
    <row r="491" spans="1:10" ht="120" customHeight="1">
      <c r="A491" s="381"/>
      <c r="B491" s="171" t="s">
        <v>1439</v>
      </c>
      <c r="C491" s="172" t="s">
        <v>1440</v>
      </c>
      <c r="D491" s="172" t="s">
        <v>1441</v>
      </c>
      <c r="E491" s="172" t="s">
        <v>1351</v>
      </c>
      <c r="F491" s="172" t="s">
        <v>11167</v>
      </c>
      <c r="G491" s="189" t="s">
        <v>11168</v>
      </c>
      <c r="H491" s="174" t="s">
        <v>30</v>
      </c>
      <c r="I491" s="174"/>
      <c r="J491" s="174"/>
    </row>
    <row r="492" spans="1:10" ht="120" customHeight="1">
      <c r="A492" s="381"/>
      <c r="B492" s="178" t="s">
        <v>1439</v>
      </c>
      <c r="C492" s="172" t="s">
        <v>1444</v>
      </c>
      <c r="D492" s="172" t="s">
        <v>1445</v>
      </c>
      <c r="E492" s="172" t="s">
        <v>1351</v>
      </c>
      <c r="F492" s="172" t="s">
        <v>11169</v>
      </c>
      <c r="G492" s="189" t="s">
        <v>1446</v>
      </c>
      <c r="H492" s="174" t="s">
        <v>41</v>
      </c>
      <c r="I492" s="174"/>
      <c r="J492" s="174"/>
    </row>
    <row r="493" spans="1:10" ht="120" customHeight="1">
      <c r="A493" s="381"/>
      <c r="B493" s="178" t="s">
        <v>1439</v>
      </c>
      <c r="C493" s="172" t="s">
        <v>1447</v>
      </c>
      <c r="D493" s="172" t="s">
        <v>1448</v>
      </c>
      <c r="E493" s="172" t="s">
        <v>1351</v>
      </c>
      <c r="F493" s="172" t="s">
        <v>1449</v>
      </c>
      <c r="G493" s="189" t="s">
        <v>1450</v>
      </c>
      <c r="H493" s="174" t="s">
        <v>30</v>
      </c>
      <c r="I493" s="174"/>
      <c r="J493" s="174"/>
    </row>
    <row r="494" spans="1:10" ht="120" customHeight="1">
      <c r="A494" s="381"/>
      <c r="B494" s="178" t="s">
        <v>1439</v>
      </c>
      <c r="C494" s="172" t="s">
        <v>1451</v>
      </c>
      <c r="D494" s="172" t="s">
        <v>1452</v>
      </c>
      <c r="E494" s="172" t="s">
        <v>1351</v>
      </c>
      <c r="F494" s="172" t="s">
        <v>1453</v>
      </c>
      <c r="G494" s="189" t="s">
        <v>1454</v>
      </c>
      <c r="H494" s="174" t="s">
        <v>41</v>
      </c>
      <c r="I494" s="174"/>
      <c r="J494" s="174"/>
    </row>
    <row r="495" spans="1:10" ht="120" customHeight="1">
      <c r="A495" s="381"/>
      <c r="B495" s="178" t="s">
        <v>1439</v>
      </c>
      <c r="C495" s="172" t="s">
        <v>1455</v>
      </c>
      <c r="D495" s="172" t="s">
        <v>1456</v>
      </c>
      <c r="E495" s="172" t="s">
        <v>1351</v>
      </c>
      <c r="F495" s="172" t="s">
        <v>1457</v>
      </c>
      <c r="G495" s="189" t="s">
        <v>1458</v>
      </c>
      <c r="H495" s="174" t="s">
        <v>41</v>
      </c>
      <c r="I495" s="174"/>
      <c r="J495" s="174"/>
    </row>
    <row r="496" spans="1:10" ht="120" customHeight="1">
      <c r="A496" s="381"/>
      <c r="B496" s="178" t="s">
        <v>1439</v>
      </c>
      <c r="C496" s="172" t="s">
        <v>1459</v>
      </c>
      <c r="D496" s="172" t="s">
        <v>1460</v>
      </c>
      <c r="E496" s="172" t="s">
        <v>1326</v>
      </c>
      <c r="F496" s="172" t="s">
        <v>1461</v>
      </c>
      <c r="G496" s="189" t="s">
        <v>1462</v>
      </c>
      <c r="H496" s="174" t="s">
        <v>41</v>
      </c>
      <c r="I496" s="174"/>
      <c r="J496" s="174"/>
    </row>
    <row r="497" spans="1:10" ht="120" customHeight="1">
      <c r="A497" s="381"/>
      <c r="B497" s="178" t="s">
        <v>1439</v>
      </c>
      <c r="C497" s="172" t="s">
        <v>1463</v>
      </c>
      <c r="D497" s="172" t="s">
        <v>1464</v>
      </c>
      <c r="E497" s="172" t="s">
        <v>1326</v>
      </c>
      <c r="F497" s="172" t="s">
        <v>1465</v>
      </c>
      <c r="G497" s="189" t="s">
        <v>1466</v>
      </c>
      <c r="H497" s="174" t="s">
        <v>36</v>
      </c>
      <c r="I497" s="174"/>
      <c r="J497" s="174"/>
    </row>
    <row r="498" spans="1:10" ht="120" customHeight="1">
      <c r="A498" s="381"/>
      <c r="B498" s="178" t="s">
        <v>1439</v>
      </c>
      <c r="C498" s="172" t="s">
        <v>1467</v>
      </c>
      <c r="D498" s="172" t="s">
        <v>1468</v>
      </c>
      <c r="E498" s="172" t="s">
        <v>1326</v>
      </c>
      <c r="F498" s="172" t="s">
        <v>1469</v>
      </c>
      <c r="G498" s="189" t="s">
        <v>1466</v>
      </c>
      <c r="H498" s="174" t="s">
        <v>36</v>
      </c>
      <c r="I498" s="174"/>
      <c r="J498" s="174"/>
    </row>
    <row r="499" spans="1:10" ht="120" customHeight="1">
      <c r="A499" s="170"/>
      <c r="B499" s="178" t="s">
        <v>1439</v>
      </c>
      <c r="C499" s="172" t="s">
        <v>1470</v>
      </c>
      <c r="D499" s="172" t="s">
        <v>1471</v>
      </c>
      <c r="E499" s="172" t="s">
        <v>1326</v>
      </c>
      <c r="F499" s="172" t="s">
        <v>11170</v>
      </c>
      <c r="G499" s="189" t="s">
        <v>11171</v>
      </c>
      <c r="H499" s="174" t="s">
        <v>41</v>
      </c>
      <c r="I499" s="174"/>
      <c r="J499" s="174"/>
    </row>
    <row r="500" spans="1:10" ht="120" customHeight="1">
      <c r="A500" s="170"/>
      <c r="B500" s="178" t="s">
        <v>1439</v>
      </c>
      <c r="C500" s="172" t="s">
        <v>1473</v>
      </c>
      <c r="D500" s="172" t="s">
        <v>1474</v>
      </c>
      <c r="E500" s="172" t="s">
        <v>1326</v>
      </c>
      <c r="F500" s="172" t="s">
        <v>1475</v>
      </c>
      <c r="G500" s="189" t="s">
        <v>11172</v>
      </c>
      <c r="H500" s="174" t="s">
        <v>41</v>
      </c>
      <c r="I500" s="174"/>
      <c r="J500" s="174"/>
    </row>
    <row r="501" spans="1:10" ht="120" customHeight="1">
      <c r="A501" s="298"/>
      <c r="B501" s="446" t="s">
        <v>1477</v>
      </c>
      <c r="C501" s="311" t="s">
        <v>1478</v>
      </c>
      <c r="D501" s="311" t="s">
        <v>1479</v>
      </c>
      <c r="E501" s="311" t="s">
        <v>1326</v>
      </c>
      <c r="F501" s="311" t="s">
        <v>11173</v>
      </c>
      <c r="G501" s="447" t="s">
        <v>11174</v>
      </c>
      <c r="H501" s="408" t="s">
        <v>41</v>
      </c>
      <c r="I501" s="201"/>
      <c r="J501" s="201"/>
    </row>
    <row r="502" spans="1:10" ht="120" customHeight="1">
      <c r="A502" s="170"/>
      <c r="B502" s="178" t="s">
        <v>1477</v>
      </c>
      <c r="C502" s="172" t="s">
        <v>1480</v>
      </c>
      <c r="D502" s="172" t="s">
        <v>1481</v>
      </c>
      <c r="E502" s="172" t="s">
        <v>1326</v>
      </c>
      <c r="F502" s="172" t="s">
        <v>11175</v>
      </c>
      <c r="G502" s="189" t="s">
        <v>1482</v>
      </c>
      <c r="H502" s="174" t="s">
        <v>41</v>
      </c>
      <c r="I502" s="316"/>
      <c r="J502" s="174"/>
    </row>
    <row r="503" spans="1:10" ht="120" customHeight="1">
      <c r="A503" s="287"/>
      <c r="B503" s="211" t="s">
        <v>1477</v>
      </c>
      <c r="C503" s="210" t="s">
        <v>1483</v>
      </c>
      <c r="D503" s="210" t="s">
        <v>1481</v>
      </c>
      <c r="E503" s="210" t="s">
        <v>1326</v>
      </c>
      <c r="F503" s="210" t="s">
        <v>11176</v>
      </c>
      <c r="G503" s="209" t="s">
        <v>1482</v>
      </c>
      <c r="H503" s="201" t="s">
        <v>24</v>
      </c>
      <c r="I503" s="318"/>
      <c r="J503" s="201"/>
    </row>
    <row r="504" spans="1:10" ht="120" customHeight="1">
      <c r="A504" s="379" t="s">
        <v>11177</v>
      </c>
      <c r="B504" s="300" t="s">
        <v>1485</v>
      </c>
      <c r="C504" s="301" t="s">
        <v>1486</v>
      </c>
      <c r="D504" s="301" t="s">
        <v>1487</v>
      </c>
      <c r="E504" s="301" t="s">
        <v>23</v>
      </c>
      <c r="F504" s="301" t="s">
        <v>1488</v>
      </c>
      <c r="G504" s="302" t="s">
        <v>11178</v>
      </c>
      <c r="H504" s="405" t="s">
        <v>24</v>
      </c>
      <c r="I504" s="174"/>
      <c r="J504" s="174"/>
    </row>
    <row r="505" spans="1:10" ht="120" customHeight="1">
      <c r="A505" s="379"/>
      <c r="B505" s="171" t="s">
        <v>1485</v>
      </c>
      <c r="C505" s="172" t="s">
        <v>1490</v>
      </c>
      <c r="D505" s="172" t="s">
        <v>1491</v>
      </c>
      <c r="E505" s="172" t="s">
        <v>23</v>
      </c>
      <c r="F505" s="172" t="s">
        <v>1492</v>
      </c>
      <c r="G505" s="189" t="s">
        <v>1493</v>
      </c>
      <c r="H505" s="174" t="s">
        <v>24</v>
      </c>
      <c r="I505" s="174"/>
      <c r="J505" s="174"/>
    </row>
    <row r="506" spans="1:10" ht="120" customHeight="1">
      <c r="A506" s="379"/>
      <c r="B506" s="171" t="s">
        <v>1485</v>
      </c>
      <c r="C506" s="172" t="s">
        <v>1494</v>
      </c>
      <c r="D506" s="172" t="s">
        <v>1495</v>
      </c>
      <c r="E506" s="172" t="s">
        <v>23</v>
      </c>
      <c r="F506" s="172" t="s">
        <v>1496</v>
      </c>
      <c r="G506" s="189" t="s">
        <v>1497</v>
      </c>
      <c r="H506" s="174" t="s">
        <v>24</v>
      </c>
      <c r="I506" s="174"/>
      <c r="J506" s="174"/>
    </row>
    <row r="507" spans="1:10" ht="120" customHeight="1">
      <c r="A507" s="379"/>
      <c r="B507" s="171" t="s">
        <v>1485</v>
      </c>
      <c r="C507" s="172" t="s">
        <v>1498</v>
      </c>
      <c r="D507" s="172" t="s">
        <v>1499</v>
      </c>
      <c r="E507" s="172" t="s">
        <v>23</v>
      </c>
      <c r="F507" s="172" t="s">
        <v>1500</v>
      </c>
      <c r="G507" s="189" t="s">
        <v>1501</v>
      </c>
      <c r="H507" s="174" t="s">
        <v>24</v>
      </c>
      <c r="I507" s="174"/>
      <c r="J507" s="174"/>
    </row>
    <row r="508" spans="1:10" ht="120" customHeight="1">
      <c r="A508" s="379"/>
      <c r="B508" s="171" t="s">
        <v>1485</v>
      </c>
      <c r="C508" s="172" t="s">
        <v>1502</v>
      </c>
      <c r="D508" s="172" t="s">
        <v>1503</v>
      </c>
      <c r="E508" s="172" t="s">
        <v>23</v>
      </c>
      <c r="F508" s="172" t="s">
        <v>1504</v>
      </c>
      <c r="G508" s="189" t="s">
        <v>1505</v>
      </c>
      <c r="H508" s="174" t="s">
        <v>24</v>
      </c>
      <c r="I508" s="174"/>
      <c r="J508" s="174"/>
    </row>
    <row r="509" spans="1:10" ht="120" customHeight="1">
      <c r="A509" s="379"/>
      <c r="B509" s="171" t="s">
        <v>1485</v>
      </c>
      <c r="C509" s="172" t="s">
        <v>1506</v>
      </c>
      <c r="D509" s="172" t="s">
        <v>1507</v>
      </c>
      <c r="E509" s="172" t="s">
        <v>23</v>
      </c>
      <c r="F509" s="172" t="s">
        <v>1508</v>
      </c>
      <c r="G509" s="189" t="s">
        <v>1509</v>
      </c>
      <c r="H509" s="174" t="s">
        <v>24</v>
      </c>
      <c r="I509" s="174"/>
      <c r="J509" s="174"/>
    </row>
    <row r="510" spans="1:10" ht="120" customHeight="1">
      <c r="A510" s="379"/>
      <c r="B510" s="303" t="s">
        <v>1485</v>
      </c>
      <c r="C510" s="242" t="s">
        <v>1510</v>
      </c>
      <c r="D510" s="242" t="s">
        <v>1511</v>
      </c>
      <c r="E510" s="242" t="s">
        <v>23</v>
      </c>
      <c r="F510" s="242" t="s">
        <v>11179</v>
      </c>
      <c r="G510" s="305" t="s">
        <v>1513</v>
      </c>
      <c r="H510" s="406" t="s">
        <v>24</v>
      </c>
      <c r="I510" s="174"/>
      <c r="J510" s="174"/>
    </row>
    <row r="511" spans="1:10" ht="120" customHeight="1">
      <c r="A511" s="380"/>
      <c r="B511" s="171" t="s">
        <v>1485</v>
      </c>
      <c r="C511" s="172" t="s">
        <v>11180</v>
      </c>
      <c r="D511" s="172" t="s">
        <v>11181</v>
      </c>
      <c r="E511" s="172" t="s">
        <v>23</v>
      </c>
      <c r="F511" s="172" t="s">
        <v>11182</v>
      </c>
      <c r="G511" s="189" t="s">
        <v>11183</v>
      </c>
      <c r="H511" s="174"/>
      <c r="I511" s="316"/>
      <c r="J511" s="174"/>
    </row>
    <row r="512" spans="1:10" ht="120" customHeight="1">
      <c r="A512" s="379"/>
      <c r="B512" s="300" t="s">
        <v>1485</v>
      </c>
      <c r="C512" s="301" t="s">
        <v>11184</v>
      </c>
      <c r="D512" s="301" t="s">
        <v>11185</v>
      </c>
      <c r="E512" s="301" t="s">
        <v>10791</v>
      </c>
      <c r="F512" s="301" t="s">
        <v>1516</v>
      </c>
      <c r="G512" s="302" t="s">
        <v>11186</v>
      </c>
      <c r="H512" s="405" t="s">
        <v>30</v>
      </c>
      <c r="I512" s="174"/>
      <c r="J512" s="174"/>
    </row>
    <row r="513" spans="1:10" ht="120" customHeight="1">
      <c r="A513" s="379"/>
      <c r="B513" s="171" t="s">
        <v>1485</v>
      </c>
      <c r="C513" s="172" t="s">
        <v>1518</v>
      </c>
      <c r="D513" s="172" t="s">
        <v>11187</v>
      </c>
      <c r="E513" s="172" t="s">
        <v>23</v>
      </c>
      <c r="F513" s="172" t="s">
        <v>1520</v>
      </c>
      <c r="G513" s="189" t="s">
        <v>1517</v>
      </c>
      <c r="H513" s="174" t="s">
        <v>24</v>
      </c>
      <c r="I513" s="174"/>
      <c r="J513" s="174"/>
    </row>
    <row r="514" spans="1:10" ht="120" customHeight="1">
      <c r="A514" s="379"/>
      <c r="B514" s="171" t="s">
        <v>1485</v>
      </c>
      <c r="C514" s="172" t="s">
        <v>1521</v>
      </c>
      <c r="D514" s="172" t="s">
        <v>1522</v>
      </c>
      <c r="E514" s="172" t="s">
        <v>23</v>
      </c>
      <c r="F514" s="172" t="s">
        <v>1523</v>
      </c>
      <c r="G514" s="189" t="s">
        <v>1517</v>
      </c>
      <c r="H514" s="174" t="s">
        <v>36</v>
      </c>
      <c r="I514" s="174"/>
      <c r="J514" s="174"/>
    </row>
    <row r="515" spans="1:10" ht="120" customHeight="1">
      <c r="A515" s="379"/>
      <c r="B515" s="171" t="s">
        <v>1485</v>
      </c>
      <c r="C515" s="172" t="s">
        <v>1524</v>
      </c>
      <c r="D515" s="172" t="s">
        <v>1525</v>
      </c>
      <c r="E515" s="172" t="s">
        <v>23</v>
      </c>
      <c r="F515" s="172" t="s">
        <v>11188</v>
      </c>
      <c r="G515" s="189" t="s">
        <v>1526</v>
      </c>
      <c r="H515" s="174" t="s">
        <v>24</v>
      </c>
      <c r="I515" s="174"/>
      <c r="J515" s="174"/>
    </row>
    <row r="516" spans="1:10" ht="120" customHeight="1">
      <c r="A516" s="379"/>
      <c r="B516" s="171" t="s">
        <v>1485</v>
      </c>
      <c r="C516" s="172" t="s">
        <v>1527</v>
      </c>
      <c r="D516" s="172" t="s">
        <v>1525</v>
      </c>
      <c r="E516" s="172" t="s">
        <v>23</v>
      </c>
      <c r="F516" s="172" t="s">
        <v>11189</v>
      </c>
      <c r="G516" s="189" t="s">
        <v>1528</v>
      </c>
      <c r="H516" s="174" t="s">
        <v>24</v>
      </c>
      <c r="I516" s="174"/>
      <c r="J516" s="174"/>
    </row>
    <row r="517" spans="1:10" ht="120" customHeight="1">
      <c r="A517" s="379"/>
      <c r="B517" s="171" t="s">
        <v>1485</v>
      </c>
      <c r="C517" s="172" t="s">
        <v>1529</v>
      </c>
      <c r="D517" s="172" t="s">
        <v>1525</v>
      </c>
      <c r="E517" s="172" t="s">
        <v>23</v>
      </c>
      <c r="F517" s="172" t="s">
        <v>11190</v>
      </c>
      <c r="G517" s="189" t="s">
        <v>1530</v>
      </c>
      <c r="H517" s="174" t="s">
        <v>24</v>
      </c>
      <c r="I517" s="174"/>
      <c r="J517" s="174"/>
    </row>
    <row r="518" spans="1:10" ht="120" customHeight="1">
      <c r="A518" s="379"/>
      <c r="B518" s="171" t="s">
        <v>1485</v>
      </c>
      <c r="C518" s="172" t="s">
        <v>1531</v>
      </c>
      <c r="D518" s="172" t="s">
        <v>1532</v>
      </c>
      <c r="E518" s="172" t="s">
        <v>23</v>
      </c>
      <c r="F518" s="172" t="s">
        <v>11191</v>
      </c>
      <c r="G518" s="189" t="s">
        <v>11192</v>
      </c>
      <c r="H518" s="174" t="s">
        <v>24</v>
      </c>
      <c r="I518" s="174"/>
      <c r="J518" s="174"/>
    </row>
    <row r="519" spans="1:10" ht="120" customHeight="1">
      <c r="A519" s="379"/>
      <c r="B519" s="171" t="s">
        <v>1485</v>
      </c>
      <c r="C519" s="172" t="s">
        <v>1534</v>
      </c>
      <c r="D519" s="172" t="s">
        <v>1535</v>
      </c>
      <c r="E519" s="172" t="s">
        <v>23</v>
      </c>
      <c r="F519" s="172" t="s">
        <v>1536</v>
      </c>
      <c r="G519" s="189" t="s">
        <v>1537</v>
      </c>
      <c r="H519" s="174" t="s">
        <v>24</v>
      </c>
      <c r="I519" s="174"/>
      <c r="J519" s="174"/>
    </row>
    <row r="520" spans="1:10" ht="120" customHeight="1">
      <c r="A520" s="379"/>
      <c r="B520" s="171" t="s">
        <v>1485</v>
      </c>
      <c r="C520" s="172" t="s">
        <v>1538</v>
      </c>
      <c r="D520" s="172" t="s">
        <v>1539</v>
      </c>
      <c r="E520" s="172" t="s">
        <v>23</v>
      </c>
      <c r="F520" s="172" t="s">
        <v>1540</v>
      </c>
      <c r="G520" s="189" t="s">
        <v>1541</v>
      </c>
      <c r="H520" s="174" t="s">
        <v>36</v>
      </c>
      <c r="I520" s="174"/>
      <c r="J520" s="174"/>
    </row>
    <row r="521" spans="1:10" ht="120" customHeight="1">
      <c r="A521" s="379"/>
      <c r="B521" s="171" t="s">
        <v>1485</v>
      </c>
      <c r="C521" s="172" t="s">
        <v>1542</v>
      </c>
      <c r="D521" s="172" t="s">
        <v>11193</v>
      </c>
      <c r="E521" s="172" t="s">
        <v>23</v>
      </c>
      <c r="F521" s="172" t="s">
        <v>1544</v>
      </c>
      <c r="G521" s="189" t="s">
        <v>1545</v>
      </c>
      <c r="H521" s="174" t="s">
        <v>30</v>
      </c>
      <c r="I521" s="174"/>
      <c r="J521" s="174"/>
    </row>
    <row r="522" spans="1:10" ht="120" customHeight="1">
      <c r="A522" s="379"/>
      <c r="B522" s="171" t="s">
        <v>1485</v>
      </c>
      <c r="C522" s="172" t="s">
        <v>1546</v>
      </c>
      <c r="D522" s="172" t="s">
        <v>1547</v>
      </c>
      <c r="E522" s="172" t="s">
        <v>23</v>
      </c>
      <c r="F522" s="172" t="s">
        <v>1548</v>
      </c>
      <c r="G522" s="189" t="s">
        <v>1545</v>
      </c>
      <c r="H522" s="174" t="s">
        <v>24</v>
      </c>
      <c r="I522" s="174"/>
      <c r="J522" s="174"/>
    </row>
    <row r="523" spans="1:10" ht="120" customHeight="1">
      <c r="A523" s="379"/>
      <c r="B523" s="171" t="s">
        <v>1485</v>
      </c>
      <c r="C523" s="172" t="s">
        <v>1549</v>
      </c>
      <c r="D523" s="172" t="s">
        <v>1550</v>
      </c>
      <c r="E523" s="172" t="s">
        <v>23</v>
      </c>
      <c r="F523" s="172" t="s">
        <v>11194</v>
      </c>
      <c r="G523" s="189" t="s">
        <v>11195</v>
      </c>
      <c r="H523" s="174" t="s">
        <v>24</v>
      </c>
      <c r="I523" s="174"/>
      <c r="J523" s="174"/>
    </row>
    <row r="524" spans="1:10" ht="120" customHeight="1">
      <c r="A524" s="379"/>
      <c r="B524" s="171" t="s">
        <v>1485</v>
      </c>
      <c r="C524" s="172" t="s">
        <v>1551</v>
      </c>
      <c r="D524" s="172" t="s">
        <v>1550</v>
      </c>
      <c r="E524" s="172" t="s">
        <v>23</v>
      </c>
      <c r="F524" s="172" t="s">
        <v>11196</v>
      </c>
      <c r="G524" s="189" t="s">
        <v>1545</v>
      </c>
      <c r="H524" s="174" t="s">
        <v>24</v>
      </c>
      <c r="I524" s="174"/>
      <c r="J524" s="174"/>
    </row>
    <row r="525" spans="1:10" ht="120" customHeight="1">
      <c r="A525" s="379"/>
      <c r="B525" s="171" t="s">
        <v>1485</v>
      </c>
      <c r="C525" s="172" t="s">
        <v>1552</v>
      </c>
      <c r="D525" s="172" t="s">
        <v>1550</v>
      </c>
      <c r="E525" s="172" t="s">
        <v>23</v>
      </c>
      <c r="F525" s="172" t="s">
        <v>11197</v>
      </c>
      <c r="G525" s="189" t="s">
        <v>1545</v>
      </c>
      <c r="H525" s="174" t="s">
        <v>24</v>
      </c>
      <c r="I525" s="174"/>
      <c r="J525" s="174"/>
    </row>
    <row r="526" spans="1:10" ht="120" customHeight="1">
      <c r="A526" s="379"/>
      <c r="B526" s="171" t="s">
        <v>1485</v>
      </c>
      <c r="C526" s="172" t="s">
        <v>1553</v>
      </c>
      <c r="D526" s="172" t="s">
        <v>1550</v>
      </c>
      <c r="E526" s="172" t="s">
        <v>23</v>
      </c>
      <c r="F526" s="172" t="s">
        <v>1554</v>
      </c>
      <c r="G526" s="189" t="s">
        <v>11198</v>
      </c>
      <c r="H526" s="174" t="s">
        <v>24</v>
      </c>
      <c r="I526" s="174"/>
      <c r="J526" s="174"/>
    </row>
    <row r="527" spans="1:10" ht="120" customHeight="1">
      <c r="A527" s="379"/>
      <c r="B527" s="171" t="s">
        <v>1485</v>
      </c>
      <c r="C527" s="172" t="s">
        <v>1556</v>
      </c>
      <c r="D527" s="172" t="s">
        <v>1557</v>
      </c>
      <c r="E527" s="172" t="s">
        <v>23</v>
      </c>
      <c r="F527" s="172" t="s">
        <v>11199</v>
      </c>
      <c r="G527" s="189" t="s">
        <v>1545</v>
      </c>
      <c r="H527" s="174" t="s">
        <v>41</v>
      </c>
      <c r="I527" s="174"/>
      <c r="J527" s="174"/>
    </row>
    <row r="528" spans="1:10" ht="120" customHeight="1">
      <c r="A528" s="379"/>
      <c r="B528" s="171" t="s">
        <v>1485</v>
      </c>
      <c r="C528" s="172" t="s">
        <v>1558</v>
      </c>
      <c r="D528" s="172" t="s">
        <v>1559</v>
      </c>
      <c r="E528" s="172" t="s">
        <v>23</v>
      </c>
      <c r="F528" s="172" t="s">
        <v>1560</v>
      </c>
      <c r="G528" s="189" t="s">
        <v>1541</v>
      </c>
      <c r="H528" s="174" t="s">
        <v>36</v>
      </c>
      <c r="I528" s="174"/>
      <c r="J528" s="174"/>
    </row>
    <row r="529" spans="1:10" ht="120" customHeight="1">
      <c r="A529" s="379"/>
      <c r="B529" s="171" t="s">
        <v>1485</v>
      </c>
      <c r="C529" s="172" t="s">
        <v>1561</v>
      </c>
      <c r="D529" s="172" t="s">
        <v>1562</v>
      </c>
      <c r="E529" s="172" t="s">
        <v>23</v>
      </c>
      <c r="F529" s="172" t="s">
        <v>11200</v>
      </c>
      <c r="G529" s="189" t="s">
        <v>1563</v>
      </c>
      <c r="H529" s="174" t="s">
        <v>24</v>
      </c>
      <c r="I529" s="174"/>
      <c r="J529" s="174"/>
    </row>
    <row r="530" spans="1:10" ht="120" customHeight="1">
      <c r="A530" s="379"/>
      <c r="B530" s="171" t="s">
        <v>1485</v>
      </c>
      <c r="C530" s="172" t="s">
        <v>1564</v>
      </c>
      <c r="D530" s="172" t="s">
        <v>1565</v>
      </c>
      <c r="E530" s="172" t="s">
        <v>23</v>
      </c>
      <c r="F530" s="172" t="s">
        <v>1566</v>
      </c>
      <c r="G530" s="189" t="s">
        <v>1563</v>
      </c>
      <c r="H530" s="174" t="s">
        <v>24</v>
      </c>
      <c r="I530" s="174"/>
      <c r="J530" s="174"/>
    </row>
    <row r="531" spans="1:10" ht="120" customHeight="1">
      <c r="A531" s="379"/>
      <c r="B531" s="171" t="s">
        <v>1485</v>
      </c>
      <c r="C531" s="172" t="s">
        <v>1567</v>
      </c>
      <c r="D531" s="172" t="s">
        <v>1568</v>
      </c>
      <c r="E531" s="172" t="s">
        <v>23</v>
      </c>
      <c r="F531" s="172" t="s">
        <v>11201</v>
      </c>
      <c r="G531" s="189" t="s">
        <v>1563</v>
      </c>
      <c r="H531" s="174" t="s">
        <v>24</v>
      </c>
      <c r="I531" s="174"/>
      <c r="J531" s="174"/>
    </row>
    <row r="532" spans="1:10" ht="120" customHeight="1">
      <c r="A532" s="379"/>
      <c r="B532" s="171" t="s">
        <v>1485</v>
      </c>
      <c r="C532" s="172" t="s">
        <v>1569</v>
      </c>
      <c r="D532" s="172" t="s">
        <v>1570</v>
      </c>
      <c r="E532" s="172" t="s">
        <v>23</v>
      </c>
      <c r="F532" s="172" t="s">
        <v>1571</v>
      </c>
      <c r="G532" s="189" t="s">
        <v>1563</v>
      </c>
      <c r="H532" s="174" t="s">
        <v>24</v>
      </c>
      <c r="I532" s="174"/>
      <c r="J532" s="174"/>
    </row>
    <row r="533" spans="1:10" ht="120" customHeight="1">
      <c r="A533" s="379"/>
      <c r="B533" s="171" t="s">
        <v>1485</v>
      </c>
      <c r="C533" s="172" t="s">
        <v>1572</v>
      </c>
      <c r="D533" s="172" t="s">
        <v>1573</v>
      </c>
      <c r="E533" s="172" t="s">
        <v>23</v>
      </c>
      <c r="F533" s="172" t="s">
        <v>1574</v>
      </c>
      <c r="G533" s="189" t="s">
        <v>1575</v>
      </c>
      <c r="H533" s="174" t="s">
        <v>24</v>
      </c>
      <c r="I533" s="174"/>
      <c r="J533" s="174"/>
    </row>
    <row r="534" spans="1:10" ht="120" customHeight="1">
      <c r="A534" s="379"/>
      <c r="B534" s="171" t="s">
        <v>1485</v>
      </c>
      <c r="C534" s="172" t="s">
        <v>1576</v>
      </c>
      <c r="D534" s="172" t="s">
        <v>1577</v>
      </c>
      <c r="E534" s="172" t="s">
        <v>23</v>
      </c>
      <c r="F534" s="172" t="s">
        <v>1578</v>
      </c>
      <c r="G534" s="189" t="s">
        <v>1579</v>
      </c>
      <c r="H534" s="174" t="s">
        <v>24</v>
      </c>
      <c r="I534" s="174"/>
      <c r="J534" s="174"/>
    </row>
    <row r="535" spans="1:10" ht="120" customHeight="1">
      <c r="A535" s="379"/>
      <c r="B535" s="171" t="s">
        <v>1485</v>
      </c>
      <c r="C535" s="172" t="s">
        <v>1580</v>
      </c>
      <c r="D535" s="172" t="s">
        <v>1581</v>
      </c>
      <c r="E535" s="172" t="s">
        <v>23</v>
      </c>
      <c r="F535" s="172" t="s">
        <v>1582</v>
      </c>
      <c r="G535" s="189" t="s">
        <v>1563</v>
      </c>
      <c r="H535" s="174" t="s">
        <v>30</v>
      </c>
      <c r="I535" s="174"/>
      <c r="J535" s="174"/>
    </row>
    <row r="536" spans="1:10" ht="120" customHeight="1">
      <c r="A536" s="379"/>
      <c r="B536" s="171" t="s">
        <v>1485</v>
      </c>
      <c r="C536" s="172" t="s">
        <v>1583</v>
      </c>
      <c r="D536" s="172" t="s">
        <v>1584</v>
      </c>
      <c r="E536" s="172" t="s">
        <v>23</v>
      </c>
      <c r="F536" s="172" t="s">
        <v>1585</v>
      </c>
      <c r="G536" s="189" t="s">
        <v>1579</v>
      </c>
      <c r="H536" s="174" t="s">
        <v>41</v>
      </c>
      <c r="I536" s="174"/>
      <c r="J536" s="174"/>
    </row>
    <row r="537" spans="1:10" ht="120" customHeight="1">
      <c r="A537" s="379"/>
      <c r="B537" s="171" t="s">
        <v>1485</v>
      </c>
      <c r="C537" s="172" t="s">
        <v>1586</v>
      </c>
      <c r="D537" s="172" t="s">
        <v>1587</v>
      </c>
      <c r="E537" s="172" t="s">
        <v>23</v>
      </c>
      <c r="F537" s="172" t="s">
        <v>1588</v>
      </c>
      <c r="G537" s="189" t="s">
        <v>1589</v>
      </c>
      <c r="H537" s="174" t="s">
        <v>36</v>
      </c>
      <c r="I537" s="174"/>
      <c r="J537" s="174"/>
    </row>
    <row r="538" spans="1:10" ht="120" customHeight="1">
      <c r="A538" s="379"/>
      <c r="B538" s="171" t="s">
        <v>1485</v>
      </c>
      <c r="C538" s="172" t="s">
        <v>1590</v>
      </c>
      <c r="D538" s="172" t="s">
        <v>1591</v>
      </c>
      <c r="E538" s="172" t="s">
        <v>23</v>
      </c>
      <c r="F538" s="172" t="s">
        <v>1592</v>
      </c>
      <c r="G538" s="189" t="s">
        <v>1589</v>
      </c>
      <c r="H538" s="174" t="s">
        <v>62</v>
      </c>
      <c r="I538" s="174"/>
      <c r="J538" s="174"/>
    </row>
    <row r="539" spans="1:10" ht="120" customHeight="1">
      <c r="A539" s="379"/>
      <c r="B539" s="171" t="s">
        <v>1485</v>
      </c>
      <c r="C539" s="172" t="s">
        <v>1593</v>
      </c>
      <c r="D539" s="172" t="s">
        <v>1594</v>
      </c>
      <c r="E539" s="172" t="s">
        <v>23</v>
      </c>
      <c r="F539" s="172" t="s">
        <v>1595</v>
      </c>
      <c r="G539" s="189" t="s">
        <v>1541</v>
      </c>
      <c r="H539" s="174" t="s">
        <v>36</v>
      </c>
      <c r="I539" s="174"/>
      <c r="J539" s="174"/>
    </row>
    <row r="540" spans="1:10" ht="120" customHeight="1">
      <c r="A540" s="379"/>
      <c r="B540" s="171" t="s">
        <v>1485</v>
      </c>
      <c r="C540" s="172" t="s">
        <v>1596</v>
      </c>
      <c r="D540" s="172" t="s">
        <v>1597</v>
      </c>
      <c r="E540" s="172" t="s">
        <v>23</v>
      </c>
      <c r="F540" s="172" t="s">
        <v>1598</v>
      </c>
      <c r="G540" s="189" t="s">
        <v>1599</v>
      </c>
      <c r="H540" s="174" t="s">
        <v>24</v>
      </c>
      <c r="I540" s="174"/>
      <c r="J540" s="174"/>
    </row>
    <row r="541" spans="1:10" ht="120" customHeight="1">
      <c r="A541" s="379"/>
      <c r="B541" s="171" t="s">
        <v>1485</v>
      </c>
      <c r="C541" s="172" t="s">
        <v>11202</v>
      </c>
      <c r="D541" s="172" t="s">
        <v>1600</v>
      </c>
      <c r="E541" s="172" t="s">
        <v>10791</v>
      </c>
      <c r="F541" s="172" t="s">
        <v>1601</v>
      </c>
      <c r="G541" s="189" t="s">
        <v>1602</v>
      </c>
      <c r="H541" s="174" t="s">
        <v>24</v>
      </c>
      <c r="I541" s="174"/>
      <c r="J541" s="174"/>
    </row>
    <row r="542" spans="1:10" ht="120" customHeight="1">
      <c r="A542" s="379"/>
      <c r="B542" s="171" t="s">
        <v>1485</v>
      </c>
      <c r="C542" s="172" t="s">
        <v>1603</v>
      </c>
      <c r="D542" s="172" t="s">
        <v>1604</v>
      </c>
      <c r="E542" s="172" t="s">
        <v>23</v>
      </c>
      <c r="F542" s="172" t="s">
        <v>1605</v>
      </c>
      <c r="G542" s="189" t="s">
        <v>1602</v>
      </c>
      <c r="H542" s="174" t="s">
        <v>24</v>
      </c>
      <c r="I542" s="174"/>
      <c r="J542" s="174"/>
    </row>
    <row r="543" spans="1:10" ht="120" customHeight="1">
      <c r="A543" s="379"/>
      <c r="B543" s="171" t="s">
        <v>1485</v>
      </c>
      <c r="C543" s="172" t="s">
        <v>1606</v>
      </c>
      <c r="D543" s="172" t="s">
        <v>1607</v>
      </c>
      <c r="E543" s="172" t="s">
        <v>23</v>
      </c>
      <c r="F543" s="172" t="s">
        <v>1608</v>
      </c>
      <c r="G543" s="189" t="s">
        <v>1602</v>
      </c>
      <c r="H543" s="174" t="s">
        <v>30</v>
      </c>
      <c r="I543" s="174"/>
      <c r="J543" s="174"/>
    </row>
    <row r="544" spans="1:10" ht="120" customHeight="1">
      <c r="A544" s="379"/>
      <c r="B544" s="260" t="s">
        <v>1485</v>
      </c>
      <c r="C544" s="172" t="s">
        <v>1609</v>
      </c>
      <c r="D544" s="172" t="s">
        <v>1610</v>
      </c>
      <c r="E544" s="172" t="s">
        <v>23</v>
      </c>
      <c r="F544" s="172" t="s">
        <v>1611</v>
      </c>
      <c r="G544" s="189" t="s">
        <v>1602</v>
      </c>
      <c r="H544" s="174" t="s">
        <v>24</v>
      </c>
      <c r="I544" s="174"/>
      <c r="J544" s="174"/>
    </row>
    <row r="545" spans="1:10" ht="120" customHeight="1">
      <c r="A545" s="379"/>
      <c r="B545" s="260" t="s">
        <v>1485</v>
      </c>
      <c r="C545" s="172" t="s">
        <v>1612</v>
      </c>
      <c r="D545" s="172" t="s">
        <v>1613</v>
      </c>
      <c r="E545" s="172" t="s">
        <v>23</v>
      </c>
      <c r="F545" s="172" t="s">
        <v>1614</v>
      </c>
      <c r="G545" s="189" t="s">
        <v>1602</v>
      </c>
      <c r="H545" s="174" t="s">
        <v>24</v>
      </c>
      <c r="I545" s="174"/>
      <c r="J545" s="174"/>
    </row>
    <row r="546" spans="1:10" ht="120" customHeight="1">
      <c r="A546" s="379"/>
      <c r="B546" s="260" t="s">
        <v>1485</v>
      </c>
      <c r="C546" s="172" t="s">
        <v>1615</v>
      </c>
      <c r="D546" s="172" t="s">
        <v>1616</v>
      </c>
      <c r="E546" s="172" t="s">
        <v>23</v>
      </c>
      <c r="F546" s="172" t="s">
        <v>1617</v>
      </c>
      <c r="G546" s="189" t="s">
        <v>1602</v>
      </c>
      <c r="H546" s="174" t="s">
        <v>24</v>
      </c>
      <c r="I546" s="174"/>
      <c r="J546" s="174"/>
    </row>
    <row r="547" spans="1:10" ht="120" customHeight="1">
      <c r="A547" s="379"/>
      <c r="B547" s="260" t="s">
        <v>1485</v>
      </c>
      <c r="C547" s="172" t="s">
        <v>1618</v>
      </c>
      <c r="D547" s="172" t="s">
        <v>1619</v>
      </c>
      <c r="E547" s="172" t="s">
        <v>23</v>
      </c>
      <c r="F547" s="172" t="s">
        <v>1620</v>
      </c>
      <c r="G547" s="189" t="s">
        <v>1621</v>
      </c>
      <c r="H547" s="174" t="s">
        <v>117</v>
      </c>
      <c r="I547" s="174"/>
      <c r="J547" s="174"/>
    </row>
    <row r="548" spans="1:10" ht="120" customHeight="1">
      <c r="A548" s="379"/>
      <c r="B548" s="260" t="s">
        <v>1485</v>
      </c>
      <c r="C548" s="172" t="s">
        <v>1622</v>
      </c>
      <c r="D548" s="172" t="s">
        <v>1623</v>
      </c>
      <c r="E548" s="172" t="s">
        <v>23</v>
      </c>
      <c r="F548" s="172" t="s">
        <v>11203</v>
      </c>
      <c r="G548" s="189" t="s">
        <v>11204</v>
      </c>
      <c r="H548" s="174" t="s">
        <v>117</v>
      </c>
      <c r="I548" s="174"/>
      <c r="J548" s="174"/>
    </row>
    <row r="549" spans="1:10" ht="120" customHeight="1">
      <c r="A549" s="379"/>
      <c r="B549" s="171" t="s">
        <v>1485</v>
      </c>
      <c r="C549" s="172" t="s">
        <v>11205</v>
      </c>
      <c r="D549" s="172" t="s">
        <v>1625</v>
      </c>
      <c r="E549" s="172" t="s">
        <v>10791</v>
      </c>
      <c r="F549" s="172" t="s">
        <v>1626</v>
      </c>
      <c r="G549" s="189" t="s">
        <v>1624</v>
      </c>
      <c r="H549" s="174" t="s">
        <v>117</v>
      </c>
      <c r="I549" s="174"/>
      <c r="J549" s="174"/>
    </row>
    <row r="550" spans="1:10" ht="120" customHeight="1">
      <c r="A550" s="379"/>
      <c r="B550" s="171" t="s">
        <v>1485</v>
      </c>
      <c r="C550" s="172" t="s">
        <v>1627</v>
      </c>
      <c r="D550" s="172" t="s">
        <v>1628</v>
      </c>
      <c r="E550" s="172" t="s">
        <v>23</v>
      </c>
      <c r="F550" s="172" t="s">
        <v>1629</v>
      </c>
      <c r="G550" s="189" t="s">
        <v>1624</v>
      </c>
      <c r="H550" s="174" t="s">
        <v>117</v>
      </c>
      <c r="I550" s="174"/>
      <c r="J550" s="174"/>
    </row>
    <row r="551" spans="1:10" ht="120" customHeight="1">
      <c r="A551" s="379"/>
      <c r="B551" s="171" t="s">
        <v>1485</v>
      </c>
      <c r="C551" s="172" t="s">
        <v>11206</v>
      </c>
      <c r="D551" s="172" t="s">
        <v>11207</v>
      </c>
      <c r="E551" s="172" t="s">
        <v>10791</v>
      </c>
      <c r="F551" s="172" t="s">
        <v>1630</v>
      </c>
      <c r="G551" s="189" t="s">
        <v>1624</v>
      </c>
      <c r="H551" s="174" t="s">
        <v>41</v>
      </c>
      <c r="I551" s="174"/>
      <c r="J551" s="174"/>
    </row>
    <row r="552" spans="1:10" ht="120" customHeight="1">
      <c r="A552" s="379"/>
      <c r="B552" s="171" t="s">
        <v>1485</v>
      </c>
      <c r="C552" s="172" t="s">
        <v>11208</v>
      </c>
      <c r="D552" s="172" t="s">
        <v>1631</v>
      </c>
      <c r="E552" s="172" t="s">
        <v>10791</v>
      </c>
      <c r="F552" s="172" t="s">
        <v>12501</v>
      </c>
      <c r="G552" s="189" t="s">
        <v>11209</v>
      </c>
      <c r="H552" s="174" t="s">
        <v>41</v>
      </c>
      <c r="I552" s="174"/>
      <c r="J552" s="174"/>
    </row>
    <row r="553" spans="1:10" ht="120" customHeight="1">
      <c r="A553" s="379"/>
      <c r="B553" s="171" t="s">
        <v>1485</v>
      </c>
      <c r="C553" s="172" t="s">
        <v>1632</v>
      </c>
      <c r="D553" s="172" t="s">
        <v>11210</v>
      </c>
      <c r="E553" s="172" t="s">
        <v>23</v>
      </c>
      <c r="F553" s="172" t="s">
        <v>11211</v>
      </c>
      <c r="G553" s="189" t="s">
        <v>1541</v>
      </c>
      <c r="H553" s="174" t="s">
        <v>36</v>
      </c>
      <c r="I553" s="174"/>
      <c r="J553" s="174"/>
    </row>
    <row r="554" spans="1:10" ht="120" customHeight="1">
      <c r="A554" s="379"/>
      <c r="B554" s="171" t="s">
        <v>1485</v>
      </c>
      <c r="C554" s="172" t="s">
        <v>1634</v>
      </c>
      <c r="D554" s="172" t="s">
        <v>1635</v>
      </c>
      <c r="E554" s="172" t="s">
        <v>23</v>
      </c>
      <c r="F554" s="172" t="s">
        <v>11212</v>
      </c>
      <c r="G554" s="189" t="s">
        <v>1637</v>
      </c>
      <c r="H554" s="201" t="s">
        <v>30</v>
      </c>
      <c r="I554" s="174"/>
      <c r="J554" s="174"/>
    </row>
    <row r="555" spans="1:10" ht="120" customHeight="1">
      <c r="A555" s="379"/>
      <c r="B555" s="171" t="s">
        <v>1485</v>
      </c>
      <c r="C555" s="172" t="s">
        <v>1638</v>
      </c>
      <c r="D555" s="172" t="s">
        <v>1639</v>
      </c>
      <c r="E555" s="172" t="s">
        <v>23</v>
      </c>
      <c r="F555" s="172" t="s">
        <v>1640</v>
      </c>
      <c r="G555" s="189" t="s">
        <v>1637</v>
      </c>
      <c r="H555" s="174" t="s">
        <v>41</v>
      </c>
      <c r="I555" s="174"/>
      <c r="J555" s="174"/>
    </row>
    <row r="556" spans="1:10" ht="120" customHeight="1">
      <c r="A556" s="379"/>
      <c r="B556" s="171" t="s">
        <v>1485</v>
      </c>
      <c r="C556" s="172" t="s">
        <v>1641</v>
      </c>
      <c r="D556" s="172" t="s">
        <v>1642</v>
      </c>
      <c r="E556" s="172" t="s">
        <v>23</v>
      </c>
      <c r="F556" s="172" t="s">
        <v>1643</v>
      </c>
      <c r="G556" s="189" t="s">
        <v>1637</v>
      </c>
      <c r="H556" s="174" t="s">
        <v>24</v>
      </c>
      <c r="I556" s="174"/>
      <c r="J556" s="174"/>
    </row>
    <row r="557" spans="1:10" ht="120" customHeight="1">
      <c r="A557" s="379"/>
      <c r="B557" s="171" t="s">
        <v>1485</v>
      </c>
      <c r="C557" s="172" t="s">
        <v>11213</v>
      </c>
      <c r="D557" s="172" t="s">
        <v>1644</v>
      </c>
      <c r="E557" s="172" t="s">
        <v>10791</v>
      </c>
      <c r="F557" s="172" t="s">
        <v>1645</v>
      </c>
      <c r="G557" s="189" t="s">
        <v>11214</v>
      </c>
      <c r="H557" s="201" t="s">
        <v>24</v>
      </c>
      <c r="I557" s="174"/>
      <c r="J557" s="174"/>
    </row>
    <row r="558" spans="1:10" ht="120" customHeight="1">
      <c r="A558" s="379"/>
      <c r="B558" s="171" t="s">
        <v>1485</v>
      </c>
      <c r="C558" s="172" t="s">
        <v>1647</v>
      </c>
      <c r="D558" s="172" t="s">
        <v>1648</v>
      </c>
      <c r="E558" s="172" t="s">
        <v>23</v>
      </c>
      <c r="F558" s="172" t="s">
        <v>12502</v>
      </c>
      <c r="G558" s="189" t="s">
        <v>11215</v>
      </c>
      <c r="H558" s="201" t="s">
        <v>24</v>
      </c>
      <c r="I558" s="174"/>
      <c r="J558" s="174"/>
    </row>
    <row r="559" spans="1:10" ht="120" customHeight="1">
      <c r="A559" s="379"/>
      <c r="B559" s="171" t="s">
        <v>1485</v>
      </c>
      <c r="C559" s="172" t="s">
        <v>1649</v>
      </c>
      <c r="D559" s="172" t="s">
        <v>1650</v>
      </c>
      <c r="E559" s="172" t="s">
        <v>23</v>
      </c>
      <c r="F559" s="172" t="s">
        <v>11216</v>
      </c>
      <c r="G559" s="189" t="s">
        <v>1651</v>
      </c>
      <c r="H559" s="201" t="s">
        <v>24</v>
      </c>
      <c r="I559" s="174"/>
      <c r="J559" s="174"/>
    </row>
    <row r="560" spans="1:10" ht="120" customHeight="1">
      <c r="A560" s="379"/>
      <c r="B560" s="171" t="s">
        <v>1485</v>
      </c>
      <c r="C560" s="172" t="s">
        <v>1652</v>
      </c>
      <c r="D560" s="172" t="s">
        <v>11217</v>
      </c>
      <c r="E560" s="172" t="s">
        <v>23</v>
      </c>
      <c r="F560" s="172" t="s">
        <v>11218</v>
      </c>
      <c r="G560" s="189" t="s">
        <v>11219</v>
      </c>
      <c r="H560" s="201" t="s">
        <v>24</v>
      </c>
      <c r="I560" s="174"/>
      <c r="J560" s="174"/>
    </row>
    <row r="561" spans="1:10" ht="120" customHeight="1">
      <c r="A561" s="379"/>
      <c r="B561" s="171" t="s">
        <v>1485</v>
      </c>
      <c r="C561" s="172" t="s">
        <v>1653</v>
      </c>
      <c r="D561" s="177" t="s">
        <v>11220</v>
      </c>
      <c r="E561" s="172" t="s">
        <v>23</v>
      </c>
      <c r="F561" s="172" t="s">
        <v>11221</v>
      </c>
      <c r="G561" s="189" t="s">
        <v>1651</v>
      </c>
      <c r="H561" s="201" t="s">
        <v>24</v>
      </c>
      <c r="I561" s="174"/>
      <c r="J561" s="174"/>
    </row>
    <row r="562" spans="1:10" ht="120" customHeight="1">
      <c r="A562" s="379"/>
      <c r="B562" s="171" t="s">
        <v>1485</v>
      </c>
      <c r="C562" s="172" t="s">
        <v>1654</v>
      </c>
      <c r="D562" s="172" t="s">
        <v>1655</v>
      </c>
      <c r="E562" s="172" t="s">
        <v>23</v>
      </c>
      <c r="F562" s="172" t="s">
        <v>1656</v>
      </c>
      <c r="G562" s="189" t="s">
        <v>1541</v>
      </c>
      <c r="H562" s="174" t="s">
        <v>36</v>
      </c>
      <c r="I562" s="174"/>
      <c r="J562" s="174"/>
    </row>
    <row r="563" spans="1:10" ht="120" customHeight="1">
      <c r="A563" s="379"/>
      <c r="B563" s="260" t="s">
        <v>1485</v>
      </c>
      <c r="C563" s="172" t="s">
        <v>1657</v>
      </c>
      <c r="D563" s="172" t="s">
        <v>1658</v>
      </c>
      <c r="E563" s="172" t="s">
        <v>23</v>
      </c>
      <c r="F563" s="172" t="s">
        <v>1659</v>
      </c>
      <c r="G563" s="189" t="s">
        <v>1660</v>
      </c>
      <c r="H563" s="174" t="s">
        <v>30</v>
      </c>
      <c r="I563" s="174"/>
      <c r="J563" s="174"/>
    </row>
    <row r="564" spans="1:10" ht="120" customHeight="1">
      <c r="A564" s="379"/>
      <c r="B564" s="260" t="s">
        <v>1485</v>
      </c>
      <c r="C564" s="172" t="s">
        <v>1661</v>
      </c>
      <c r="D564" s="172" t="s">
        <v>1662</v>
      </c>
      <c r="E564" s="172" t="s">
        <v>23</v>
      </c>
      <c r="F564" s="172" t="s">
        <v>1663</v>
      </c>
      <c r="G564" s="189" t="s">
        <v>1660</v>
      </c>
      <c r="H564" s="174" t="s">
        <v>41</v>
      </c>
      <c r="I564" s="174"/>
      <c r="J564" s="174"/>
    </row>
    <row r="565" spans="1:10" ht="120" customHeight="1">
      <c r="A565" s="379"/>
      <c r="B565" s="260" t="s">
        <v>1485</v>
      </c>
      <c r="C565" s="172" t="s">
        <v>1664</v>
      </c>
      <c r="D565" s="172" t="s">
        <v>1665</v>
      </c>
      <c r="E565" s="172" t="s">
        <v>23</v>
      </c>
      <c r="F565" s="172" t="s">
        <v>1666</v>
      </c>
      <c r="G565" s="189" t="s">
        <v>1660</v>
      </c>
      <c r="H565" s="174" t="s">
        <v>24</v>
      </c>
      <c r="I565" s="174"/>
      <c r="J565" s="174"/>
    </row>
    <row r="566" spans="1:10" ht="120" customHeight="1">
      <c r="A566" s="379"/>
      <c r="B566" s="260" t="s">
        <v>11222</v>
      </c>
      <c r="C566" s="172" t="s">
        <v>1667</v>
      </c>
      <c r="D566" s="172" t="s">
        <v>1668</v>
      </c>
      <c r="E566" s="172" t="s">
        <v>10791</v>
      </c>
      <c r="F566" s="172" t="s">
        <v>11223</v>
      </c>
      <c r="G566" s="189" t="s">
        <v>1646</v>
      </c>
      <c r="H566" s="174" t="s">
        <v>24</v>
      </c>
      <c r="I566" s="174"/>
      <c r="J566" s="174"/>
    </row>
    <row r="567" spans="1:10" ht="120" customHeight="1">
      <c r="A567" s="379"/>
      <c r="B567" s="260" t="s">
        <v>1485</v>
      </c>
      <c r="C567" s="172" t="s">
        <v>1669</v>
      </c>
      <c r="D567" s="172" t="s">
        <v>1670</v>
      </c>
      <c r="E567" s="172" t="s">
        <v>23</v>
      </c>
      <c r="F567" s="172" t="s">
        <v>11224</v>
      </c>
      <c r="G567" s="189" t="s">
        <v>1671</v>
      </c>
      <c r="H567" s="174" t="s">
        <v>24</v>
      </c>
      <c r="I567" s="174"/>
      <c r="J567" s="174"/>
    </row>
    <row r="568" spans="1:10" ht="120" customHeight="1">
      <c r="A568" s="379"/>
      <c r="B568" s="260" t="s">
        <v>1485</v>
      </c>
      <c r="C568" s="172" t="s">
        <v>1672</v>
      </c>
      <c r="D568" s="172" t="s">
        <v>1673</v>
      </c>
      <c r="E568" s="172" t="s">
        <v>23</v>
      </c>
      <c r="F568" s="172" t="s">
        <v>1674</v>
      </c>
      <c r="G568" s="189" t="s">
        <v>1660</v>
      </c>
      <c r="H568" s="174" t="s">
        <v>24</v>
      </c>
      <c r="I568" s="174"/>
      <c r="J568" s="174"/>
    </row>
    <row r="569" spans="1:10" ht="120" customHeight="1">
      <c r="A569" s="379"/>
      <c r="B569" s="260" t="s">
        <v>1485</v>
      </c>
      <c r="C569" s="172" t="s">
        <v>1675</v>
      </c>
      <c r="D569" s="177" t="s">
        <v>1676</v>
      </c>
      <c r="E569" s="172" t="s">
        <v>23</v>
      </c>
      <c r="F569" s="172" t="s">
        <v>1677</v>
      </c>
      <c r="G569" s="189" t="s">
        <v>1678</v>
      </c>
      <c r="H569" s="174" t="s">
        <v>24</v>
      </c>
      <c r="I569" s="174"/>
      <c r="J569" s="174"/>
    </row>
    <row r="570" spans="1:10" ht="120" customHeight="1">
      <c r="A570" s="379"/>
      <c r="B570" s="260" t="s">
        <v>1485</v>
      </c>
      <c r="C570" s="172" t="s">
        <v>11225</v>
      </c>
      <c r="D570" s="172" t="s">
        <v>1679</v>
      </c>
      <c r="E570" s="172" t="s">
        <v>10791</v>
      </c>
      <c r="F570" s="172" t="s">
        <v>1680</v>
      </c>
      <c r="G570" s="189" t="s">
        <v>1660</v>
      </c>
      <c r="H570" s="174" t="s">
        <v>24</v>
      </c>
      <c r="I570" s="174"/>
      <c r="J570" s="174"/>
    </row>
    <row r="571" spans="1:10" ht="120" customHeight="1">
      <c r="A571" s="379"/>
      <c r="B571" s="260" t="s">
        <v>1485</v>
      </c>
      <c r="C571" s="172" t="s">
        <v>1681</v>
      </c>
      <c r="D571" s="172" t="s">
        <v>1682</v>
      </c>
      <c r="E571" s="172" t="s">
        <v>23</v>
      </c>
      <c r="F571" s="172" t="s">
        <v>1683</v>
      </c>
      <c r="G571" s="189" t="s">
        <v>1660</v>
      </c>
      <c r="H571" s="174" t="s">
        <v>36</v>
      </c>
      <c r="I571" s="174"/>
      <c r="J571" s="174"/>
    </row>
    <row r="572" spans="1:10" ht="120" customHeight="1">
      <c r="A572" s="379"/>
      <c r="B572" s="263" t="s">
        <v>11226</v>
      </c>
      <c r="C572" s="210" t="s">
        <v>11227</v>
      </c>
      <c r="D572" s="210" t="s">
        <v>11228</v>
      </c>
      <c r="E572" s="210" t="s">
        <v>23</v>
      </c>
      <c r="F572" s="210" t="s">
        <v>1687</v>
      </c>
      <c r="G572" s="222" t="s">
        <v>1688</v>
      </c>
      <c r="H572" s="201" t="s">
        <v>30</v>
      </c>
      <c r="I572" s="201"/>
      <c r="J572" s="201"/>
    </row>
    <row r="573" spans="1:10" ht="120" customHeight="1">
      <c r="A573" s="379"/>
      <c r="B573" s="263" t="s">
        <v>1684</v>
      </c>
      <c r="C573" s="210" t="s">
        <v>1689</v>
      </c>
      <c r="D573" s="172" t="s">
        <v>1690</v>
      </c>
      <c r="E573" s="172" t="s">
        <v>23</v>
      </c>
      <c r="F573" s="172" t="s">
        <v>1691</v>
      </c>
      <c r="G573" s="12" t="s">
        <v>1688</v>
      </c>
      <c r="H573" s="174" t="s">
        <v>41</v>
      </c>
      <c r="I573" s="174"/>
      <c r="J573" s="174"/>
    </row>
    <row r="574" spans="1:10" ht="120" customHeight="1">
      <c r="A574" s="379"/>
      <c r="B574" s="263" t="s">
        <v>1684</v>
      </c>
      <c r="C574" s="210" t="s">
        <v>1692</v>
      </c>
      <c r="D574" s="172" t="s">
        <v>1693</v>
      </c>
      <c r="E574" s="172" t="s">
        <v>23</v>
      </c>
      <c r="F574" s="172" t="s">
        <v>1694</v>
      </c>
      <c r="G574" s="12" t="s">
        <v>1695</v>
      </c>
      <c r="H574" s="174" t="s">
        <v>24</v>
      </c>
      <c r="I574" s="174"/>
      <c r="J574" s="174"/>
    </row>
    <row r="575" spans="1:10" ht="120" customHeight="1">
      <c r="A575" s="379"/>
      <c r="B575" s="263" t="s">
        <v>1684</v>
      </c>
      <c r="C575" s="210" t="s">
        <v>1696</v>
      </c>
      <c r="D575" s="172" t="s">
        <v>1697</v>
      </c>
      <c r="E575" s="172" t="s">
        <v>23</v>
      </c>
      <c r="F575" s="172" t="s">
        <v>1698</v>
      </c>
      <c r="G575" s="12" t="s">
        <v>1688</v>
      </c>
      <c r="H575" s="174" t="s">
        <v>24</v>
      </c>
      <c r="I575" s="174"/>
      <c r="J575" s="174"/>
    </row>
    <row r="576" spans="1:10" ht="120" customHeight="1">
      <c r="A576" s="379"/>
      <c r="B576" s="263" t="s">
        <v>1684</v>
      </c>
      <c r="C576" s="210" t="s">
        <v>1699</v>
      </c>
      <c r="D576" s="172" t="s">
        <v>1700</v>
      </c>
      <c r="E576" s="172" t="s">
        <v>23</v>
      </c>
      <c r="F576" s="172" t="s">
        <v>1701</v>
      </c>
      <c r="G576" s="12" t="s">
        <v>1688</v>
      </c>
      <c r="H576" s="174" t="s">
        <v>30</v>
      </c>
      <c r="I576" s="174"/>
      <c r="J576" s="174"/>
    </row>
    <row r="577" spans="1:10" ht="120" customHeight="1">
      <c r="A577" s="379"/>
      <c r="B577" s="263" t="s">
        <v>1684</v>
      </c>
      <c r="C577" s="210" t="s">
        <v>1702</v>
      </c>
      <c r="D577" s="172" t="s">
        <v>1700</v>
      </c>
      <c r="E577" s="172" t="s">
        <v>23</v>
      </c>
      <c r="F577" s="172" t="s">
        <v>1703</v>
      </c>
      <c r="G577" s="12" t="s">
        <v>1695</v>
      </c>
      <c r="H577" s="174" t="s">
        <v>36</v>
      </c>
      <c r="I577" s="174"/>
      <c r="J577" s="174"/>
    </row>
    <row r="578" spans="1:10" ht="120" customHeight="1">
      <c r="A578" s="379"/>
      <c r="B578" s="263" t="s">
        <v>1684</v>
      </c>
      <c r="C578" s="210" t="s">
        <v>1704</v>
      </c>
      <c r="D578" s="172" t="s">
        <v>1705</v>
      </c>
      <c r="E578" s="172" t="s">
        <v>23</v>
      </c>
      <c r="F578" s="172" t="s">
        <v>11229</v>
      </c>
      <c r="G578" s="12" t="s">
        <v>1706</v>
      </c>
      <c r="H578" s="174" t="s">
        <v>62</v>
      </c>
      <c r="I578" s="174"/>
      <c r="J578" s="174"/>
    </row>
    <row r="579" spans="1:10" ht="120" customHeight="1">
      <c r="A579" s="379"/>
      <c r="B579" s="263" t="s">
        <v>1684</v>
      </c>
      <c r="C579" s="210" t="s">
        <v>1707</v>
      </c>
      <c r="D579" s="172" t="s">
        <v>1708</v>
      </c>
      <c r="E579" s="172" t="s">
        <v>23</v>
      </c>
      <c r="F579" s="172" t="s">
        <v>1709</v>
      </c>
      <c r="G579" s="12" t="s">
        <v>1710</v>
      </c>
      <c r="H579" s="174" t="s">
        <v>62</v>
      </c>
      <c r="I579" s="174"/>
      <c r="J579" s="174"/>
    </row>
    <row r="580" spans="1:10" ht="120" customHeight="1">
      <c r="A580" s="379"/>
      <c r="B580" s="171" t="s">
        <v>1485</v>
      </c>
      <c r="C580" s="172" t="s">
        <v>1711</v>
      </c>
      <c r="D580" s="172" t="s">
        <v>11230</v>
      </c>
      <c r="E580" s="172" t="s">
        <v>23</v>
      </c>
      <c r="F580" s="172" t="s">
        <v>1712</v>
      </c>
      <c r="G580" s="189" t="s">
        <v>1713</v>
      </c>
      <c r="H580" s="201" t="s">
        <v>24</v>
      </c>
      <c r="I580" s="174"/>
      <c r="J580" s="174"/>
    </row>
    <row r="581" spans="1:10" ht="120" customHeight="1">
      <c r="A581" s="379"/>
      <c r="B581" s="171" t="s">
        <v>1485</v>
      </c>
      <c r="C581" s="172" t="s">
        <v>11231</v>
      </c>
      <c r="D581" s="172" t="s">
        <v>11232</v>
      </c>
      <c r="E581" s="172" t="s">
        <v>10791</v>
      </c>
      <c r="F581" s="172" t="s">
        <v>1714</v>
      </c>
      <c r="G581" s="189" t="s">
        <v>1715</v>
      </c>
      <c r="H581" s="201" t="s">
        <v>24</v>
      </c>
      <c r="I581" s="174"/>
      <c r="J581" s="174"/>
    </row>
    <row r="582" spans="1:10" ht="120" customHeight="1">
      <c r="A582" s="379"/>
      <c r="B582" s="171" t="s">
        <v>1485</v>
      </c>
      <c r="C582" s="172" t="s">
        <v>11233</v>
      </c>
      <c r="D582" s="172" t="s">
        <v>11234</v>
      </c>
      <c r="E582" s="172" t="s">
        <v>10791</v>
      </c>
      <c r="F582" s="172" t="s">
        <v>1716</v>
      </c>
      <c r="G582" s="189" t="s">
        <v>1717</v>
      </c>
      <c r="H582" s="201" t="s">
        <v>24</v>
      </c>
      <c r="I582" s="174"/>
      <c r="J582" s="174"/>
    </row>
    <row r="583" spans="1:10" ht="120" customHeight="1">
      <c r="A583" s="379"/>
      <c r="B583" s="171" t="s">
        <v>1485</v>
      </c>
      <c r="C583" s="172" t="s">
        <v>11235</v>
      </c>
      <c r="D583" s="172" t="s">
        <v>1718</v>
      </c>
      <c r="E583" s="172" t="s">
        <v>10791</v>
      </c>
      <c r="F583" s="172" t="s">
        <v>11236</v>
      </c>
      <c r="G583" s="189" t="s">
        <v>1717</v>
      </c>
      <c r="H583" s="201" t="s">
        <v>24</v>
      </c>
      <c r="I583" s="174"/>
      <c r="J583" s="174"/>
    </row>
    <row r="584" spans="1:10" ht="120" customHeight="1">
      <c r="A584" s="379"/>
      <c r="B584" s="171" t="s">
        <v>1485</v>
      </c>
      <c r="C584" s="172" t="s">
        <v>11237</v>
      </c>
      <c r="D584" s="172" t="s">
        <v>1721</v>
      </c>
      <c r="E584" s="172" t="s">
        <v>10791</v>
      </c>
      <c r="F584" s="172" t="s">
        <v>11238</v>
      </c>
      <c r="G584" s="189" t="s">
        <v>1717</v>
      </c>
      <c r="H584" s="201" t="s">
        <v>30</v>
      </c>
      <c r="I584" s="174"/>
      <c r="J584" s="174"/>
    </row>
    <row r="585" spans="1:10" ht="120" customHeight="1">
      <c r="A585" s="379"/>
      <c r="B585" s="171" t="s">
        <v>1485</v>
      </c>
      <c r="C585" s="172" t="s">
        <v>11239</v>
      </c>
      <c r="D585" s="172" t="s">
        <v>1722</v>
      </c>
      <c r="E585" s="172" t="s">
        <v>23</v>
      </c>
      <c r="F585" s="172" t="s">
        <v>1723</v>
      </c>
      <c r="G585" s="189" t="s">
        <v>1724</v>
      </c>
      <c r="H585" s="174" t="s">
        <v>41</v>
      </c>
      <c r="I585" s="174"/>
      <c r="J585" s="174"/>
    </row>
    <row r="586" spans="1:10" ht="120" customHeight="1">
      <c r="A586" s="379"/>
      <c r="B586" s="171" t="s">
        <v>1485</v>
      </c>
      <c r="C586" s="210" t="s">
        <v>1725</v>
      </c>
      <c r="D586" s="172" t="s">
        <v>1726</v>
      </c>
      <c r="E586" s="172" t="s">
        <v>23</v>
      </c>
      <c r="F586" s="172" t="s">
        <v>1727</v>
      </c>
      <c r="G586" s="189" t="s">
        <v>1728</v>
      </c>
      <c r="H586" s="174" t="s">
        <v>117</v>
      </c>
      <c r="I586" s="174"/>
      <c r="J586" s="174"/>
    </row>
    <row r="587" spans="1:10" ht="120" customHeight="1">
      <c r="A587" s="379"/>
      <c r="B587" s="171" t="s">
        <v>1485</v>
      </c>
      <c r="C587" s="210" t="s">
        <v>11240</v>
      </c>
      <c r="D587" s="172" t="s">
        <v>1729</v>
      </c>
      <c r="E587" s="172" t="s">
        <v>10791</v>
      </c>
      <c r="F587" s="172" t="s">
        <v>11241</v>
      </c>
      <c r="G587" s="189" t="s">
        <v>1731</v>
      </c>
      <c r="H587" s="174" t="s">
        <v>41</v>
      </c>
      <c r="I587" s="174"/>
      <c r="J587" s="174"/>
    </row>
    <row r="588" spans="1:10" ht="120" customHeight="1">
      <c r="A588" s="379"/>
      <c r="B588" s="171" t="s">
        <v>1485</v>
      </c>
      <c r="C588" s="210" t="s">
        <v>1732</v>
      </c>
      <c r="D588" s="172" t="s">
        <v>1733</v>
      </c>
      <c r="E588" s="172" t="s">
        <v>23</v>
      </c>
      <c r="F588" s="172" t="s">
        <v>1734</v>
      </c>
      <c r="G588" s="189" t="s">
        <v>1735</v>
      </c>
      <c r="H588" s="174" t="s">
        <v>41</v>
      </c>
      <c r="I588" s="174"/>
      <c r="J588" s="174"/>
    </row>
    <row r="589" spans="1:10" ht="120" customHeight="1">
      <c r="A589" s="379"/>
      <c r="B589" s="171" t="s">
        <v>1485</v>
      </c>
      <c r="C589" s="210" t="s">
        <v>1736</v>
      </c>
      <c r="D589" s="172" t="s">
        <v>11242</v>
      </c>
      <c r="E589" s="172" t="s">
        <v>1737</v>
      </c>
      <c r="F589" s="172" t="s">
        <v>11243</v>
      </c>
      <c r="G589" s="189" t="s">
        <v>11244</v>
      </c>
      <c r="H589" s="174" t="s">
        <v>117</v>
      </c>
      <c r="I589" s="174"/>
      <c r="J589" s="174"/>
    </row>
    <row r="590" spans="1:10" ht="120" customHeight="1">
      <c r="A590" s="379"/>
      <c r="B590" s="171" t="s">
        <v>1485</v>
      </c>
      <c r="C590" s="210" t="s">
        <v>1738</v>
      </c>
      <c r="D590" s="172" t="s">
        <v>1739</v>
      </c>
      <c r="E590" s="172" t="s">
        <v>1737</v>
      </c>
      <c r="F590" s="172" t="s">
        <v>12503</v>
      </c>
      <c r="G590" s="189" t="s">
        <v>1740</v>
      </c>
      <c r="H590" s="174" t="s">
        <v>117</v>
      </c>
      <c r="I590" s="174"/>
      <c r="J590" s="174"/>
    </row>
    <row r="591" spans="1:10" ht="120" customHeight="1">
      <c r="A591" s="379"/>
      <c r="B591" s="260" t="s">
        <v>1485</v>
      </c>
      <c r="C591" s="210" t="s">
        <v>1741</v>
      </c>
      <c r="D591" s="210" t="s">
        <v>11245</v>
      </c>
      <c r="E591" s="210" t="s">
        <v>1737</v>
      </c>
      <c r="F591" s="210" t="s">
        <v>11246</v>
      </c>
      <c r="G591" s="209" t="s">
        <v>11247</v>
      </c>
      <c r="H591" s="201" t="s">
        <v>117</v>
      </c>
      <c r="I591" s="201"/>
      <c r="J591" s="201"/>
    </row>
    <row r="592" spans="1:10" ht="120" customHeight="1">
      <c r="A592" s="379"/>
      <c r="B592" s="260" t="s">
        <v>1485</v>
      </c>
      <c r="C592" s="210" t="s">
        <v>1742</v>
      </c>
      <c r="D592" s="210" t="s">
        <v>11248</v>
      </c>
      <c r="E592" s="210" t="s">
        <v>1737</v>
      </c>
      <c r="F592" s="210" t="s">
        <v>11249</v>
      </c>
      <c r="G592" s="209" t="s">
        <v>1743</v>
      </c>
      <c r="H592" s="201" t="s">
        <v>184</v>
      </c>
      <c r="I592" s="201"/>
      <c r="J592" s="201"/>
    </row>
    <row r="593" spans="1:10" ht="120" customHeight="1">
      <c r="A593" s="379"/>
      <c r="B593" s="171" t="s">
        <v>1485</v>
      </c>
      <c r="C593" s="210" t="s">
        <v>1744</v>
      </c>
      <c r="D593" s="172" t="s">
        <v>11250</v>
      </c>
      <c r="E593" s="172" t="s">
        <v>1737</v>
      </c>
      <c r="F593" s="172" t="s">
        <v>1745</v>
      </c>
      <c r="G593" s="189" t="s">
        <v>1743</v>
      </c>
      <c r="H593" s="174" t="s">
        <v>117</v>
      </c>
      <c r="I593" s="174"/>
      <c r="J593" s="174"/>
    </row>
    <row r="594" spans="1:10" ht="120" customHeight="1">
      <c r="A594" s="379"/>
      <c r="B594" s="171" t="s">
        <v>1485</v>
      </c>
      <c r="C594" s="210" t="s">
        <v>11251</v>
      </c>
      <c r="D594" s="172" t="s">
        <v>11252</v>
      </c>
      <c r="E594" s="172" t="s">
        <v>1737</v>
      </c>
      <c r="F594" s="172" t="s">
        <v>1746</v>
      </c>
      <c r="G594" s="189" t="s">
        <v>1747</v>
      </c>
      <c r="H594" s="174" t="s">
        <v>117</v>
      </c>
      <c r="I594" s="174"/>
      <c r="J594" s="174"/>
    </row>
    <row r="595" spans="1:10" ht="120" customHeight="1">
      <c r="A595" s="379"/>
      <c r="B595" s="171" t="s">
        <v>1485</v>
      </c>
      <c r="C595" s="210" t="s">
        <v>1748</v>
      </c>
      <c r="D595" s="172" t="s">
        <v>11253</v>
      </c>
      <c r="E595" s="172" t="s">
        <v>1737</v>
      </c>
      <c r="F595" s="172" t="s">
        <v>11254</v>
      </c>
      <c r="G595" s="189" t="s">
        <v>11255</v>
      </c>
      <c r="H595" s="174" t="s">
        <v>117</v>
      </c>
      <c r="I595" s="174"/>
      <c r="J595" s="174"/>
    </row>
    <row r="596" spans="1:10" ht="120" customHeight="1">
      <c r="A596" s="379"/>
      <c r="B596" s="178" t="s">
        <v>1749</v>
      </c>
      <c r="C596" s="172" t="s">
        <v>1750</v>
      </c>
      <c r="D596" s="172" t="s">
        <v>1751</v>
      </c>
      <c r="E596" s="172" t="s">
        <v>23</v>
      </c>
      <c r="F596" s="172" t="s">
        <v>11256</v>
      </c>
      <c r="G596" s="189" t="s">
        <v>1752</v>
      </c>
      <c r="H596" s="174" t="s">
        <v>24</v>
      </c>
      <c r="I596" s="174"/>
      <c r="J596" s="174"/>
    </row>
    <row r="597" spans="1:10" ht="120" customHeight="1">
      <c r="A597" s="379"/>
      <c r="B597" s="178" t="s">
        <v>1749</v>
      </c>
      <c r="C597" s="172" t="s">
        <v>11257</v>
      </c>
      <c r="D597" s="172" t="s">
        <v>11258</v>
      </c>
      <c r="E597" s="172" t="s">
        <v>10791</v>
      </c>
      <c r="F597" s="172" t="s">
        <v>1755</v>
      </c>
      <c r="G597" s="189" t="s">
        <v>1756</v>
      </c>
      <c r="H597" s="174" t="s">
        <v>30</v>
      </c>
      <c r="I597" s="174"/>
      <c r="J597" s="174"/>
    </row>
    <row r="598" spans="1:10" ht="120" customHeight="1">
      <c r="A598" s="379"/>
      <c r="B598" s="178" t="s">
        <v>1749</v>
      </c>
      <c r="C598" s="172" t="s">
        <v>1757</v>
      </c>
      <c r="D598" s="172" t="s">
        <v>11259</v>
      </c>
      <c r="E598" s="172" t="s">
        <v>23</v>
      </c>
      <c r="F598" s="172" t="s">
        <v>1759</v>
      </c>
      <c r="G598" s="189" t="s">
        <v>11260</v>
      </c>
      <c r="H598" s="174" t="s">
        <v>41</v>
      </c>
      <c r="I598" s="174"/>
      <c r="J598" s="174"/>
    </row>
    <row r="599" spans="1:10" ht="120" customHeight="1">
      <c r="A599" s="379"/>
      <c r="B599" s="178" t="s">
        <v>1749</v>
      </c>
      <c r="C599" s="172" t="s">
        <v>1761</v>
      </c>
      <c r="D599" s="172" t="s">
        <v>1762</v>
      </c>
      <c r="E599" s="172" t="s">
        <v>23</v>
      </c>
      <c r="F599" s="172" t="s">
        <v>1763</v>
      </c>
      <c r="G599" s="189" t="s">
        <v>1764</v>
      </c>
      <c r="H599" s="174" t="s">
        <v>24</v>
      </c>
      <c r="I599" s="174"/>
      <c r="J599" s="174"/>
    </row>
    <row r="600" spans="1:10" ht="120" customHeight="1">
      <c r="A600" s="379"/>
      <c r="B600" s="178" t="s">
        <v>1749</v>
      </c>
      <c r="C600" s="172" t="s">
        <v>1765</v>
      </c>
      <c r="D600" s="172" t="s">
        <v>1766</v>
      </c>
      <c r="E600" s="172" t="s">
        <v>23</v>
      </c>
      <c r="F600" s="172" t="s">
        <v>1767</v>
      </c>
      <c r="G600" s="189" t="s">
        <v>1756</v>
      </c>
      <c r="H600" s="174" t="s">
        <v>24</v>
      </c>
      <c r="I600" s="174"/>
      <c r="J600" s="174"/>
    </row>
    <row r="601" spans="1:10" ht="120" customHeight="1">
      <c r="A601" s="379"/>
      <c r="B601" s="178" t="s">
        <v>1749</v>
      </c>
      <c r="C601" s="172" t="s">
        <v>1768</v>
      </c>
      <c r="D601" s="172" t="s">
        <v>1769</v>
      </c>
      <c r="E601" s="172" t="s">
        <v>23</v>
      </c>
      <c r="F601" s="172" t="s">
        <v>1770</v>
      </c>
      <c r="G601" s="189" t="s">
        <v>1771</v>
      </c>
      <c r="H601" s="174" t="s">
        <v>24</v>
      </c>
      <c r="I601" s="174"/>
      <c r="J601" s="174"/>
    </row>
    <row r="602" spans="1:10" ht="120" customHeight="1">
      <c r="A602" s="379"/>
      <c r="B602" s="178" t="s">
        <v>1749</v>
      </c>
      <c r="C602" s="172" t="s">
        <v>1772</v>
      </c>
      <c r="D602" s="172" t="s">
        <v>1773</v>
      </c>
      <c r="E602" s="172" t="s">
        <v>23</v>
      </c>
      <c r="F602" s="172" t="s">
        <v>1774</v>
      </c>
      <c r="G602" s="189" t="s">
        <v>1775</v>
      </c>
      <c r="H602" s="174" t="s">
        <v>24</v>
      </c>
      <c r="I602" s="174"/>
      <c r="J602" s="174"/>
    </row>
    <row r="603" spans="1:10" ht="120" customHeight="1">
      <c r="A603" s="379"/>
      <c r="B603" s="178" t="s">
        <v>1749</v>
      </c>
      <c r="C603" s="172" t="s">
        <v>1776</v>
      </c>
      <c r="D603" s="172" t="s">
        <v>1777</v>
      </c>
      <c r="E603" s="172" t="s">
        <v>23</v>
      </c>
      <c r="F603" s="172" t="s">
        <v>1778</v>
      </c>
      <c r="G603" s="189" t="s">
        <v>1779</v>
      </c>
      <c r="H603" s="174" t="s">
        <v>41</v>
      </c>
      <c r="I603" s="174"/>
      <c r="J603" s="174"/>
    </row>
    <row r="604" spans="1:10" ht="120" customHeight="1">
      <c r="A604" s="379"/>
      <c r="B604" s="178" t="s">
        <v>1749</v>
      </c>
      <c r="C604" s="172" t="s">
        <v>1780</v>
      </c>
      <c r="D604" s="172" t="s">
        <v>1781</v>
      </c>
      <c r="E604" s="172" t="s">
        <v>23</v>
      </c>
      <c r="F604" s="172" t="s">
        <v>1782</v>
      </c>
      <c r="G604" s="189" t="s">
        <v>1783</v>
      </c>
      <c r="H604" s="174" t="s">
        <v>24</v>
      </c>
      <c r="I604" s="174"/>
      <c r="J604" s="174"/>
    </row>
    <row r="605" spans="1:10" ht="120" customHeight="1">
      <c r="A605" s="379"/>
      <c r="B605" s="178" t="s">
        <v>1749</v>
      </c>
      <c r="C605" s="172" t="s">
        <v>1784</v>
      </c>
      <c r="D605" s="172" t="s">
        <v>1785</v>
      </c>
      <c r="E605" s="172" t="s">
        <v>23</v>
      </c>
      <c r="F605" s="172" t="s">
        <v>11261</v>
      </c>
      <c r="G605" s="189" t="s">
        <v>11262</v>
      </c>
      <c r="H605" s="174" t="s">
        <v>24</v>
      </c>
      <c r="I605" s="174"/>
      <c r="J605" s="174"/>
    </row>
    <row r="606" spans="1:10" ht="120" customHeight="1">
      <c r="A606" s="379"/>
      <c r="B606" s="178" t="s">
        <v>1749</v>
      </c>
      <c r="C606" s="172" t="s">
        <v>1786</v>
      </c>
      <c r="D606" s="172" t="s">
        <v>1787</v>
      </c>
      <c r="E606" s="172" t="s">
        <v>23</v>
      </c>
      <c r="F606" s="172" t="s">
        <v>11263</v>
      </c>
      <c r="G606" s="189" t="s">
        <v>1783</v>
      </c>
      <c r="H606" s="174" t="s">
        <v>30</v>
      </c>
      <c r="I606" s="174"/>
      <c r="J606" s="174"/>
    </row>
    <row r="607" spans="1:10" ht="120" customHeight="1">
      <c r="A607" s="379"/>
      <c r="B607" s="178" t="s">
        <v>1749</v>
      </c>
      <c r="C607" s="172" t="s">
        <v>1789</v>
      </c>
      <c r="D607" s="172" t="s">
        <v>11264</v>
      </c>
      <c r="E607" s="172" t="s">
        <v>23</v>
      </c>
      <c r="F607" s="172" t="s">
        <v>1791</v>
      </c>
      <c r="G607" s="189" t="s">
        <v>1792</v>
      </c>
      <c r="H607" s="174" t="s">
        <v>41</v>
      </c>
      <c r="I607" s="174"/>
      <c r="J607" s="174"/>
    </row>
    <row r="608" spans="1:10" ht="120" customHeight="1">
      <c r="A608" s="379"/>
      <c r="B608" s="178" t="s">
        <v>1749</v>
      </c>
      <c r="C608" s="172" t="s">
        <v>1793</v>
      </c>
      <c r="D608" s="172" t="s">
        <v>1794</v>
      </c>
      <c r="E608" s="172" t="s">
        <v>23</v>
      </c>
      <c r="F608" s="172" t="s">
        <v>11265</v>
      </c>
      <c r="G608" s="189" t="s">
        <v>1795</v>
      </c>
      <c r="H608" s="174" t="s">
        <v>24</v>
      </c>
      <c r="I608" s="174"/>
      <c r="J608" s="174"/>
    </row>
    <row r="609" spans="1:10" ht="120" customHeight="1">
      <c r="A609" s="379"/>
      <c r="B609" s="178" t="s">
        <v>1749</v>
      </c>
      <c r="C609" s="172" t="s">
        <v>1796</v>
      </c>
      <c r="D609" s="172" t="s">
        <v>1797</v>
      </c>
      <c r="E609" s="172" t="s">
        <v>23</v>
      </c>
      <c r="F609" s="172" t="s">
        <v>1798</v>
      </c>
      <c r="G609" s="189" t="s">
        <v>1799</v>
      </c>
      <c r="H609" s="174" t="s">
        <v>41</v>
      </c>
      <c r="I609" s="174"/>
      <c r="J609" s="174"/>
    </row>
    <row r="610" spans="1:10" ht="120" customHeight="1">
      <c r="A610" s="379"/>
      <c r="B610" s="178" t="s">
        <v>1749</v>
      </c>
      <c r="C610" s="172" t="s">
        <v>1800</v>
      </c>
      <c r="D610" s="172" t="s">
        <v>1801</v>
      </c>
      <c r="E610" s="172" t="s">
        <v>23</v>
      </c>
      <c r="F610" s="172" t="s">
        <v>1802</v>
      </c>
      <c r="G610" s="189" t="s">
        <v>1803</v>
      </c>
      <c r="H610" s="174" t="s">
        <v>41</v>
      </c>
      <c r="I610" s="174"/>
      <c r="J610" s="174"/>
    </row>
    <row r="611" spans="1:10" ht="120" customHeight="1">
      <c r="A611" s="379"/>
      <c r="B611" s="178" t="s">
        <v>1749</v>
      </c>
      <c r="C611" s="172" t="s">
        <v>1804</v>
      </c>
      <c r="D611" s="172" t="s">
        <v>1805</v>
      </c>
      <c r="E611" s="172" t="s">
        <v>23</v>
      </c>
      <c r="F611" s="172" t="s">
        <v>1806</v>
      </c>
      <c r="G611" s="189" t="s">
        <v>1807</v>
      </c>
      <c r="H611" s="174" t="s">
        <v>41</v>
      </c>
      <c r="I611" s="174"/>
      <c r="J611" s="174"/>
    </row>
    <row r="612" spans="1:10" ht="120" customHeight="1">
      <c r="A612" s="379"/>
      <c r="B612" s="178" t="s">
        <v>1749</v>
      </c>
      <c r="C612" s="172" t="s">
        <v>1808</v>
      </c>
      <c r="D612" s="172" t="s">
        <v>1809</v>
      </c>
      <c r="E612" s="172" t="s">
        <v>23</v>
      </c>
      <c r="F612" s="172" t="s">
        <v>1810</v>
      </c>
      <c r="G612" s="189" t="s">
        <v>1602</v>
      </c>
      <c r="H612" s="174" t="s">
        <v>117</v>
      </c>
      <c r="I612" s="174"/>
      <c r="J612" s="174"/>
    </row>
    <row r="613" spans="1:10" ht="120" customHeight="1">
      <c r="A613" s="379"/>
      <c r="B613" s="178" t="s">
        <v>1749</v>
      </c>
      <c r="C613" s="172" t="s">
        <v>1811</v>
      </c>
      <c r="D613" s="172" t="s">
        <v>1812</v>
      </c>
      <c r="E613" s="172" t="s">
        <v>23</v>
      </c>
      <c r="F613" s="172" t="s">
        <v>1813</v>
      </c>
      <c r="G613" s="189" t="s">
        <v>1602</v>
      </c>
      <c r="H613" s="174" t="s">
        <v>24</v>
      </c>
      <c r="I613" s="174"/>
      <c r="J613" s="174"/>
    </row>
    <row r="614" spans="1:10" ht="120" customHeight="1">
      <c r="A614" s="379"/>
      <c r="B614" s="178" t="s">
        <v>1749</v>
      </c>
      <c r="C614" s="172" t="s">
        <v>1814</v>
      </c>
      <c r="D614" s="172" t="s">
        <v>11266</v>
      </c>
      <c r="E614" s="172" t="s">
        <v>23</v>
      </c>
      <c r="F614" s="172" t="s">
        <v>1816</v>
      </c>
      <c r="G614" s="189" t="s">
        <v>1602</v>
      </c>
      <c r="H614" s="174" t="s">
        <v>24</v>
      </c>
      <c r="I614" s="174"/>
      <c r="J614" s="174"/>
    </row>
    <row r="615" spans="1:10" ht="120" customHeight="1">
      <c r="A615" s="379"/>
      <c r="B615" s="178" t="s">
        <v>1749</v>
      </c>
      <c r="C615" s="172" t="s">
        <v>1817</v>
      </c>
      <c r="D615" s="172" t="s">
        <v>1818</v>
      </c>
      <c r="E615" s="172" t="s">
        <v>23</v>
      </c>
      <c r="F615" s="172" t="s">
        <v>1819</v>
      </c>
      <c r="G615" s="189" t="s">
        <v>1602</v>
      </c>
      <c r="H615" s="201" t="s">
        <v>24</v>
      </c>
      <c r="I615" s="174"/>
      <c r="J615" s="174"/>
    </row>
    <row r="616" spans="1:10" ht="120" customHeight="1">
      <c r="A616" s="379"/>
      <c r="B616" s="178" t="s">
        <v>1749</v>
      </c>
      <c r="C616" s="172" t="s">
        <v>1820</v>
      </c>
      <c r="D616" s="172" t="s">
        <v>1821</v>
      </c>
      <c r="E616" s="172" t="s">
        <v>23</v>
      </c>
      <c r="F616" s="172" t="s">
        <v>1822</v>
      </c>
      <c r="G616" s="189" t="s">
        <v>1602</v>
      </c>
      <c r="H616" s="201" t="s">
        <v>24</v>
      </c>
      <c r="I616" s="174"/>
      <c r="J616" s="174"/>
    </row>
    <row r="617" spans="1:10" ht="120" customHeight="1">
      <c r="A617" s="379"/>
      <c r="B617" s="178" t="s">
        <v>1749</v>
      </c>
      <c r="C617" s="172" t="s">
        <v>1823</v>
      </c>
      <c r="D617" s="172" t="s">
        <v>11267</v>
      </c>
      <c r="E617" s="172" t="s">
        <v>23</v>
      </c>
      <c r="F617" s="172" t="s">
        <v>1824</v>
      </c>
      <c r="G617" s="189" t="s">
        <v>1825</v>
      </c>
      <c r="H617" s="174" t="s">
        <v>24</v>
      </c>
      <c r="I617" s="174"/>
      <c r="J617" s="174"/>
    </row>
    <row r="618" spans="1:10" ht="120" customHeight="1">
      <c r="A618" s="379"/>
      <c r="B618" s="178" t="s">
        <v>1749</v>
      </c>
      <c r="C618" s="172" t="s">
        <v>1826</v>
      </c>
      <c r="D618" s="172" t="s">
        <v>1827</v>
      </c>
      <c r="E618" s="172" t="s">
        <v>23</v>
      </c>
      <c r="F618" s="172" t="s">
        <v>1828</v>
      </c>
      <c r="G618" s="189" t="s">
        <v>1825</v>
      </c>
      <c r="H618" s="201" t="s">
        <v>24</v>
      </c>
      <c r="I618" s="174"/>
      <c r="J618" s="174"/>
    </row>
    <row r="619" spans="1:10" ht="120" customHeight="1">
      <c r="A619" s="379"/>
      <c r="B619" s="178" t="s">
        <v>1749</v>
      </c>
      <c r="C619" s="172" t="s">
        <v>1829</v>
      </c>
      <c r="D619" s="172" t="s">
        <v>1830</v>
      </c>
      <c r="E619" s="172" t="s">
        <v>23</v>
      </c>
      <c r="F619" s="172" t="s">
        <v>1831</v>
      </c>
      <c r="G619" s="189" t="s">
        <v>1825</v>
      </c>
      <c r="H619" s="174" t="s">
        <v>30</v>
      </c>
      <c r="I619" s="174"/>
      <c r="J619" s="174"/>
    </row>
    <row r="620" spans="1:10" ht="120" customHeight="1">
      <c r="A620" s="379"/>
      <c r="B620" s="178" t="s">
        <v>1749</v>
      </c>
      <c r="C620" s="172" t="s">
        <v>1832</v>
      </c>
      <c r="D620" s="172" t="s">
        <v>1833</v>
      </c>
      <c r="E620" s="172" t="s">
        <v>23</v>
      </c>
      <c r="F620" s="172" t="s">
        <v>1834</v>
      </c>
      <c r="G620" s="189" t="s">
        <v>1825</v>
      </c>
      <c r="H620" s="201" t="s">
        <v>24</v>
      </c>
      <c r="I620" s="174"/>
      <c r="J620" s="174"/>
    </row>
    <row r="621" spans="1:10" ht="120" customHeight="1">
      <c r="A621" s="379"/>
      <c r="B621" s="178" t="s">
        <v>1749</v>
      </c>
      <c r="C621" s="172" t="s">
        <v>1835</v>
      </c>
      <c r="D621" s="172" t="s">
        <v>1836</v>
      </c>
      <c r="E621" s="172" t="s">
        <v>23</v>
      </c>
      <c r="F621" s="172" t="s">
        <v>1837</v>
      </c>
      <c r="G621" s="189" t="s">
        <v>1825</v>
      </c>
      <c r="H621" s="201" t="s">
        <v>24</v>
      </c>
      <c r="I621" s="174"/>
      <c r="J621" s="174"/>
    </row>
    <row r="622" spans="1:10" ht="120" customHeight="1">
      <c r="A622" s="379"/>
      <c r="B622" s="178" t="s">
        <v>1749</v>
      </c>
      <c r="C622" s="172" t="s">
        <v>1838</v>
      </c>
      <c r="D622" s="172" t="s">
        <v>1839</v>
      </c>
      <c r="E622" s="172" t="s">
        <v>23</v>
      </c>
      <c r="F622" s="172" t="s">
        <v>1840</v>
      </c>
      <c r="G622" s="189" t="s">
        <v>1825</v>
      </c>
      <c r="H622" s="201" t="s">
        <v>24</v>
      </c>
      <c r="I622" s="174"/>
      <c r="J622" s="174"/>
    </row>
    <row r="623" spans="1:10" ht="120" customHeight="1">
      <c r="A623" s="379"/>
      <c r="B623" s="178" t="s">
        <v>1749</v>
      </c>
      <c r="C623" s="172" t="s">
        <v>1841</v>
      </c>
      <c r="D623" s="172" t="s">
        <v>1842</v>
      </c>
      <c r="E623" s="172" t="s">
        <v>23</v>
      </c>
      <c r="F623" s="172" t="s">
        <v>1843</v>
      </c>
      <c r="G623" s="189" t="s">
        <v>1844</v>
      </c>
      <c r="H623" s="201" t="s">
        <v>24</v>
      </c>
      <c r="I623" s="174"/>
      <c r="J623" s="174"/>
    </row>
    <row r="624" spans="1:10" ht="120" customHeight="1">
      <c r="A624" s="379"/>
      <c r="B624" s="178" t="s">
        <v>1749</v>
      </c>
      <c r="C624" s="172" t="s">
        <v>1845</v>
      </c>
      <c r="D624" s="172" t="s">
        <v>1846</v>
      </c>
      <c r="E624" s="172" t="s">
        <v>23</v>
      </c>
      <c r="F624" s="172" t="s">
        <v>1847</v>
      </c>
      <c r="G624" s="189" t="s">
        <v>1844</v>
      </c>
      <c r="H624" s="201" t="s">
        <v>24</v>
      </c>
      <c r="I624" s="174"/>
      <c r="J624" s="174"/>
    </row>
    <row r="625" spans="1:10" ht="120" customHeight="1">
      <c r="A625" s="379"/>
      <c r="B625" s="178" t="s">
        <v>1749</v>
      </c>
      <c r="C625" s="172" t="s">
        <v>1848</v>
      </c>
      <c r="D625" s="242" t="s">
        <v>1849</v>
      </c>
      <c r="E625" s="172" t="s">
        <v>23</v>
      </c>
      <c r="F625" s="172" t="s">
        <v>1850</v>
      </c>
      <c r="G625" s="189" t="s">
        <v>1844</v>
      </c>
      <c r="H625" s="201" t="s">
        <v>24</v>
      </c>
      <c r="I625" s="174"/>
      <c r="J625" s="174"/>
    </row>
    <row r="626" spans="1:10" ht="120" customHeight="1">
      <c r="A626" s="379"/>
      <c r="B626" s="178" t="s">
        <v>1749</v>
      </c>
      <c r="C626" s="172" t="s">
        <v>1851</v>
      </c>
      <c r="D626" s="243" t="s">
        <v>1852</v>
      </c>
      <c r="E626" s="244" t="s">
        <v>23</v>
      </c>
      <c r="F626" s="172" t="s">
        <v>1853</v>
      </c>
      <c r="G626" s="189" t="s">
        <v>1844</v>
      </c>
      <c r="H626" s="201" t="s">
        <v>24</v>
      </c>
      <c r="I626" s="174"/>
      <c r="J626" s="174"/>
    </row>
    <row r="627" spans="1:10" ht="120" customHeight="1">
      <c r="A627" s="379"/>
      <c r="B627" s="178" t="s">
        <v>1749</v>
      </c>
      <c r="C627" s="172" t="s">
        <v>1854</v>
      </c>
      <c r="D627" s="243" t="s">
        <v>1855</v>
      </c>
      <c r="E627" s="244" t="s">
        <v>23</v>
      </c>
      <c r="F627" s="172" t="s">
        <v>1856</v>
      </c>
      <c r="G627" s="189" t="s">
        <v>1844</v>
      </c>
      <c r="H627" s="201" t="s">
        <v>30</v>
      </c>
      <c r="I627" s="174"/>
      <c r="J627" s="174"/>
    </row>
    <row r="628" spans="1:10" ht="120" customHeight="1">
      <c r="A628" s="379"/>
      <c r="B628" s="178" t="s">
        <v>1749</v>
      </c>
      <c r="C628" s="172" t="s">
        <v>1857</v>
      </c>
      <c r="D628" s="243" t="s">
        <v>1858</v>
      </c>
      <c r="E628" s="244" t="s">
        <v>23</v>
      </c>
      <c r="F628" s="172" t="s">
        <v>1859</v>
      </c>
      <c r="G628" s="189" t="s">
        <v>1844</v>
      </c>
      <c r="H628" s="201" t="s">
        <v>36</v>
      </c>
      <c r="I628" s="174"/>
      <c r="J628" s="174"/>
    </row>
    <row r="629" spans="1:10" ht="120" customHeight="1">
      <c r="A629" s="379"/>
      <c r="B629" s="178" t="s">
        <v>1749</v>
      </c>
      <c r="C629" s="172" t="s">
        <v>1860</v>
      </c>
      <c r="D629" s="172" t="s">
        <v>1491</v>
      </c>
      <c r="E629" s="172" t="s">
        <v>23</v>
      </c>
      <c r="F629" s="172" t="s">
        <v>1861</v>
      </c>
      <c r="G629" s="189" t="s">
        <v>1493</v>
      </c>
      <c r="H629" s="174" t="s">
        <v>24</v>
      </c>
      <c r="I629" s="174"/>
      <c r="J629" s="174"/>
    </row>
    <row r="630" spans="1:10" ht="120" customHeight="1">
      <c r="A630" s="379"/>
      <c r="B630" s="178" t="s">
        <v>1749</v>
      </c>
      <c r="C630" s="172" t="s">
        <v>1862</v>
      </c>
      <c r="D630" s="172" t="s">
        <v>11268</v>
      </c>
      <c r="E630" s="172" t="s">
        <v>23</v>
      </c>
      <c r="F630" s="172" t="s">
        <v>11269</v>
      </c>
      <c r="G630" s="189" t="s">
        <v>1497</v>
      </c>
      <c r="H630" s="174" t="s">
        <v>24</v>
      </c>
      <c r="I630" s="174"/>
      <c r="J630" s="174"/>
    </row>
    <row r="631" spans="1:10" ht="120" customHeight="1">
      <c r="A631" s="379"/>
      <c r="B631" s="178" t="s">
        <v>1749</v>
      </c>
      <c r="C631" s="172" t="s">
        <v>1864</v>
      </c>
      <c r="D631" s="172" t="s">
        <v>11270</v>
      </c>
      <c r="E631" s="172" t="s">
        <v>23</v>
      </c>
      <c r="F631" s="172" t="s">
        <v>1866</v>
      </c>
      <c r="G631" s="189" t="s">
        <v>1867</v>
      </c>
      <c r="H631" s="174" t="s">
        <v>24</v>
      </c>
      <c r="I631" s="174"/>
      <c r="J631" s="174"/>
    </row>
    <row r="632" spans="1:10" ht="120" customHeight="1">
      <c r="A632" s="379"/>
      <c r="B632" s="178" t="s">
        <v>1749</v>
      </c>
      <c r="C632" s="172" t="s">
        <v>1868</v>
      </c>
      <c r="D632" s="172" t="s">
        <v>1869</v>
      </c>
      <c r="E632" s="172" t="s">
        <v>23</v>
      </c>
      <c r="F632" s="172" t="s">
        <v>1870</v>
      </c>
      <c r="G632" s="189" t="s">
        <v>1505</v>
      </c>
      <c r="H632" s="174" t="s">
        <v>24</v>
      </c>
      <c r="I632" s="174"/>
      <c r="J632" s="174"/>
    </row>
    <row r="633" spans="1:10" ht="120" customHeight="1">
      <c r="A633" s="379"/>
      <c r="B633" s="178" t="s">
        <v>1749</v>
      </c>
      <c r="C633" s="172" t="s">
        <v>11271</v>
      </c>
      <c r="D633" s="172" t="s">
        <v>11272</v>
      </c>
      <c r="E633" s="172" t="s">
        <v>23</v>
      </c>
      <c r="F633" s="172" t="s">
        <v>11273</v>
      </c>
      <c r="G633" s="189" t="s">
        <v>1872</v>
      </c>
      <c r="H633" s="174" t="s">
        <v>36</v>
      </c>
      <c r="I633" s="174"/>
      <c r="J633" s="174"/>
    </row>
    <row r="634" spans="1:10" ht="120" customHeight="1">
      <c r="A634" s="379"/>
      <c r="B634" s="178" t="s">
        <v>1749</v>
      </c>
      <c r="C634" s="172" t="s">
        <v>1873</v>
      </c>
      <c r="D634" s="172" t="s">
        <v>1874</v>
      </c>
      <c r="E634" s="172" t="s">
        <v>23</v>
      </c>
      <c r="F634" s="172" t="s">
        <v>1875</v>
      </c>
      <c r="G634" s="189" t="s">
        <v>1876</v>
      </c>
      <c r="H634" s="174" t="s">
        <v>24</v>
      </c>
      <c r="I634" s="174"/>
      <c r="J634" s="174"/>
    </row>
    <row r="635" spans="1:10" ht="120" customHeight="1">
      <c r="A635" s="379"/>
      <c r="B635" s="178" t="s">
        <v>1749</v>
      </c>
      <c r="C635" s="172" t="s">
        <v>11274</v>
      </c>
      <c r="D635" s="172" t="s">
        <v>1878</v>
      </c>
      <c r="E635" s="172" t="s">
        <v>10791</v>
      </c>
      <c r="F635" s="172" t="s">
        <v>1879</v>
      </c>
      <c r="G635" s="189" t="s">
        <v>1880</v>
      </c>
      <c r="H635" s="174" t="s">
        <v>30</v>
      </c>
      <c r="I635" s="174"/>
      <c r="J635" s="174"/>
    </row>
    <row r="636" spans="1:10" ht="120" customHeight="1">
      <c r="A636" s="379"/>
      <c r="B636" s="178" t="s">
        <v>1749</v>
      </c>
      <c r="C636" s="172" t="s">
        <v>1881</v>
      </c>
      <c r="D636" s="172" t="s">
        <v>1882</v>
      </c>
      <c r="E636" s="172" t="s">
        <v>23</v>
      </c>
      <c r="F636" s="172" t="s">
        <v>1883</v>
      </c>
      <c r="G636" s="189" t="s">
        <v>1880</v>
      </c>
      <c r="H636" s="174" t="s">
        <v>41</v>
      </c>
      <c r="I636" s="174"/>
      <c r="J636" s="174"/>
    </row>
    <row r="637" spans="1:10" ht="120" customHeight="1">
      <c r="A637" s="379"/>
      <c r="B637" s="178" t="s">
        <v>1749</v>
      </c>
      <c r="C637" s="172" t="s">
        <v>1884</v>
      </c>
      <c r="D637" s="172" t="s">
        <v>1885</v>
      </c>
      <c r="E637" s="172" t="s">
        <v>23</v>
      </c>
      <c r="F637" s="172" t="s">
        <v>1886</v>
      </c>
      <c r="G637" s="189" t="s">
        <v>1880</v>
      </c>
      <c r="H637" s="174" t="s">
        <v>24</v>
      </c>
      <c r="I637" s="174"/>
      <c r="J637" s="174"/>
    </row>
    <row r="638" spans="1:10" ht="120" customHeight="1">
      <c r="A638" s="379"/>
      <c r="B638" s="178" t="s">
        <v>1749</v>
      </c>
      <c r="C638" s="172" t="s">
        <v>1887</v>
      </c>
      <c r="D638" s="172" t="s">
        <v>1888</v>
      </c>
      <c r="E638" s="172" t="s">
        <v>23</v>
      </c>
      <c r="F638" s="172" t="s">
        <v>1889</v>
      </c>
      <c r="G638" s="189" t="s">
        <v>1890</v>
      </c>
      <c r="H638" s="174" t="s">
        <v>24</v>
      </c>
      <c r="I638" s="174"/>
      <c r="J638" s="174"/>
    </row>
    <row r="639" spans="1:10" ht="120" customHeight="1">
      <c r="A639" s="379"/>
      <c r="B639" s="178" t="s">
        <v>1749</v>
      </c>
      <c r="C639" s="172" t="s">
        <v>1891</v>
      </c>
      <c r="D639" s="172" t="s">
        <v>1892</v>
      </c>
      <c r="E639" s="172" t="s">
        <v>23</v>
      </c>
      <c r="F639" s="172" t="s">
        <v>1893</v>
      </c>
      <c r="G639" s="189" t="s">
        <v>1894</v>
      </c>
      <c r="H639" s="174" t="s">
        <v>24</v>
      </c>
      <c r="I639" s="174"/>
      <c r="J639" s="174"/>
    </row>
    <row r="640" spans="1:10" ht="120" customHeight="1">
      <c r="A640" s="379"/>
      <c r="B640" s="178" t="s">
        <v>1749</v>
      </c>
      <c r="C640" s="172" t="s">
        <v>1895</v>
      </c>
      <c r="D640" s="172" t="s">
        <v>1896</v>
      </c>
      <c r="E640" s="172" t="s">
        <v>23</v>
      </c>
      <c r="F640" s="172" t="s">
        <v>1897</v>
      </c>
      <c r="G640" s="189" t="s">
        <v>1898</v>
      </c>
      <c r="H640" s="174" t="s">
        <v>24</v>
      </c>
      <c r="I640" s="174"/>
      <c r="J640" s="174"/>
    </row>
    <row r="641" spans="1:10" ht="120" customHeight="1">
      <c r="A641" s="388"/>
      <c r="B641" s="178" t="s">
        <v>1749</v>
      </c>
      <c r="C641" s="172" t="s">
        <v>11275</v>
      </c>
      <c r="D641" s="172" t="s">
        <v>1899</v>
      </c>
      <c r="E641" s="172" t="s">
        <v>10791</v>
      </c>
      <c r="F641" s="172" t="s">
        <v>1900</v>
      </c>
      <c r="G641" s="189" t="s">
        <v>1901</v>
      </c>
      <c r="H641" s="174" t="s">
        <v>41</v>
      </c>
      <c r="I641" s="174"/>
      <c r="J641" s="174"/>
    </row>
    <row r="642" spans="1:10" ht="120" customHeight="1">
      <c r="A642" s="371" t="s">
        <v>11276</v>
      </c>
      <c r="B642" s="171" t="s">
        <v>1903</v>
      </c>
      <c r="C642" s="172" t="s">
        <v>1904</v>
      </c>
      <c r="D642" s="172" t="s">
        <v>1905</v>
      </c>
      <c r="E642" s="172" t="s">
        <v>23</v>
      </c>
      <c r="F642" s="172" t="s">
        <v>1906</v>
      </c>
      <c r="G642" s="189" t="s">
        <v>1907</v>
      </c>
      <c r="H642" s="174" t="s">
        <v>24</v>
      </c>
      <c r="I642" s="174"/>
      <c r="J642" s="174"/>
    </row>
    <row r="643" spans="1:10" ht="120" customHeight="1">
      <c r="A643" s="371"/>
      <c r="B643" s="171" t="s">
        <v>1903</v>
      </c>
      <c r="C643" s="172" t="s">
        <v>1908</v>
      </c>
      <c r="D643" s="172" t="s">
        <v>1491</v>
      </c>
      <c r="E643" s="172" t="s">
        <v>23</v>
      </c>
      <c r="F643" s="172" t="s">
        <v>1909</v>
      </c>
      <c r="G643" s="189" t="s">
        <v>1493</v>
      </c>
      <c r="H643" s="174" t="s">
        <v>24</v>
      </c>
      <c r="I643" s="174"/>
      <c r="J643" s="174"/>
    </row>
    <row r="644" spans="1:10" ht="120" customHeight="1">
      <c r="A644" s="371"/>
      <c r="B644" s="171" t="s">
        <v>1903</v>
      </c>
      <c r="C644" s="172" t="s">
        <v>1910</v>
      </c>
      <c r="D644" s="172" t="s">
        <v>1911</v>
      </c>
      <c r="E644" s="172" t="s">
        <v>23</v>
      </c>
      <c r="F644" s="172" t="s">
        <v>1912</v>
      </c>
      <c r="G644" s="189" t="s">
        <v>1497</v>
      </c>
      <c r="H644" s="174" t="s">
        <v>24</v>
      </c>
      <c r="I644" s="174"/>
      <c r="J644" s="174"/>
    </row>
    <row r="645" spans="1:10" ht="120" customHeight="1">
      <c r="A645" s="371"/>
      <c r="B645" s="171" t="s">
        <v>1903</v>
      </c>
      <c r="C645" s="172" t="s">
        <v>1913</v>
      </c>
      <c r="D645" s="172" t="s">
        <v>1914</v>
      </c>
      <c r="E645" s="172" t="s">
        <v>23</v>
      </c>
      <c r="F645" s="172" t="s">
        <v>1915</v>
      </c>
      <c r="G645" s="189" t="s">
        <v>1916</v>
      </c>
      <c r="H645" s="174" t="s">
        <v>24</v>
      </c>
      <c r="I645" s="174"/>
      <c r="J645" s="174"/>
    </row>
    <row r="646" spans="1:10" ht="120" customHeight="1">
      <c r="A646" s="371"/>
      <c r="B646" s="171" t="s">
        <v>1903</v>
      </c>
      <c r="C646" s="172" t="s">
        <v>11277</v>
      </c>
      <c r="D646" s="172" t="s">
        <v>8404</v>
      </c>
      <c r="E646" s="172" t="s">
        <v>23</v>
      </c>
      <c r="F646" s="172" t="s">
        <v>1917</v>
      </c>
      <c r="G646" s="189" t="s">
        <v>1505</v>
      </c>
      <c r="H646" s="174" t="s">
        <v>24</v>
      </c>
      <c r="I646" s="174"/>
      <c r="J646" s="174"/>
    </row>
    <row r="647" spans="1:10" ht="120" customHeight="1">
      <c r="A647" s="371"/>
      <c r="B647" s="171" t="s">
        <v>1903</v>
      </c>
      <c r="C647" s="172" t="s">
        <v>1918</v>
      </c>
      <c r="D647" s="172" t="s">
        <v>1919</v>
      </c>
      <c r="E647" s="172" t="s">
        <v>23</v>
      </c>
      <c r="F647" s="172" t="s">
        <v>1920</v>
      </c>
      <c r="G647" s="189" t="s">
        <v>11278</v>
      </c>
      <c r="H647" s="174" t="s">
        <v>24</v>
      </c>
      <c r="I647" s="174"/>
      <c r="J647" s="174"/>
    </row>
    <row r="648" spans="1:10" ht="120" customHeight="1">
      <c r="A648" s="371"/>
      <c r="B648" s="171" t="s">
        <v>1903</v>
      </c>
      <c r="C648" s="172" t="s">
        <v>1922</v>
      </c>
      <c r="D648" s="172" t="s">
        <v>1923</v>
      </c>
      <c r="E648" s="172" t="s">
        <v>23</v>
      </c>
      <c r="F648" s="172" t="s">
        <v>1924</v>
      </c>
      <c r="G648" s="189" t="s">
        <v>1925</v>
      </c>
      <c r="H648" s="174" t="s">
        <v>117</v>
      </c>
      <c r="I648" s="174"/>
      <c r="J648" s="174"/>
    </row>
    <row r="649" spans="1:10" ht="120" customHeight="1">
      <c r="A649" s="371"/>
      <c r="B649" s="171" t="s">
        <v>1903</v>
      </c>
      <c r="C649" s="172" t="s">
        <v>1926</v>
      </c>
      <c r="D649" s="172" t="s">
        <v>1927</v>
      </c>
      <c r="E649" s="172" t="s">
        <v>23</v>
      </c>
      <c r="F649" s="172" t="s">
        <v>1928</v>
      </c>
      <c r="G649" s="189" t="s">
        <v>1929</v>
      </c>
      <c r="H649" s="174" t="s">
        <v>117</v>
      </c>
      <c r="I649" s="174"/>
      <c r="J649" s="174"/>
    </row>
    <row r="650" spans="1:10" ht="120" customHeight="1">
      <c r="A650" s="371"/>
      <c r="B650" s="171" t="s">
        <v>1903</v>
      </c>
      <c r="C650" s="172" t="s">
        <v>1930</v>
      </c>
      <c r="D650" s="172" t="s">
        <v>1931</v>
      </c>
      <c r="E650" s="172" t="s">
        <v>23</v>
      </c>
      <c r="F650" s="172" t="s">
        <v>1932</v>
      </c>
      <c r="G650" s="189" t="s">
        <v>1933</v>
      </c>
      <c r="H650" s="174" t="s">
        <v>30</v>
      </c>
      <c r="I650" s="174"/>
      <c r="J650" s="174"/>
    </row>
    <row r="651" spans="1:10" ht="120" customHeight="1">
      <c r="A651" s="371"/>
      <c r="B651" s="171" t="s">
        <v>1903</v>
      </c>
      <c r="C651" s="172" t="s">
        <v>1934</v>
      </c>
      <c r="D651" s="172" t="s">
        <v>1935</v>
      </c>
      <c r="E651" s="172" t="s">
        <v>23</v>
      </c>
      <c r="F651" s="172" t="s">
        <v>11279</v>
      </c>
      <c r="G651" s="189" t="s">
        <v>1937</v>
      </c>
      <c r="H651" s="174" t="s">
        <v>30</v>
      </c>
      <c r="I651" s="174"/>
      <c r="J651" s="174"/>
    </row>
    <row r="652" spans="1:10" ht="120" customHeight="1">
      <c r="A652" s="371"/>
      <c r="B652" s="171" t="s">
        <v>1903</v>
      </c>
      <c r="C652" s="172" t="s">
        <v>1938</v>
      </c>
      <c r="D652" s="172" t="s">
        <v>1939</v>
      </c>
      <c r="E652" s="172" t="s">
        <v>23</v>
      </c>
      <c r="F652" s="172" t="s">
        <v>1940</v>
      </c>
      <c r="G652" s="189" t="s">
        <v>1941</v>
      </c>
      <c r="H652" s="174" t="s">
        <v>41</v>
      </c>
      <c r="I652" s="174"/>
      <c r="J652" s="174"/>
    </row>
    <row r="653" spans="1:10" ht="120" customHeight="1">
      <c r="A653" s="371"/>
      <c r="B653" s="171" t="s">
        <v>1903</v>
      </c>
      <c r="C653" s="172" t="s">
        <v>1942</v>
      </c>
      <c r="D653" s="172" t="s">
        <v>1943</v>
      </c>
      <c r="E653" s="172" t="s">
        <v>23</v>
      </c>
      <c r="F653" s="172" t="s">
        <v>1944</v>
      </c>
      <c r="G653" s="189" t="s">
        <v>1945</v>
      </c>
      <c r="H653" s="174" t="s">
        <v>41</v>
      </c>
      <c r="I653" s="174"/>
      <c r="J653" s="174"/>
    </row>
    <row r="654" spans="1:10" ht="120" customHeight="1">
      <c r="A654" s="371"/>
      <c r="B654" s="171" t="s">
        <v>1903</v>
      </c>
      <c r="C654" s="172" t="s">
        <v>1946</v>
      </c>
      <c r="D654" s="172" t="s">
        <v>1947</v>
      </c>
      <c r="E654" s="172" t="s">
        <v>23</v>
      </c>
      <c r="F654" s="172" t="s">
        <v>1948</v>
      </c>
      <c r="G654" s="189" t="s">
        <v>1949</v>
      </c>
      <c r="H654" s="174" t="s">
        <v>117</v>
      </c>
      <c r="I654" s="174"/>
      <c r="J654" s="174"/>
    </row>
    <row r="655" spans="1:10" ht="120" customHeight="1">
      <c r="A655" s="371"/>
      <c r="B655" s="171" t="s">
        <v>1903</v>
      </c>
      <c r="C655" s="172" t="s">
        <v>11280</v>
      </c>
      <c r="D655" s="172" t="s">
        <v>1950</v>
      </c>
      <c r="E655" s="172" t="s">
        <v>10791</v>
      </c>
      <c r="F655" s="172" t="s">
        <v>1951</v>
      </c>
      <c r="G655" s="189" t="s">
        <v>1952</v>
      </c>
      <c r="H655" s="174" t="s">
        <v>24</v>
      </c>
      <c r="I655" s="174"/>
      <c r="J655" s="174"/>
    </row>
    <row r="656" spans="1:10" ht="120" customHeight="1">
      <c r="A656" s="371"/>
      <c r="B656" s="171" t="s">
        <v>1903</v>
      </c>
      <c r="C656" s="172" t="s">
        <v>1953</v>
      </c>
      <c r="D656" s="172" t="s">
        <v>1954</v>
      </c>
      <c r="E656" s="172" t="s">
        <v>23</v>
      </c>
      <c r="F656" s="172" t="s">
        <v>1955</v>
      </c>
      <c r="G656" s="189" t="s">
        <v>1956</v>
      </c>
      <c r="H656" s="174" t="s">
        <v>233</v>
      </c>
      <c r="I656" s="174"/>
      <c r="J656" s="174"/>
    </row>
    <row r="657" spans="1:10" ht="120" customHeight="1">
      <c r="A657" s="371"/>
      <c r="B657" s="171" t="s">
        <v>1903</v>
      </c>
      <c r="C657" s="172" t="s">
        <v>1957</v>
      </c>
      <c r="D657" s="172" t="s">
        <v>1958</v>
      </c>
      <c r="E657" s="172" t="s">
        <v>23</v>
      </c>
      <c r="F657" s="172" t="s">
        <v>1959</v>
      </c>
      <c r="G657" s="189" t="s">
        <v>1960</v>
      </c>
      <c r="H657" s="174" t="s">
        <v>184</v>
      </c>
      <c r="I657" s="174"/>
      <c r="J657" s="174"/>
    </row>
    <row r="658" spans="1:10" ht="120" customHeight="1">
      <c r="A658" s="371"/>
      <c r="B658" s="171" t="s">
        <v>1903</v>
      </c>
      <c r="C658" s="172" t="s">
        <v>1961</v>
      </c>
      <c r="D658" s="172" t="s">
        <v>1962</v>
      </c>
      <c r="E658" s="172" t="s">
        <v>23</v>
      </c>
      <c r="F658" s="172" t="s">
        <v>1963</v>
      </c>
      <c r="G658" s="189" t="s">
        <v>1964</v>
      </c>
      <c r="H658" s="174" t="s">
        <v>117</v>
      </c>
      <c r="I658" s="174"/>
      <c r="J658" s="174"/>
    </row>
    <row r="659" spans="1:10" ht="120" customHeight="1">
      <c r="A659" s="371"/>
      <c r="B659" s="171" t="s">
        <v>1903</v>
      </c>
      <c r="C659" s="172" t="s">
        <v>1965</v>
      </c>
      <c r="D659" s="177" t="s">
        <v>1969</v>
      </c>
      <c r="E659" s="172" t="s">
        <v>23</v>
      </c>
      <c r="F659" s="172" t="s">
        <v>1966</v>
      </c>
      <c r="G659" s="189" t="s">
        <v>1967</v>
      </c>
      <c r="H659" s="174" t="s">
        <v>41</v>
      </c>
      <c r="I659" s="174"/>
      <c r="J659" s="174"/>
    </row>
    <row r="660" spans="1:10" ht="120" customHeight="1">
      <c r="A660" s="371"/>
      <c r="B660" s="171" t="s">
        <v>1903</v>
      </c>
      <c r="C660" s="172" t="s">
        <v>1968</v>
      </c>
      <c r="D660" s="177" t="s">
        <v>1969</v>
      </c>
      <c r="E660" s="172" t="s">
        <v>23</v>
      </c>
      <c r="F660" s="172" t="s">
        <v>1970</v>
      </c>
      <c r="G660" s="189" t="s">
        <v>1967</v>
      </c>
      <c r="H660" s="174" t="s">
        <v>36</v>
      </c>
      <c r="I660" s="174"/>
      <c r="J660" s="174"/>
    </row>
    <row r="661" spans="1:10" ht="120" customHeight="1">
      <c r="A661" s="371"/>
      <c r="B661" s="171" t="s">
        <v>1903</v>
      </c>
      <c r="C661" s="172" t="s">
        <v>1971</v>
      </c>
      <c r="D661" s="177" t="s">
        <v>1972</v>
      </c>
      <c r="E661" s="172" t="s">
        <v>23</v>
      </c>
      <c r="F661" s="172" t="s">
        <v>1973</v>
      </c>
      <c r="G661" s="189" t="s">
        <v>1974</v>
      </c>
      <c r="H661" s="174" t="s">
        <v>36</v>
      </c>
      <c r="I661" s="174"/>
      <c r="J661" s="174"/>
    </row>
    <row r="662" spans="1:10" ht="120" customHeight="1">
      <c r="A662" s="371"/>
      <c r="B662" s="260" t="s">
        <v>11281</v>
      </c>
      <c r="C662" s="210" t="s">
        <v>1975</v>
      </c>
      <c r="D662" s="210" t="s">
        <v>1976</v>
      </c>
      <c r="E662" s="210" t="s">
        <v>23</v>
      </c>
      <c r="F662" s="210" t="s">
        <v>1977</v>
      </c>
      <c r="G662" s="209" t="s">
        <v>1978</v>
      </c>
      <c r="H662" s="201" t="s">
        <v>41</v>
      </c>
      <c r="I662" s="201"/>
      <c r="J662" s="201"/>
    </row>
    <row r="663" spans="1:10" ht="120" customHeight="1">
      <c r="A663" s="371"/>
      <c r="B663" s="178" t="s">
        <v>1979</v>
      </c>
      <c r="C663" s="172" t="s">
        <v>1980</v>
      </c>
      <c r="D663" s="172" t="s">
        <v>1981</v>
      </c>
      <c r="E663" s="172" t="s">
        <v>1982</v>
      </c>
      <c r="F663" s="172" t="s">
        <v>11282</v>
      </c>
      <c r="G663" s="189" t="s">
        <v>1983</v>
      </c>
      <c r="H663" s="174" t="s">
        <v>24</v>
      </c>
      <c r="I663" s="174"/>
      <c r="J663" s="174"/>
    </row>
    <row r="664" spans="1:10" ht="120" customHeight="1">
      <c r="A664" s="371"/>
      <c r="B664" s="178" t="s">
        <v>1979</v>
      </c>
      <c r="C664" s="172" t="s">
        <v>1984</v>
      </c>
      <c r="D664" s="172" t="s">
        <v>8460</v>
      </c>
      <c r="E664" s="172" t="s">
        <v>23</v>
      </c>
      <c r="F664" s="172" t="s">
        <v>11283</v>
      </c>
      <c r="G664" s="189" t="s">
        <v>1985</v>
      </c>
      <c r="H664" s="174" t="s">
        <v>41</v>
      </c>
      <c r="I664" s="174"/>
      <c r="J664" s="174"/>
    </row>
    <row r="665" spans="1:10" ht="120" customHeight="1">
      <c r="A665" s="368"/>
      <c r="B665" s="308" t="s">
        <v>1979</v>
      </c>
      <c r="C665" s="242" t="s">
        <v>1986</v>
      </c>
      <c r="D665" s="242" t="s">
        <v>1987</v>
      </c>
      <c r="E665" s="242" t="s">
        <v>23</v>
      </c>
      <c r="F665" s="242" t="s">
        <v>1988</v>
      </c>
      <c r="G665" s="305" t="s">
        <v>1989</v>
      </c>
      <c r="H665" s="406" t="s">
        <v>24</v>
      </c>
      <c r="I665" s="174"/>
      <c r="J665" s="174"/>
    </row>
    <row r="666" spans="1:10" ht="120" customHeight="1">
      <c r="A666" s="371"/>
      <c r="B666" s="178" t="s">
        <v>1979</v>
      </c>
      <c r="C666" s="172" t="s">
        <v>11284</v>
      </c>
      <c r="D666" s="172" t="s">
        <v>11285</v>
      </c>
      <c r="E666" s="172" t="s">
        <v>23</v>
      </c>
      <c r="F666" s="172" t="s">
        <v>11286</v>
      </c>
      <c r="G666" s="189" t="s">
        <v>11287</v>
      </c>
      <c r="H666" s="174"/>
      <c r="I666" s="316"/>
      <c r="J666" s="174"/>
    </row>
    <row r="667" spans="1:10" ht="120" customHeight="1">
      <c r="A667" s="370"/>
      <c r="B667" s="300" t="s">
        <v>1990</v>
      </c>
      <c r="C667" s="310" t="s">
        <v>1991</v>
      </c>
      <c r="D667" s="301" t="s">
        <v>1992</v>
      </c>
      <c r="E667" s="301" t="s">
        <v>23</v>
      </c>
      <c r="F667" s="301" t="s">
        <v>1993</v>
      </c>
      <c r="G667" s="302" t="s">
        <v>12504</v>
      </c>
      <c r="H667" s="405" t="s">
        <v>41</v>
      </c>
      <c r="I667" s="174"/>
      <c r="J667" s="174"/>
    </row>
    <row r="668" spans="1:10" ht="120" customHeight="1">
      <c r="A668" s="371"/>
      <c r="B668" s="171" t="s">
        <v>1990</v>
      </c>
      <c r="C668" s="210" t="s">
        <v>11288</v>
      </c>
      <c r="D668" s="172" t="s">
        <v>11289</v>
      </c>
      <c r="E668" s="172" t="s">
        <v>10791</v>
      </c>
      <c r="F668" s="172" t="s">
        <v>1995</v>
      </c>
      <c r="G668" s="189" t="s">
        <v>1996</v>
      </c>
      <c r="H668" s="174" t="s">
        <v>24</v>
      </c>
      <c r="I668" s="174"/>
      <c r="J668" s="174"/>
    </row>
    <row r="669" spans="1:10" ht="120" customHeight="1">
      <c r="A669" s="371"/>
      <c r="B669" s="171" t="s">
        <v>1990</v>
      </c>
      <c r="C669" s="210" t="s">
        <v>1997</v>
      </c>
      <c r="D669" s="172" t="s">
        <v>1998</v>
      </c>
      <c r="E669" s="172" t="s">
        <v>23</v>
      </c>
      <c r="F669" s="172" t="s">
        <v>1999</v>
      </c>
      <c r="G669" s="189" t="s">
        <v>2000</v>
      </c>
      <c r="H669" s="174" t="s">
        <v>41</v>
      </c>
      <c r="I669" s="174"/>
      <c r="J669" s="174"/>
    </row>
    <row r="670" spans="1:10" ht="120" customHeight="1">
      <c r="A670" s="371"/>
      <c r="B670" s="171" t="s">
        <v>1990</v>
      </c>
      <c r="C670" s="210" t="s">
        <v>2001</v>
      </c>
      <c r="D670" s="172" t="s">
        <v>2002</v>
      </c>
      <c r="E670" s="172" t="s">
        <v>23</v>
      </c>
      <c r="F670" s="172" t="s">
        <v>2003</v>
      </c>
      <c r="G670" s="189" t="s">
        <v>2004</v>
      </c>
      <c r="H670" s="174" t="s">
        <v>24</v>
      </c>
      <c r="I670" s="174"/>
      <c r="J670" s="174"/>
    </row>
    <row r="671" spans="1:10" ht="120" customHeight="1">
      <c r="A671" s="371"/>
      <c r="B671" s="171" t="s">
        <v>1990</v>
      </c>
      <c r="C671" s="210" t="s">
        <v>2005</v>
      </c>
      <c r="D671" s="172" t="s">
        <v>2006</v>
      </c>
      <c r="E671" s="172" t="s">
        <v>23</v>
      </c>
      <c r="F671" s="172" t="s">
        <v>2007</v>
      </c>
      <c r="G671" s="189" t="s">
        <v>12505</v>
      </c>
      <c r="H671" s="174" t="s">
        <v>41</v>
      </c>
      <c r="I671" s="174"/>
      <c r="J671" s="174"/>
    </row>
    <row r="672" spans="1:10" ht="120" customHeight="1">
      <c r="A672" s="371"/>
      <c r="B672" s="171" t="s">
        <v>1990</v>
      </c>
      <c r="C672" s="210" t="s">
        <v>2009</v>
      </c>
      <c r="D672" s="172" t="s">
        <v>2010</v>
      </c>
      <c r="E672" s="172" t="s">
        <v>23</v>
      </c>
      <c r="F672" s="172" t="s">
        <v>2011</v>
      </c>
      <c r="G672" s="189" t="s">
        <v>12506</v>
      </c>
      <c r="H672" s="174" t="s">
        <v>24</v>
      </c>
      <c r="I672" s="174"/>
      <c r="J672" s="174"/>
    </row>
    <row r="673" spans="1:10" ht="120" customHeight="1">
      <c r="A673" s="371"/>
      <c r="B673" s="171" t="s">
        <v>1990</v>
      </c>
      <c r="C673" s="210" t="s">
        <v>2012</v>
      </c>
      <c r="D673" s="172" t="s">
        <v>2013</v>
      </c>
      <c r="E673" s="172" t="s">
        <v>23</v>
      </c>
      <c r="F673" s="172" t="s">
        <v>11290</v>
      </c>
      <c r="G673" s="189" t="s">
        <v>2014</v>
      </c>
      <c r="H673" s="174" t="s">
        <v>24</v>
      </c>
      <c r="I673" s="174"/>
      <c r="J673" s="174"/>
    </row>
    <row r="674" spans="1:10" ht="120" customHeight="1">
      <c r="A674" s="371"/>
      <c r="B674" s="171" t="s">
        <v>1990</v>
      </c>
      <c r="C674" s="210" t="s">
        <v>2015</v>
      </c>
      <c r="D674" s="172" t="s">
        <v>2016</v>
      </c>
      <c r="E674" s="172" t="s">
        <v>23</v>
      </c>
      <c r="F674" s="172" t="s">
        <v>2017</v>
      </c>
      <c r="G674" s="189" t="s">
        <v>12506</v>
      </c>
      <c r="H674" s="174" t="s">
        <v>41</v>
      </c>
      <c r="I674" s="174"/>
      <c r="J674" s="174"/>
    </row>
    <row r="675" spans="1:10" ht="120" customHeight="1">
      <c r="A675" s="371"/>
      <c r="B675" s="171" t="s">
        <v>1990</v>
      </c>
      <c r="C675" s="210" t="s">
        <v>2018</v>
      </c>
      <c r="D675" s="172" t="s">
        <v>2019</v>
      </c>
      <c r="E675" s="172" t="s">
        <v>23</v>
      </c>
      <c r="F675" s="172" t="s">
        <v>2020</v>
      </c>
      <c r="G675" s="189" t="s">
        <v>2021</v>
      </c>
      <c r="H675" s="174" t="s">
        <v>36</v>
      </c>
      <c r="I675" s="174"/>
      <c r="J675" s="174"/>
    </row>
    <row r="676" spans="1:10" ht="120" customHeight="1">
      <c r="A676" s="371"/>
      <c r="B676" s="171" t="s">
        <v>1990</v>
      </c>
      <c r="C676" s="210" t="s">
        <v>2022</v>
      </c>
      <c r="D676" s="172" t="s">
        <v>2023</v>
      </c>
      <c r="E676" s="172" t="s">
        <v>23</v>
      </c>
      <c r="F676" s="172" t="s">
        <v>2024</v>
      </c>
      <c r="G676" s="189" t="s">
        <v>12506</v>
      </c>
      <c r="H676" s="174" t="s">
        <v>24</v>
      </c>
      <c r="I676" s="174"/>
      <c r="J676" s="174"/>
    </row>
    <row r="677" spans="1:10" ht="120" customHeight="1">
      <c r="A677" s="371"/>
      <c r="B677" s="171" t="s">
        <v>1990</v>
      </c>
      <c r="C677" s="210" t="s">
        <v>2025</v>
      </c>
      <c r="D677" s="172" t="s">
        <v>2026</v>
      </c>
      <c r="E677" s="172" t="s">
        <v>23</v>
      </c>
      <c r="F677" s="173" t="s">
        <v>11291</v>
      </c>
      <c r="G677" s="189" t="s">
        <v>2027</v>
      </c>
      <c r="H677" s="174" t="s">
        <v>41</v>
      </c>
      <c r="I677" s="174"/>
      <c r="J677" s="174"/>
    </row>
    <row r="678" spans="1:10" ht="120" customHeight="1">
      <c r="A678" s="371"/>
      <c r="B678" s="171" t="s">
        <v>1990</v>
      </c>
      <c r="C678" s="210" t="s">
        <v>2028</v>
      </c>
      <c r="D678" s="172" t="s">
        <v>2029</v>
      </c>
      <c r="E678" s="172" t="s">
        <v>23</v>
      </c>
      <c r="F678" s="172" t="s">
        <v>2030</v>
      </c>
      <c r="G678" s="189" t="s">
        <v>2031</v>
      </c>
      <c r="H678" s="174" t="s">
        <v>24</v>
      </c>
      <c r="I678" s="174"/>
      <c r="J678" s="174"/>
    </row>
    <row r="679" spans="1:10" ht="120" customHeight="1">
      <c r="A679" s="371"/>
      <c r="B679" s="171" t="s">
        <v>1990</v>
      </c>
      <c r="C679" s="210" t="s">
        <v>2032</v>
      </c>
      <c r="D679" s="172" t="s">
        <v>2033</v>
      </c>
      <c r="E679" s="172" t="s">
        <v>23</v>
      </c>
      <c r="F679" s="172" t="s">
        <v>2034</v>
      </c>
      <c r="G679" s="189" t="s">
        <v>2035</v>
      </c>
      <c r="H679" s="174" t="s">
        <v>36</v>
      </c>
      <c r="I679" s="174"/>
      <c r="J679" s="174"/>
    </row>
    <row r="680" spans="1:10" ht="120" customHeight="1">
      <c r="A680" s="371"/>
      <c r="B680" s="171" t="s">
        <v>1990</v>
      </c>
      <c r="C680" s="210" t="s">
        <v>2036</v>
      </c>
      <c r="D680" s="172" t="s">
        <v>2037</v>
      </c>
      <c r="E680" s="172" t="s">
        <v>23</v>
      </c>
      <c r="F680" s="172" t="s">
        <v>2038</v>
      </c>
      <c r="G680" s="189" t="s">
        <v>12506</v>
      </c>
      <c r="H680" s="174" t="s">
        <v>41</v>
      </c>
      <c r="I680" s="174"/>
      <c r="J680" s="174"/>
    </row>
    <row r="681" spans="1:10" ht="120" customHeight="1">
      <c r="A681" s="371"/>
      <c r="B681" s="171" t="s">
        <v>1990</v>
      </c>
      <c r="C681" s="210" t="s">
        <v>2039</v>
      </c>
      <c r="D681" s="172" t="s">
        <v>2040</v>
      </c>
      <c r="E681" s="172" t="s">
        <v>23</v>
      </c>
      <c r="F681" s="172" t="s">
        <v>11292</v>
      </c>
      <c r="G681" s="189" t="s">
        <v>12506</v>
      </c>
      <c r="H681" s="174" t="s">
        <v>24</v>
      </c>
      <c r="I681" s="174"/>
      <c r="J681" s="174"/>
    </row>
    <row r="682" spans="1:10" ht="120" customHeight="1">
      <c r="A682" s="371"/>
      <c r="B682" s="171" t="s">
        <v>1990</v>
      </c>
      <c r="C682" s="210" t="s">
        <v>2041</v>
      </c>
      <c r="D682" s="172" t="s">
        <v>2042</v>
      </c>
      <c r="E682" s="172" t="s">
        <v>23</v>
      </c>
      <c r="F682" s="172" t="s">
        <v>2043</v>
      </c>
      <c r="G682" s="189" t="s">
        <v>12506</v>
      </c>
      <c r="H682" s="174" t="s">
        <v>24</v>
      </c>
      <c r="I682" s="174"/>
      <c r="J682" s="174"/>
    </row>
    <row r="683" spans="1:10" ht="120" customHeight="1">
      <c r="A683" s="371"/>
      <c r="B683" s="171" t="s">
        <v>1990</v>
      </c>
      <c r="C683" s="210" t="s">
        <v>2044</v>
      </c>
      <c r="D683" s="172" t="s">
        <v>2045</v>
      </c>
      <c r="E683" s="172" t="s">
        <v>23</v>
      </c>
      <c r="F683" s="172" t="s">
        <v>11293</v>
      </c>
      <c r="G683" s="189" t="s">
        <v>2031</v>
      </c>
      <c r="H683" s="174" t="s">
        <v>41</v>
      </c>
      <c r="I683" s="174"/>
      <c r="J683" s="174"/>
    </row>
    <row r="684" spans="1:10" ht="120" customHeight="1">
      <c r="A684" s="371"/>
      <c r="B684" s="171" t="s">
        <v>1990</v>
      </c>
      <c r="C684" s="210" t="s">
        <v>2046</v>
      </c>
      <c r="D684" s="172" t="s">
        <v>2047</v>
      </c>
      <c r="E684" s="172" t="s">
        <v>23</v>
      </c>
      <c r="F684" s="172" t="s">
        <v>2048</v>
      </c>
      <c r="G684" s="189" t="s">
        <v>2035</v>
      </c>
      <c r="H684" s="174" t="s">
        <v>36</v>
      </c>
      <c r="I684" s="174"/>
      <c r="J684" s="174"/>
    </row>
    <row r="685" spans="1:10" ht="120" customHeight="1">
      <c r="A685" s="371"/>
      <c r="B685" s="171" t="s">
        <v>1990</v>
      </c>
      <c r="C685" s="210" t="s">
        <v>2049</v>
      </c>
      <c r="D685" s="172" t="s">
        <v>2050</v>
      </c>
      <c r="E685" s="172" t="s">
        <v>23</v>
      </c>
      <c r="F685" s="172" t="s">
        <v>2051</v>
      </c>
      <c r="G685" s="189" t="s">
        <v>2004</v>
      </c>
      <c r="H685" s="174" t="s">
        <v>24</v>
      </c>
      <c r="I685" s="174"/>
      <c r="J685" s="174"/>
    </row>
    <row r="686" spans="1:10" ht="120" customHeight="1">
      <c r="A686" s="371"/>
      <c r="B686" s="171" t="s">
        <v>1990</v>
      </c>
      <c r="C686" s="210" t="s">
        <v>2052</v>
      </c>
      <c r="D686" s="172" t="s">
        <v>2053</v>
      </c>
      <c r="E686" s="172" t="s">
        <v>23</v>
      </c>
      <c r="F686" s="172" t="s">
        <v>2054</v>
      </c>
      <c r="G686" s="189" t="s">
        <v>2004</v>
      </c>
      <c r="H686" s="174" t="s">
        <v>41</v>
      </c>
      <c r="I686" s="174"/>
      <c r="J686" s="174"/>
    </row>
    <row r="687" spans="1:10" ht="120" customHeight="1">
      <c r="A687" s="371"/>
      <c r="B687" s="171" t="s">
        <v>1990</v>
      </c>
      <c r="C687" s="210" t="s">
        <v>2055</v>
      </c>
      <c r="D687" s="172" t="s">
        <v>2056</v>
      </c>
      <c r="E687" s="172" t="s">
        <v>23</v>
      </c>
      <c r="F687" s="173" t="s">
        <v>2057</v>
      </c>
      <c r="G687" s="189" t="s">
        <v>2004</v>
      </c>
      <c r="H687" s="174" t="s">
        <v>41</v>
      </c>
      <c r="I687" s="174"/>
      <c r="J687" s="174"/>
    </row>
    <row r="688" spans="1:10" ht="120" customHeight="1">
      <c r="A688" s="371"/>
      <c r="B688" s="171" t="s">
        <v>1990</v>
      </c>
      <c r="C688" s="210" t="s">
        <v>2058</v>
      </c>
      <c r="D688" s="172" t="s">
        <v>2059</v>
      </c>
      <c r="E688" s="172" t="s">
        <v>23</v>
      </c>
      <c r="F688" s="173" t="s">
        <v>2060</v>
      </c>
      <c r="G688" s="189" t="s">
        <v>2061</v>
      </c>
      <c r="H688" s="174" t="s">
        <v>24</v>
      </c>
      <c r="I688" s="174"/>
      <c r="J688" s="174"/>
    </row>
    <row r="689" spans="1:10" ht="120" customHeight="1">
      <c r="A689" s="371"/>
      <c r="B689" s="171" t="s">
        <v>1990</v>
      </c>
      <c r="C689" s="210" t="s">
        <v>2062</v>
      </c>
      <c r="D689" s="172" t="s">
        <v>2063</v>
      </c>
      <c r="E689" s="172" t="s">
        <v>23</v>
      </c>
      <c r="F689" s="172" t="s">
        <v>2064</v>
      </c>
      <c r="G689" s="189" t="s">
        <v>2004</v>
      </c>
      <c r="H689" s="174" t="s">
        <v>24</v>
      </c>
      <c r="I689" s="174"/>
      <c r="J689" s="174"/>
    </row>
    <row r="690" spans="1:10" ht="120" customHeight="1">
      <c r="A690" s="371"/>
      <c r="B690" s="171" t="s">
        <v>1990</v>
      </c>
      <c r="C690" s="210" t="s">
        <v>2065</v>
      </c>
      <c r="D690" s="172" t="s">
        <v>2066</v>
      </c>
      <c r="E690" s="172" t="s">
        <v>23</v>
      </c>
      <c r="F690" s="177" t="s">
        <v>2067</v>
      </c>
      <c r="G690" s="189" t="s">
        <v>2004</v>
      </c>
      <c r="H690" s="174" t="s">
        <v>41</v>
      </c>
      <c r="I690" s="174"/>
      <c r="J690" s="174"/>
    </row>
    <row r="691" spans="1:10" ht="120" customHeight="1">
      <c r="A691" s="371"/>
      <c r="B691" s="171" t="s">
        <v>1990</v>
      </c>
      <c r="C691" s="210" t="s">
        <v>2068</v>
      </c>
      <c r="D691" s="172" t="s">
        <v>2069</v>
      </c>
      <c r="E691" s="172" t="s">
        <v>23</v>
      </c>
      <c r="F691" s="172" t="s">
        <v>2070</v>
      </c>
      <c r="G691" s="189" t="s">
        <v>2004</v>
      </c>
      <c r="H691" s="174" t="s">
        <v>24</v>
      </c>
      <c r="I691" s="174"/>
      <c r="J691" s="174"/>
    </row>
    <row r="692" spans="1:10" ht="120" customHeight="1">
      <c r="A692" s="371"/>
      <c r="B692" s="171" t="s">
        <v>1990</v>
      </c>
      <c r="C692" s="210" t="s">
        <v>2071</v>
      </c>
      <c r="D692" s="172" t="s">
        <v>2072</v>
      </c>
      <c r="E692" s="172" t="s">
        <v>23</v>
      </c>
      <c r="F692" s="172" t="s">
        <v>2073</v>
      </c>
      <c r="G692" s="189" t="s">
        <v>2074</v>
      </c>
      <c r="H692" s="174" t="s">
        <v>41</v>
      </c>
      <c r="I692" s="174"/>
      <c r="J692" s="174"/>
    </row>
    <row r="693" spans="1:10" ht="120" customHeight="1">
      <c r="A693" s="371"/>
      <c r="B693" s="171" t="s">
        <v>1990</v>
      </c>
      <c r="C693" s="210" t="s">
        <v>2075</v>
      </c>
      <c r="D693" s="172" t="s">
        <v>2076</v>
      </c>
      <c r="E693" s="172" t="s">
        <v>23</v>
      </c>
      <c r="F693" s="172" t="s">
        <v>2077</v>
      </c>
      <c r="G693" s="189" t="s">
        <v>2004</v>
      </c>
      <c r="H693" s="174" t="s">
        <v>36</v>
      </c>
      <c r="I693" s="174"/>
      <c r="J693" s="174"/>
    </row>
    <row r="694" spans="1:10" ht="120" customHeight="1">
      <c r="A694" s="371"/>
      <c r="B694" s="171" t="s">
        <v>1990</v>
      </c>
      <c r="C694" s="210" t="s">
        <v>2078</v>
      </c>
      <c r="D694" s="172" t="s">
        <v>2079</v>
      </c>
      <c r="E694" s="172" t="s">
        <v>23</v>
      </c>
      <c r="F694" s="173" t="s">
        <v>2080</v>
      </c>
      <c r="G694" s="189" t="s">
        <v>2004</v>
      </c>
      <c r="H694" s="174" t="s">
        <v>41</v>
      </c>
      <c r="I694" s="174"/>
      <c r="J694" s="174"/>
    </row>
    <row r="695" spans="1:10" ht="120" customHeight="1">
      <c r="A695" s="371"/>
      <c r="B695" s="171" t="s">
        <v>1990</v>
      </c>
      <c r="C695" s="210" t="s">
        <v>2081</v>
      </c>
      <c r="D695" s="172" t="s">
        <v>2082</v>
      </c>
      <c r="E695" s="172" t="s">
        <v>23</v>
      </c>
      <c r="F695" s="173" t="s">
        <v>2083</v>
      </c>
      <c r="G695" s="189" t="s">
        <v>2084</v>
      </c>
      <c r="H695" s="174" t="s">
        <v>24</v>
      </c>
      <c r="I695" s="174"/>
      <c r="J695" s="174"/>
    </row>
    <row r="696" spans="1:10" ht="120" customHeight="1">
      <c r="A696" s="371"/>
      <c r="B696" s="171" t="s">
        <v>1990</v>
      </c>
      <c r="C696" s="210" t="s">
        <v>2085</v>
      </c>
      <c r="D696" s="172" t="s">
        <v>2086</v>
      </c>
      <c r="E696" s="172" t="s">
        <v>23</v>
      </c>
      <c r="F696" s="172" t="s">
        <v>2087</v>
      </c>
      <c r="G696" s="189" t="s">
        <v>2004</v>
      </c>
      <c r="H696" s="174" t="s">
        <v>41</v>
      </c>
      <c r="I696" s="174"/>
      <c r="J696" s="174"/>
    </row>
    <row r="697" spans="1:10" ht="120" customHeight="1">
      <c r="A697" s="371"/>
      <c r="B697" s="171" t="s">
        <v>1990</v>
      </c>
      <c r="C697" s="210" t="s">
        <v>2088</v>
      </c>
      <c r="D697" s="172" t="s">
        <v>2089</v>
      </c>
      <c r="E697" s="172" t="s">
        <v>23</v>
      </c>
      <c r="F697" s="172" t="s">
        <v>2090</v>
      </c>
      <c r="G697" s="189" t="s">
        <v>2004</v>
      </c>
      <c r="H697" s="174" t="s">
        <v>24</v>
      </c>
      <c r="I697" s="174"/>
      <c r="J697" s="174"/>
    </row>
    <row r="698" spans="1:10" ht="120" customHeight="1">
      <c r="A698" s="371"/>
      <c r="B698" s="171" t="s">
        <v>1990</v>
      </c>
      <c r="C698" s="210" t="s">
        <v>2091</v>
      </c>
      <c r="D698" s="172" t="s">
        <v>2092</v>
      </c>
      <c r="E698" s="172" t="s">
        <v>23</v>
      </c>
      <c r="F698" s="172" t="s">
        <v>2093</v>
      </c>
      <c r="G698" s="189" t="s">
        <v>2004</v>
      </c>
      <c r="H698" s="174" t="s">
        <v>24</v>
      </c>
      <c r="I698" s="174"/>
      <c r="J698" s="174"/>
    </row>
    <row r="699" spans="1:10" ht="120" customHeight="1">
      <c r="A699" s="371"/>
      <c r="B699" s="171" t="s">
        <v>1990</v>
      </c>
      <c r="C699" s="210" t="s">
        <v>2094</v>
      </c>
      <c r="D699" s="172" t="s">
        <v>2095</v>
      </c>
      <c r="E699" s="172" t="s">
        <v>23</v>
      </c>
      <c r="F699" s="172" t="s">
        <v>11294</v>
      </c>
      <c r="G699" s="189" t="s">
        <v>2004</v>
      </c>
      <c r="H699" s="174" t="s">
        <v>41</v>
      </c>
      <c r="I699" s="174"/>
      <c r="J699" s="174"/>
    </row>
    <row r="700" spans="1:10" ht="120" customHeight="1">
      <c r="A700" s="371"/>
      <c r="B700" s="171" t="s">
        <v>1990</v>
      </c>
      <c r="C700" s="210" t="s">
        <v>2096</v>
      </c>
      <c r="D700" s="172" t="s">
        <v>2097</v>
      </c>
      <c r="E700" s="172" t="s">
        <v>23</v>
      </c>
      <c r="F700" s="172" t="s">
        <v>11295</v>
      </c>
      <c r="G700" s="189" t="s">
        <v>2004</v>
      </c>
      <c r="H700" s="174" t="s">
        <v>41</v>
      </c>
      <c r="I700" s="174"/>
      <c r="J700" s="174"/>
    </row>
    <row r="701" spans="1:10" ht="120" customHeight="1">
      <c r="A701" s="371"/>
      <c r="B701" s="171" t="s">
        <v>11296</v>
      </c>
      <c r="C701" s="210" t="s">
        <v>2098</v>
      </c>
      <c r="D701" s="172" t="s">
        <v>2099</v>
      </c>
      <c r="E701" s="172" t="s">
        <v>10791</v>
      </c>
      <c r="F701" s="172" t="s">
        <v>11297</v>
      </c>
      <c r="G701" s="189" t="s">
        <v>2004</v>
      </c>
      <c r="H701" s="174" t="s">
        <v>24</v>
      </c>
      <c r="I701" s="174"/>
      <c r="J701" s="174"/>
    </row>
    <row r="702" spans="1:10" ht="120" customHeight="1">
      <c r="A702" s="371"/>
      <c r="B702" s="171" t="s">
        <v>11296</v>
      </c>
      <c r="C702" s="210" t="s">
        <v>11298</v>
      </c>
      <c r="D702" s="172" t="s">
        <v>11299</v>
      </c>
      <c r="E702" s="172" t="s">
        <v>10791</v>
      </c>
      <c r="F702" s="172" t="s">
        <v>11300</v>
      </c>
      <c r="G702" s="189" t="s">
        <v>11301</v>
      </c>
      <c r="H702" s="174" t="s">
        <v>117</v>
      </c>
      <c r="I702" s="174"/>
      <c r="J702" s="174"/>
    </row>
    <row r="703" spans="1:10" ht="120" customHeight="1">
      <c r="A703" s="371"/>
      <c r="B703" s="171" t="s">
        <v>1990</v>
      </c>
      <c r="C703" s="210" t="s">
        <v>2100</v>
      </c>
      <c r="D703" s="172" t="s">
        <v>2101</v>
      </c>
      <c r="E703" s="172" t="s">
        <v>23</v>
      </c>
      <c r="F703" s="323" t="s">
        <v>2102</v>
      </c>
      <c r="G703" s="189" t="s">
        <v>2103</v>
      </c>
      <c r="H703" s="174" t="s">
        <v>41</v>
      </c>
      <c r="I703" s="174"/>
      <c r="J703" s="174"/>
    </row>
    <row r="704" spans="1:10" ht="120" customHeight="1">
      <c r="A704" s="371"/>
      <c r="B704" s="171" t="s">
        <v>1990</v>
      </c>
      <c r="C704" s="210" t="s">
        <v>2104</v>
      </c>
      <c r="D704" s="177" t="s">
        <v>2105</v>
      </c>
      <c r="E704" s="172" t="s">
        <v>23</v>
      </c>
      <c r="F704" s="323" t="s">
        <v>2106</v>
      </c>
      <c r="G704" s="189" t="s">
        <v>2004</v>
      </c>
      <c r="H704" s="174" t="s">
        <v>36</v>
      </c>
      <c r="I704" s="174"/>
      <c r="J704" s="174"/>
    </row>
    <row r="705" spans="1:10" ht="120" customHeight="1">
      <c r="A705" s="371"/>
      <c r="B705" s="171" t="s">
        <v>1990</v>
      </c>
      <c r="C705" s="210" t="s">
        <v>2107</v>
      </c>
      <c r="D705" s="177" t="s">
        <v>2108</v>
      </c>
      <c r="E705" s="172" t="s">
        <v>23</v>
      </c>
      <c r="F705" s="323" t="s">
        <v>2109</v>
      </c>
      <c r="G705" s="189" t="s">
        <v>2004</v>
      </c>
      <c r="H705" s="174" t="s">
        <v>36</v>
      </c>
      <c r="I705" s="174"/>
      <c r="J705" s="174"/>
    </row>
    <row r="706" spans="1:10" ht="120" customHeight="1">
      <c r="A706" s="371"/>
      <c r="B706" s="171" t="s">
        <v>1990</v>
      </c>
      <c r="C706" s="210" t="s">
        <v>2110</v>
      </c>
      <c r="D706" s="177" t="s">
        <v>12507</v>
      </c>
      <c r="E706" s="172" t="s">
        <v>23</v>
      </c>
      <c r="F706" s="323" t="s">
        <v>2111</v>
      </c>
      <c r="G706" s="189" t="s">
        <v>2004</v>
      </c>
      <c r="H706" s="174" t="s">
        <v>36</v>
      </c>
      <c r="I706" s="174"/>
      <c r="J706" s="174"/>
    </row>
    <row r="707" spans="1:10" ht="120" customHeight="1">
      <c r="A707" s="371"/>
      <c r="B707" s="171" t="s">
        <v>1990</v>
      </c>
      <c r="C707" s="210" t="s">
        <v>2112</v>
      </c>
      <c r="D707" s="177" t="s">
        <v>12508</v>
      </c>
      <c r="E707" s="172" t="s">
        <v>23</v>
      </c>
      <c r="F707" s="324" t="s">
        <v>2113</v>
      </c>
      <c r="G707" s="189" t="s">
        <v>2004</v>
      </c>
      <c r="H707" s="174" t="s">
        <v>36</v>
      </c>
      <c r="I707" s="174"/>
      <c r="J707" s="174"/>
    </row>
    <row r="708" spans="1:10" ht="120" customHeight="1">
      <c r="A708" s="371"/>
      <c r="B708" s="178" t="s">
        <v>2114</v>
      </c>
      <c r="C708" s="172" t="s">
        <v>2115</v>
      </c>
      <c r="D708" s="172" t="s">
        <v>2116</v>
      </c>
      <c r="E708" s="172" t="s">
        <v>23</v>
      </c>
      <c r="F708" s="172" t="s">
        <v>2117</v>
      </c>
      <c r="G708" s="189" t="s">
        <v>2004</v>
      </c>
      <c r="H708" s="174" t="s">
        <v>24</v>
      </c>
      <c r="I708" s="174"/>
      <c r="J708" s="174"/>
    </row>
    <row r="709" spans="1:10" ht="120" customHeight="1">
      <c r="A709" s="371"/>
      <c r="B709" s="178" t="s">
        <v>2114</v>
      </c>
      <c r="C709" s="172" t="s">
        <v>2118</v>
      </c>
      <c r="D709" s="172" t="s">
        <v>2119</v>
      </c>
      <c r="E709" s="172" t="s">
        <v>23</v>
      </c>
      <c r="F709" s="172" t="s">
        <v>2120</v>
      </c>
      <c r="G709" s="189" t="s">
        <v>2004</v>
      </c>
      <c r="H709" s="174" t="s">
        <v>24</v>
      </c>
      <c r="I709" s="174"/>
      <c r="J709" s="174"/>
    </row>
    <row r="710" spans="1:10" ht="120" customHeight="1">
      <c r="A710" s="371"/>
      <c r="B710" s="178" t="s">
        <v>2114</v>
      </c>
      <c r="C710" s="172" t="s">
        <v>2121</v>
      </c>
      <c r="D710" s="172" t="s">
        <v>2122</v>
      </c>
      <c r="E710" s="172" t="s">
        <v>23</v>
      </c>
      <c r="F710" s="173" t="s">
        <v>2123</v>
      </c>
      <c r="G710" s="189" t="s">
        <v>2124</v>
      </c>
      <c r="H710" s="174" t="s">
        <v>24</v>
      </c>
      <c r="I710" s="174"/>
      <c r="J710" s="174"/>
    </row>
    <row r="711" spans="1:10" ht="120" customHeight="1">
      <c r="A711" s="371"/>
      <c r="B711" s="178" t="s">
        <v>2114</v>
      </c>
      <c r="C711" s="172" t="s">
        <v>2125</v>
      </c>
      <c r="D711" s="172" t="s">
        <v>2126</v>
      </c>
      <c r="E711" s="172" t="s">
        <v>23</v>
      </c>
      <c r="F711" s="172" t="s">
        <v>2127</v>
      </c>
      <c r="G711" s="189" t="s">
        <v>2128</v>
      </c>
      <c r="H711" s="174" t="s">
        <v>24</v>
      </c>
      <c r="I711" s="174"/>
      <c r="J711" s="174"/>
    </row>
    <row r="712" spans="1:10" ht="120" customHeight="1">
      <c r="A712" s="371"/>
      <c r="B712" s="178" t="s">
        <v>2114</v>
      </c>
      <c r="C712" s="172" t="s">
        <v>2129</v>
      </c>
      <c r="D712" s="172" t="s">
        <v>2130</v>
      </c>
      <c r="E712" s="172" t="s">
        <v>23</v>
      </c>
      <c r="F712" s="172" t="s">
        <v>2131</v>
      </c>
      <c r="G712" s="189" t="s">
        <v>2132</v>
      </c>
      <c r="H712" s="174" t="s">
        <v>24</v>
      </c>
      <c r="I712" s="174"/>
      <c r="J712" s="174"/>
    </row>
    <row r="713" spans="1:10" ht="120" customHeight="1">
      <c r="A713" s="371"/>
      <c r="B713" s="178" t="s">
        <v>2114</v>
      </c>
      <c r="C713" s="172" t="s">
        <v>2133</v>
      </c>
      <c r="D713" s="172" t="s">
        <v>2134</v>
      </c>
      <c r="E713" s="172" t="s">
        <v>23</v>
      </c>
      <c r="F713" s="172" t="s">
        <v>2135</v>
      </c>
      <c r="G713" s="189" t="s">
        <v>2132</v>
      </c>
      <c r="H713" s="174" t="s">
        <v>24</v>
      </c>
      <c r="I713" s="174"/>
      <c r="J713" s="174"/>
    </row>
    <row r="714" spans="1:10" ht="120" customHeight="1">
      <c r="A714" s="371"/>
      <c r="B714" s="178" t="s">
        <v>2114</v>
      </c>
      <c r="C714" s="172" t="s">
        <v>2136</v>
      </c>
      <c r="D714" s="172" t="s">
        <v>2137</v>
      </c>
      <c r="E714" s="172" t="s">
        <v>23</v>
      </c>
      <c r="F714" s="172" t="s">
        <v>2138</v>
      </c>
      <c r="G714" s="189" t="s">
        <v>2132</v>
      </c>
      <c r="H714" s="174" t="s">
        <v>24</v>
      </c>
      <c r="I714" s="174"/>
      <c r="J714" s="174"/>
    </row>
    <row r="715" spans="1:10" ht="120" customHeight="1">
      <c r="A715" s="371"/>
      <c r="B715" s="178" t="s">
        <v>2114</v>
      </c>
      <c r="C715" s="172" t="s">
        <v>2139</v>
      </c>
      <c r="D715" s="172" t="s">
        <v>2140</v>
      </c>
      <c r="E715" s="172" t="s">
        <v>23</v>
      </c>
      <c r="F715" s="172" t="s">
        <v>2141</v>
      </c>
      <c r="G715" s="189" t="s">
        <v>2132</v>
      </c>
      <c r="H715" s="174" t="s">
        <v>24</v>
      </c>
      <c r="I715" s="174"/>
      <c r="J715" s="174"/>
    </row>
    <row r="716" spans="1:10" ht="120" customHeight="1">
      <c r="A716" s="371"/>
      <c r="B716" s="178" t="s">
        <v>2114</v>
      </c>
      <c r="C716" s="172" t="s">
        <v>2142</v>
      </c>
      <c r="D716" s="172" t="s">
        <v>2143</v>
      </c>
      <c r="E716" s="172" t="s">
        <v>23</v>
      </c>
      <c r="F716" s="172" t="s">
        <v>11302</v>
      </c>
      <c r="G716" s="189" t="s">
        <v>2132</v>
      </c>
      <c r="H716" s="174" t="s">
        <v>24</v>
      </c>
      <c r="I716" s="174"/>
      <c r="J716" s="174"/>
    </row>
    <row r="717" spans="1:10" ht="120" customHeight="1">
      <c r="A717" s="371"/>
      <c r="B717" s="178" t="s">
        <v>2114</v>
      </c>
      <c r="C717" s="172" t="s">
        <v>2144</v>
      </c>
      <c r="D717" s="172" t="s">
        <v>2145</v>
      </c>
      <c r="E717" s="172" t="s">
        <v>23</v>
      </c>
      <c r="F717" s="172" t="s">
        <v>2146</v>
      </c>
      <c r="G717" s="189" t="s">
        <v>2132</v>
      </c>
      <c r="H717" s="174" t="s">
        <v>24</v>
      </c>
      <c r="I717" s="174"/>
      <c r="J717" s="174"/>
    </row>
    <row r="718" spans="1:10" ht="120" customHeight="1">
      <c r="A718" s="371"/>
      <c r="B718" s="178" t="s">
        <v>2114</v>
      </c>
      <c r="C718" s="172" t="s">
        <v>2147</v>
      </c>
      <c r="D718" s="172" t="s">
        <v>2148</v>
      </c>
      <c r="E718" s="172" t="s">
        <v>23</v>
      </c>
      <c r="F718" s="172" t="s">
        <v>11303</v>
      </c>
      <c r="G718" s="189" t="s">
        <v>2132</v>
      </c>
      <c r="H718" s="174" t="s">
        <v>24</v>
      </c>
      <c r="I718" s="174"/>
      <c r="J718" s="174"/>
    </row>
    <row r="719" spans="1:10" ht="120" customHeight="1">
      <c r="A719" s="371"/>
      <c r="B719" s="178" t="s">
        <v>2114</v>
      </c>
      <c r="C719" s="172" t="s">
        <v>2149</v>
      </c>
      <c r="D719" s="172" t="s">
        <v>2150</v>
      </c>
      <c r="E719" s="172" t="s">
        <v>23</v>
      </c>
      <c r="F719" s="172" t="s">
        <v>2151</v>
      </c>
      <c r="G719" s="189" t="s">
        <v>2132</v>
      </c>
      <c r="H719" s="174" t="s">
        <v>24</v>
      </c>
      <c r="I719" s="174"/>
      <c r="J719" s="174"/>
    </row>
    <row r="720" spans="1:10" ht="120" customHeight="1">
      <c r="A720" s="371"/>
      <c r="B720" s="178" t="s">
        <v>2114</v>
      </c>
      <c r="C720" s="172" t="s">
        <v>2152</v>
      </c>
      <c r="D720" s="172" t="s">
        <v>2153</v>
      </c>
      <c r="E720" s="172" t="s">
        <v>23</v>
      </c>
      <c r="F720" s="172" t="s">
        <v>2154</v>
      </c>
      <c r="G720" s="189" t="s">
        <v>2132</v>
      </c>
      <c r="H720" s="174" t="s">
        <v>24</v>
      </c>
      <c r="I720" s="174"/>
      <c r="J720" s="174"/>
    </row>
    <row r="721" spans="1:10" ht="120" customHeight="1">
      <c r="A721" s="371"/>
      <c r="B721" s="171" t="s">
        <v>2155</v>
      </c>
      <c r="C721" s="172" t="s">
        <v>2156</v>
      </c>
      <c r="D721" s="172" t="s">
        <v>11304</v>
      </c>
      <c r="E721" s="172" t="s">
        <v>23</v>
      </c>
      <c r="F721" s="172" t="s">
        <v>11305</v>
      </c>
      <c r="G721" s="189" t="s">
        <v>11306</v>
      </c>
      <c r="H721" s="174" t="s">
        <v>24</v>
      </c>
      <c r="I721" s="174"/>
      <c r="J721" s="174"/>
    </row>
    <row r="722" spans="1:10" ht="120" customHeight="1">
      <c r="A722" s="371"/>
      <c r="B722" s="171" t="s">
        <v>2155</v>
      </c>
      <c r="C722" s="172" t="s">
        <v>11307</v>
      </c>
      <c r="D722" s="172" t="s">
        <v>11308</v>
      </c>
      <c r="E722" s="172" t="s">
        <v>10791</v>
      </c>
      <c r="F722" s="172" t="s">
        <v>2160</v>
      </c>
      <c r="G722" s="189" t="s">
        <v>2132</v>
      </c>
      <c r="H722" s="174" t="s">
        <v>30</v>
      </c>
      <c r="I722" s="174"/>
      <c r="J722" s="174"/>
    </row>
    <row r="723" spans="1:10" ht="120" customHeight="1">
      <c r="A723" s="371"/>
      <c r="B723" s="171" t="s">
        <v>2155</v>
      </c>
      <c r="C723" s="172" t="s">
        <v>2161</v>
      </c>
      <c r="D723" s="172" t="s">
        <v>2162</v>
      </c>
      <c r="E723" s="172" t="s">
        <v>23</v>
      </c>
      <c r="F723" s="172" t="s">
        <v>11309</v>
      </c>
      <c r="G723" s="189" t="s">
        <v>2132</v>
      </c>
      <c r="H723" s="174" t="s">
        <v>24</v>
      </c>
      <c r="I723" s="174"/>
      <c r="J723" s="174"/>
    </row>
    <row r="724" spans="1:10" ht="120" customHeight="1">
      <c r="A724" s="371"/>
      <c r="B724" s="171" t="s">
        <v>2155</v>
      </c>
      <c r="C724" s="172" t="s">
        <v>2163</v>
      </c>
      <c r="D724" s="172" t="s">
        <v>2164</v>
      </c>
      <c r="E724" s="172" t="s">
        <v>23</v>
      </c>
      <c r="F724" s="172" t="s">
        <v>2165</v>
      </c>
      <c r="G724" s="189" t="s">
        <v>2132</v>
      </c>
      <c r="H724" s="174" t="s">
        <v>24</v>
      </c>
      <c r="I724" s="174"/>
      <c r="J724" s="174"/>
    </row>
    <row r="725" spans="1:10" ht="120" customHeight="1">
      <c r="A725" s="371"/>
      <c r="B725" s="171" t="s">
        <v>2155</v>
      </c>
      <c r="C725" s="172" t="s">
        <v>2166</v>
      </c>
      <c r="D725" s="172" t="s">
        <v>2167</v>
      </c>
      <c r="E725" s="172" t="s">
        <v>23</v>
      </c>
      <c r="F725" s="172" t="s">
        <v>11310</v>
      </c>
      <c r="G725" s="189" t="s">
        <v>2132</v>
      </c>
      <c r="H725" s="174" t="s">
        <v>41</v>
      </c>
      <c r="I725" s="174"/>
      <c r="J725" s="174"/>
    </row>
    <row r="726" spans="1:10" ht="120" customHeight="1">
      <c r="A726" s="371"/>
      <c r="B726" s="171" t="s">
        <v>2155</v>
      </c>
      <c r="C726" s="172" t="s">
        <v>2168</v>
      </c>
      <c r="D726" s="172" t="s">
        <v>2169</v>
      </c>
      <c r="E726" s="172" t="s">
        <v>23</v>
      </c>
      <c r="F726" s="172" t="s">
        <v>2170</v>
      </c>
      <c r="G726" s="189" t="s">
        <v>2132</v>
      </c>
      <c r="H726" s="174" t="s">
        <v>24</v>
      </c>
      <c r="I726" s="174"/>
      <c r="J726" s="174"/>
    </row>
    <row r="727" spans="1:10" ht="120" customHeight="1">
      <c r="A727" s="371"/>
      <c r="B727" s="171" t="s">
        <v>2155</v>
      </c>
      <c r="C727" s="172" t="s">
        <v>11311</v>
      </c>
      <c r="D727" s="177" t="s">
        <v>12509</v>
      </c>
      <c r="E727" s="172" t="s">
        <v>23</v>
      </c>
      <c r="F727" s="172" t="s">
        <v>11312</v>
      </c>
      <c r="G727" s="189" t="s">
        <v>11306</v>
      </c>
      <c r="H727" s="174" t="s">
        <v>24</v>
      </c>
      <c r="I727" s="174"/>
      <c r="J727" s="174"/>
    </row>
    <row r="728" spans="1:10" ht="120" customHeight="1">
      <c r="A728" s="371"/>
      <c r="B728" s="171" t="s">
        <v>2155</v>
      </c>
      <c r="C728" s="172" t="s">
        <v>2171</v>
      </c>
      <c r="D728" s="172" t="s">
        <v>2172</v>
      </c>
      <c r="E728" s="172" t="s">
        <v>23</v>
      </c>
      <c r="F728" s="172" t="s">
        <v>2173</v>
      </c>
      <c r="G728" s="189" t="s">
        <v>2132</v>
      </c>
      <c r="H728" s="174" t="s">
        <v>41</v>
      </c>
      <c r="I728" s="174"/>
      <c r="J728" s="174"/>
    </row>
    <row r="729" spans="1:10" ht="120" customHeight="1">
      <c r="A729" s="371"/>
      <c r="B729" s="171" t="s">
        <v>2155</v>
      </c>
      <c r="C729" s="172" t="s">
        <v>11313</v>
      </c>
      <c r="D729" s="177" t="s">
        <v>11314</v>
      </c>
      <c r="E729" s="172" t="s">
        <v>23</v>
      </c>
      <c r="F729" s="172" t="s">
        <v>11315</v>
      </c>
      <c r="G729" s="189" t="s">
        <v>2132</v>
      </c>
      <c r="H729" s="174" t="s">
        <v>24</v>
      </c>
      <c r="I729" s="174"/>
      <c r="J729" s="174"/>
    </row>
    <row r="730" spans="1:10" ht="120" customHeight="1">
      <c r="A730" s="371"/>
      <c r="B730" s="178" t="s">
        <v>2174</v>
      </c>
      <c r="C730" s="172" t="s">
        <v>2175</v>
      </c>
      <c r="D730" s="172" t="s">
        <v>2176</v>
      </c>
      <c r="E730" s="172" t="s">
        <v>23</v>
      </c>
      <c r="F730" s="172" t="s">
        <v>2177</v>
      </c>
      <c r="G730" s="189" t="s">
        <v>2132</v>
      </c>
      <c r="H730" s="174" t="s">
        <v>30</v>
      </c>
      <c r="I730" s="174"/>
      <c r="J730" s="174"/>
    </row>
    <row r="731" spans="1:10" ht="120" customHeight="1">
      <c r="A731" s="371"/>
      <c r="B731" s="178" t="s">
        <v>2174</v>
      </c>
      <c r="C731" s="172" t="s">
        <v>2178</v>
      </c>
      <c r="D731" s="172" t="s">
        <v>2179</v>
      </c>
      <c r="E731" s="172" t="s">
        <v>23</v>
      </c>
      <c r="F731" s="172" t="s">
        <v>2180</v>
      </c>
      <c r="G731" s="189" t="s">
        <v>2132</v>
      </c>
      <c r="H731" s="174" t="s">
        <v>24</v>
      </c>
      <c r="I731" s="174"/>
      <c r="J731" s="174"/>
    </row>
    <row r="732" spans="1:10" ht="120" customHeight="1">
      <c r="A732" s="371"/>
      <c r="B732" s="178" t="s">
        <v>2174</v>
      </c>
      <c r="C732" s="172" t="s">
        <v>2181</v>
      </c>
      <c r="D732" s="177" t="s">
        <v>12510</v>
      </c>
      <c r="E732" s="172" t="s">
        <v>23</v>
      </c>
      <c r="F732" s="172" t="s">
        <v>11316</v>
      </c>
      <c r="G732" s="189" t="s">
        <v>2182</v>
      </c>
      <c r="H732" s="174" t="s">
        <v>36</v>
      </c>
      <c r="I732" s="174"/>
      <c r="J732" s="174"/>
    </row>
    <row r="733" spans="1:10" ht="120" customHeight="1">
      <c r="A733" s="371"/>
      <c r="B733" s="178" t="s">
        <v>2174</v>
      </c>
      <c r="C733" s="172" t="s">
        <v>2183</v>
      </c>
      <c r="D733" s="172" t="s">
        <v>2184</v>
      </c>
      <c r="E733" s="172" t="s">
        <v>23</v>
      </c>
      <c r="F733" s="172" t="s">
        <v>11317</v>
      </c>
      <c r="G733" s="189" t="s">
        <v>2185</v>
      </c>
      <c r="H733" s="174" t="s">
        <v>36</v>
      </c>
      <c r="I733" s="174"/>
      <c r="J733" s="174"/>
    </row>
    <row r="734" spans="1:10" ht="120" customHeight="1">
      <c r="A734" s="371"/>
      <c r="B734" s="178" t="s">
        <v>2174</v>
      </c>
      <c r="C734" s="172" t="s">
        <v>2186</v>
      </c>
      <c r="D734" s="172" t="s">
        <v>2187</v>
      </c>
      <c r="E734" s="172" t="s">
        <v>23</v>
      </c>
      <c r="F734" s="172" t="s">
        <v>2188</v>
      </c>
      <c r="G734" s="189" t="s">
        <v>2008</v>
      </c>
      <c r="H734" s="174" t="s">
        <v>36</v>
      </c>
      <c r="I734" s="174"/>
      <c r="J734" s="174"/>
    </row>
    <row r="735" spans="1:10" ht="120" customHeight="1">
      <c r="A735" s="368" t="s">
        <v>10209</v>
      </c>
      <c r="B735" s="190" t="s">
        <v>2190</v>
      </c>
      <c r="C735" s="210" t="s">
        <v>2191</v>
      </c>
      <c r="D735" s="172" t="s">
        <v>11318</v>
      </c>
      <c r="E735" s="172" t="s">
        <v>11319</v>
      </c>
      <c r="F735" s="172" t="s">
        <v>11320</v>
      </c>
      <c r="G735" s="189" t="s">
        <v>2195</v>
      </c>
      <c r="H735" s="174" t="s">
        <v>2196</v>
      </c>
      <c r="I735" s="180"/>
      <c r="J735" s="180"/>
    </row>
    <row r="736" spans="1:10" ht="120" customHeight="1">
      <c r="A736" s="368"/>
      <c r="B736" s="190" t="s">
        <v>2197</v>
      </c>
      <c r="C736" s="210" t="s">
        <v>2198</v>
      </c>
      <c r="D736" s="177" t="s">
        <v>11321</v>
      </c>
      <c r="E736" s="177" t="s">
        <v>11319</v>
      </c>
      <c r="F736" s="177" t="s">
        <v>2199</v>
      </c>
      <c r="G736" s="203" t="s">
        <v>2200</v>
      </c>
      <c r="H736" s="181" t="s">
        <v>2201</v>
      </c>
      <c r="I736" s="180"/>
      <c r="J736" s="180"/>
    </row>
    <row r="737" spans="1:10" ht="120" customHeight="1">
      <c r="A737" s="368"/>
      <c r="B737" s="190" t="s">
        <v>2197</v>
      </c>
      <c r="C737" s="210" t="s">
        <v>2202</v>
      </c>
      <c r="D737" s="172" t="s">
        <v>11322</v>
      </c>
      <c r="E737" s="172" t="s">
        <v>11319</v>
      </c>
      <c r="F737" s="172" t="s">
        <v>2203</v>
      </c>
      <c r="G737" s="189" t="s">
        <v>2204</v>
      </c>
      <c r="H737" s="174" t="s">
        <v>2205</v>
      </c>
      <c r="I737" s="180"/>
      <c r="J737" s="180"/>
    </row>
    <row r="738" spans="1:10" ht="120" customHeight="1">
      <c r="A738" s="368"/>
      <c r="B738" s="190" t="s">
        <v>2197</v>
      </c>
      <c r="C738" s="210" t="s">
        <v>2206</v>
      </c>
      <c r="D738" s="172" t="s">
        <v>11323</v>
      </c>
      <c r="E738" s="172" t="s">
        <v>11319</v>
      </c>
      <c r="F738" s="172" t="s">
        <v>2207</v>
      </c>
      <c r="G738" s="189" t="s">
        <v>2208</v>
      </c>
      <c r="H738" s="174" t="s">
        <v>2209</v>
      </c>
      <c r="I738" s="180"/>
      <c r="J738" s="180"/>
    </row>
    <row r="739" spans="1:10" ht="120" customHeight="1">
      <c r="A739" s="368"/>
      <c r="B739" s="190" t="s">
        <v>2197</v>
      </c>
      <c r="C739" s="210" t="s">
        <v>2210</v>
      </c>
      <c r="D739" s="172" t="s">
        <v>11324</v>
      </c>
      <c r="E739" s="172" t="s">
        <v>11319</v>
      </c>
      <c r="F739" s="172" t="s">
        <v>2211</v>
      </c>
      <c r="G739" s="189" t="s">
        <v>2212</v>
      </c>
      <c r="H739" s="174" t="s">
        <v>2205</v>
      </c>
      <c r="I739" s="180"/>
      <c r="J739" s="180"/>
    </row>
    <row r="740" spans="1:10" ht="120" customHeight="1">
      <c r="A740" s="368"/>
      <c r="B740" s="190" t="s">
        <v>2197</v>
      </c>
      <c r="C740" s="210" t="s">
        <v>2213</v>
      </c>
      <c r="D740" s="177" t="s">
        <v>11325</v>
      </c>
      <c r="E740" s="177" t="s">
        <v>11319</v>
      </c>
      <c r="F740" s="177" t="s">
        <v>2214</v>
      </c>
      <c r="G740" s="203" t="s">
        <v>2215</v>
      </c>
      <c r="H740" s="181" t="s">
        <v>2209</v>
      </c>
      <c r="I740" s="180"/>
      <c r="J740" s="180"/>
    </row>
    <row r="741" spans="1:10" ht="120" customHeight="1">
      <c r="A741" s="368"/>
      <c r="B741" s="190" t="s">
        <v>2197</v>
      </c>
      <c r="C741" s="210" t="s">
        <v>2216</v>
      </c>
      <c r="D741" s="172" t="s">
        <v>2217</v>
      </c>
      <c r="E741" s="172" t="s">
        <v>11319</v>
      </c>
      <c r="F741" s="172" t="s">
        <v>2218</v>
      </c>
      <c r="G741" s="189" t="s">
        <v>2219</v>
      </c>
      <c r="H741" s="174" t="s">
        <v>2220</v>
      </c>
      <c r="I741" s="180"/>
      <c r="J741" s="180"/>
    </row>
    <row r="742" spans="1:10" ht="120" customHeight="1">
      <c r="A742" s="368"/>
      <c r="B742" s="190" t="s">
        <v>2197</v>
      </c>
      <c r="C742" s="210" t="s">
        <v>2221</v>
      </c>
      <c r="D742" s="177" t="s">
        <v>2222</v>
      </c>
      <c r="E742" s="177" t="s">
        <v>11319</v>
      </c>
      <c r="F742" s="177" t="s">
        <v>2223</v>
      </c>
      <c r="G742" s="203" t="s">
        <v>2224</v>
      </c>
      <c r="H742" s="181" t="s">
        <v>2225</v>
      </c>
      <c r="I742" s="180"/>
      <c r="J742" s="180"/>
    </row>
    <row r="743" spans="1:10" ht="120" customHeight="1">
      <c r="A743" s="368"/>
      <c r="B743" s="190" t="s">
        <v>2197</v>
      </c>
      <c r="C743" s="210" t="s">
        <v>2226</v>
      </c>
      <c r="D743" s="172" t="s">
        <v>11326</v>
      </c>
      <c r="E743" s="172" t="s">
        <v>11319</v>
      </c>
      <c r="F743" s="177" t="s">
        <v>2228</v>
      </c>
      <c r="G743" s="189" t="s">
        <v>2229</v>
      </c>
      <c r="H743" s="174" t="s">
        <v>2209</v>
      </c>
      <c r="I743" s="180"/>
      <c r="J743" s="180"/>
    </row>
    <row r="744" spans="1:10" ht="120" customHeight="1">
      <c r="A744" s="368"/>
      <c r="B744" s="190" t="s">
        <v>2197</v>
      </c>
      <c r="C744" s="210" t="s">
        <v>2230</v>
      </c>
      <c r="D744" s="177" t="s">
        <v>2231</v>
      </c>
      <c r="E744" s="177" t="s">
        <v>11319</v>
      </c>
      <c r="F744" s="177" t="s">
        <v>2232</v>
      </c>
      <c r="G744" s="203" t="s">
        <v>2233</v>
      </c>
      <c r="H744" s="181" t="s">
        <v>2234</v>
      </c>
      <c r="I744" s="180"/>
      <c r="J744" s="180"/>
    </row>
    <row r="745" spans="1:10" ht="120" customHeight="1">
      <c r="A745" s="368"/>
      <c r="B745" s="190" t="s">
        <v>2197</v>
      </c>
      <c r="C745" s="210" t="s">
        <v>2235</v>
      </c>
      <c r="D745" s="172" t="s">
        <v>11327</v>
      </c>
      <c r="E745" s="172" t="s">
        <v>11319</v>
      </c>
      <c r="F745" s="177" t="s">
        <v>2237</v>
      </c>
      <c r="G745" s="189" t="s">
        <v>2238</v>
      </c>
      <c r="H745" s="174" t="s">
        <v>2209</v>
      </c>
      <c r="I745" s="180"/>
      <c r="J745" s="180"/>
    </row>
    <row r="746" spans="1:10" ht="120" customHeight="1">
      <c r="A746" s="368"/>
      <c r="B746" s="190" t="s">
        <v>2190</v>
      </c>
      <c r="C746" s="210" t="s">
        <v>2239</v>
      </c>
      <c r="D746" s="172" t="s">
        <v>2240</v>
      </c>
      <c r="E746" s="172" t="s">
        <v>11319</v>
      </c>
      <c r="F746" s="172" t="s">
        <v>2241</v>
      </c>
      <c r="G746" s="189" t="s">
        <v>2242</v>
      </c>
      <c r="H746" s="174" t="s">
        <v>2209</v>
      </c>
      <c r="I746" s="180"/>
      <c r="J746" s="180"/>
    </row>
    <row r="747" spans="1:10" ht="120" customHeight="1">
      <c r="A747" s="368"/>
      <c r="B747" s="190" t="s">
        <v>2197</v>
      </c>
      <c r="C747" s="210" t="s">
        <v>2243</v>
      </c>
      <c r="D747" s="172" t="s">
        <v>2244</v>
      </c>
      <c r="E747" s="172" t="s">
        <v>11319</v>
      </c>
      <c r="F747" s="177" t="s">
        <v>2245</v>
      </c>
      <c r="G747" s="189" t="s">
        <v>2246</v>
      </c>
      <c r="H747" s="174" t="s">
        <v>2209</v>
      </c>
      <c r="I747" s="180"/>
      <c r="J747" s="180"/>
    </row>
    <row r="748" spans="1:10" ht="120" customHeight="1">
      <c r="A748" s="368"/>
      <c r="B748" s="190" t="s">
        <v>2197</v>
      </c>
      <c r="C748" s="210" t="s">
        <v>2247</v>
      </c>
      <c r="D748" s="172" t="s">
        <v>2248</v>
      </c>
      <c r="E748" s="172" t="s">
        <v>11319</v>
      </c>
      <c r="F748" s="172" t="s">
        <v>2249</v>
      </c>
      <c r="G748" s="189" t="s">
        <v>2250</v>
      </c>
      <c r="H748" s="174" t="s">
        <v>2205</v>
      </c>
      <c r="I748" s="180"/>
      <c r="J748" s="180"/>
    </row>
    <row r="749" spans="1:10" ht="120" customHeight="1">
      <c r="A749" s="368"/>
      <c r="B749" s="190" t="s">
        <v>2197</v>
      </c>
      <c r="C749" s="210" t="s">
        <v>2251</v>
      </c>
      <c r="D749" s="172" t="s">
        <v>2252</v>
      </c>
      <c r="E749" s="172" t="s">
        <v>11319</v>
      </c>
      <c r="F749" s="177" t="s">
        <v>2253</v>
      </c>
      <c r="G749" s="189" t="s">
        <v>2250</v>
      </c>
      <c r="H749" s="174" t="s">
        <v>2209</v>
      </c>
      <c r="I749" s="180"/>
      <c r="J749" s="180"/>
    </row>
    <row r="750" spans="1:10" ht="120" customHeight="1">
      <c r="A750" s="368"/>
      <c r="B750" s="190" t="s">
        <v>2197</v>
      </c>
      <c r="C750" s="210" t="s">
        <v>2254</v>
      </c>
      <c r="D750" s="172" t="s">
        <v>2255</v>
      </c>
      <c r="E750" s="172" t="s">
        <v>11319</v>
      </c>
      <c r="F750" s="172" t="s">
        <v>2256</v>
      </c>
      <c r="G750" s="189" t="s">
        <v>2257</v>
      </c>
      <c r="H750" s="174" t="s">
        <v>2209</v>
      </c>
      <c r="I750" s="180"/>
      <c r="J750" s="180"/>
    </row>
    <row r="751" spans="1:10" ht="120" customHeight="1">
      <c r="A751" s="368"/>
      <c r="B751" s="190" t="s">
        <v>2197</v>
      </c>
      <c r="C751" s="210" t="s">
        <v>2258</v>
      </c>
      <c r="D751" s="172" t="s">
        <v>2259</v>
      </c>
      <c r="E751" s="172" t="s">
        <v>11319</v>
      </c>
      <c r="F751" s="177" t="s">
        <v>2260</v>
      </c>
      <c r="G751" s="189" t="s">
        <v>2261</v>
      </c>
      <c r="H751" s="174" t="s">
        <v>2196</v>
      </c>
      <c r="I751" s="180"/>
      <c r="J751" s="180"/>
    </row>
    <row r="752" spans="1:10" ht="120" customHeight="1">
      <c r="A752" s="368"/>
      <c r="B752" s="190" t="s">
        <v>2197</v>
      </c>
      <c r="C752" s="210" t="s">
        <v>2262</v>
      </c>
      <c r="D752" s="172" t="s">
        <v>2263</v>
      </c>
      <c r="E752" s="172" t="s">
        <v>11319</v>
      </c>
      <c r="F752" s="172" t="s">
        <v>2264</v>
      </c>
      <c r="G752" s="189" t="s">
        <v>2265</v>
      </c>
      <c r="H752" s="174" t="s">
        <v>2266</v>
      </c>
      <c r="I752" s="180"/>
      <c r="J752" s="180"/>
    </row>
    <row r="753" spans="1:10" ht="120" customHeight="1">
      <c r="A753" s="368"/>
      <c r="B753" s="190" t="s">
        <v>2197</v>
      </c>
      <c r="C753" s="210" t="s">
        <v>2267</v>
      </c>
      <c r="D753" s="172" t="s">
        <v>2268</v>
      </c>
      <c r="E753" s="172" t="s">
        <v>11319</v>
      </c>
      <c r="F753" s="172" t="s">
        <v>2269</v>
      </c>
      <c r="G753" s="189" t="s">
        <v>2270</v>
      </c>
      <c r="H753" s="174" t="s">
        <v>2271</v>
      </c>
      <c r="I753" s="180"/>
      <c r="J753" s="180"/>
    </row>
    <row r="754" spans="1:10" ht="120" customHeight="1">
      <c r="A754" s="368"/>
      <c r="B754" s="190" t="s">
        <v>2197</v>
      </c>
      <c r="C754" s="210" t="s">
        <v>2272</v>
      </c>
      <c r="D754" s="172" t="s">
        <v>2273</v>
      </c>
      <c r="E754" s="172" t="s">
        <v>11319</v>
      </c>
      <c r="F754" s="177" t="s">
        <v>2274</v>
      </c>
      <c r="G754" s="189" t="s">
        <v>2275</v>
      </c>
      <c r="H754" s="174" t="s">
        <v>2220</v>
      </c>
      <c r="I754" s="180"/>
      <c r="J754" s="180"/>
    </row>
    <row r="755" spans="1:10" ht="120" customHeight="1">
      <c r="A755" s="368"/>
      <c r="B755" s="190" t="s">
        <v>2197</v>
      </c>
      <c r="C755" s="210" t="s">
        <v>11328</v>
      </c>
      <c r="D755" s="172" t="s">
        <v>11329</v>
      </c>
      <c r="E755" s="172" t="s">
        <v>11330</v>
      </c>
      <c r="F755" s="177" t="s">
        <v>2277</v>
      </c>
      <c r="G755" s="189" t="s">
        <v>2278</v>
      </c>
      <c r="H755" s="174" t="s">
        <v>2279</v>
      </c>
      <c r="I755" s="180"/>
      <c r="J755" s="180"/>
    </row>
    <row r="756" spans="1:10" ht="120" customHeight="1">
      <c r="A756" s="368"/>
      <c r="B756" s="190" t="s">
        <v>2197</v>
      </c>
      <c r="C756" s="210" t="s">
        <v>2280</v>
      </c>
      <c r="D756" s="172" t="s">
        <v>2281</v>
      </c>
      <c r="E756" s="172" t="s">
        <v>11319</v>
      </c>
      <c r="F756" s="177" t="s">
        <v>2282</v>
      </c>
      <c r="G756" s="189" t="s">
        <v>2283</v>
      </c>
      <c r="H756" s="174" t="s">
        <v>2266</v>
      </c>
      <c r="I756" s="180"/>
      <c r="J756" s="180"/>
    </row>
    <row r="757" spans="1:10" ht="120" customHeight="1">
      <c r="A757" s="368"/>
      <c r="B757" s="190" t="s">
        <v>2197</v>
      </c>
      <c r="C757" s="210" t="s">
        <v>2284</v>
      </c>
      <c r="D757" s="172" t="s">
        <v>2285</v>
      </c>
      <c r="E757" s="172" t="s">
        <v>11319</v>
      </c>
      <c r="F757" s="177" t="s">
        <v>2286</v>
      </c>
      <c r="G757" s="189" t="s">
        <v>2287</v>
      </c>
      <c r="H757" s="174" t="s">
        <v>2266</v>
      </c>
      <c r="I757" s="180"/>
      <c r="J757" s="180"/>
    </row>
    <row r="758" spans="1:10" ht="120" customHeight="1">
      <c r="A758" s="368"/>
      <c r="B758" s="190" t="s">
        <v>2197</v>
      </c>
      <c r="C758" s="210" t="s">
        <v>2288</v>
      </c>
      <c r="D758" s="172" t="s">
        <v>2289</v>
      </c>
      <c r="E758" s="172" t="s">
        <v>11319</v>
      </c>
      <c r="F758" s="177" t="s">
        <v>11331</v>
      </c>
      <c r="G758" s="189" t="s">
        <v>2290</v>
      </c>
      <c r="H758" s="174" t="s">
        <v>2266</v>
      </c>
      <c r="I758" s="180"/>
      <c r="J758" s="180"/>
    </row>
    <row r="759" spans="1:10" ht="120" customHeight="1">
      <c r="A759" s="368"/>
      <c r="B759" s="190" t="s">
        <v>2197</v>
      </c>
      <c r="C759" s="210" t="s">
        <v>2291</v>
      </c>
      <c r="D759" s="172" t="s">
        <v>2292</v>
      </c>
      <c r="E759" s="172" t="s">
        <v>11319</v>
      </c>
      <c r="F759" s="177" t="s">
        <v>2293</v>
      </c>
      <c r="G759" s="189" t="s">
        <v>2294</v>
      </c>
      <c r="H759" s="174" t="s">
        <v>2295</v>
      </c>
      <c r="I759" s="180"/>
      <c r="J759" s="180"/>
    </row>
    <row r="760" spans="1:10" ht="120" customHeight="1">
      <c r="A760" s="368"/>
      <c r="B760" s="190" t="s">
        <v>2197</v>
      </c>
      <c r="C760" s="210" t="s">
        <v>2296</v>
      </c>
      <c r="D760" s="172" t="s">
        <v>2297</v>
      </c>
      <c r="E760" s="172" t="s">
        <v>11319</v>
      </c>
      <c r="F760" s="172" t="s">
        <v>2298</v>
      </c>
      <c r="G760" s="189" t="s">
        <v>2299</v>
      </c>
      <c r="H760" s="174" t="s">
        <v>41</v>
      </c>
      <c r="I760" s="180"/>
      <c r="J760" s="180"/>
    </row>
    <row r="761" spans="1:10" ht="120" customHeight="1">
      <c r="A761" s="368"/>
      <c r="B761" s="190" t="s">
        <v>2197</v>
      </c>
      <c r="C761" s="210" t="s">
        <v>2300</v>
      </c>
      <c r="D761" s="172" t="s">
        <v>2301</v>
      </c>
      <c r="E761" s="172" t="s">
        <v>11319</v>
      </c>
      <c r="F761" s="177" t="s">
        <v>2302</v>
      </c>
      <c r="G761" s="189" t="s">
        <v>2303</v>
      </c>
      <c r="H761" s="174" t="s">
        <v>36</v>
      </c>
      <c r="I761" s="180"/>
      <c r="J761" s="180"/>
    </row>
    <row r="762" spans="1:10" ht="120" customHeight="1">
      <c r="A762" s="368"/>
      <c r="B762" s="190" t="s">
        <v>2197</v>
      </c>
      <c r="C762" s="210" t="s">
        <v>2304</v>
      </c>
      <c r="D762" s="172" t="s">
        <v>2305</v>
      </c>
      <c r="E762" s="172" t="s">
        <v>11319</v>
      </c>
      <c r="F762" s="172" t="s">
        <v>2306</v>
      </c>
      <c r="G762" s="189" t="s">
        <v>2307</v>
      </c>
      <c r="H762" s="174" t="s">
        <v>41</v>
      </c>
      <c r="I762" s="180"/>
      <c r="J762" s="180"/>
    </row>
    <row r="763" spans="1:10" ht="120" customHeight="1">
      <c r="A763" s="368"/>
      <c r="B763" s="190" t="s">
        <v>2197</v>
      </c>
      <c r="C763" s="210" t="s">
        <v>2308</v>
      </c>
      <c r="D763" s="172" t="s">
        <v>2309</v>
      </c>
      <c r="E763" s="172" t="s">
        <v>11319</v>
      </c>
      <c r="F763" s="177" t="s">
        <v>2310</v>
      </c>
      <c r="G763" s="189" t="s">
        <v>2307</v>
      </c>
      <c r="H763" s="174" t="s">
        <v>41</v>
      </c>
      <c r="I763" s="180"/>
      <c r="J763" s="180"/>
    </row>
    <row r="764" spans="1:10" ht="120" customHeight="1">
      <c r="A764" s="368"/>
      <c r="B764" s="328" t="s">
        <v>2197</v>
      </c>
      <c r="C764" s="311" t="s">
        <v>2311</v>
      </c>
      <c r="D764" s="242" t="s">
        <v>2312</v>
      </c>
      <c r="E764" s="242" t="s">
        <v>11319</v>
      </c>
      <c r="F764" s="242" t="s">
        <v>2313</v>
      </c>
      <c r="G764" s="305" t="s">
        <v>2314</v>
      </c>
      <c r="H764" s="406" t="s">
        <v>41</v>
      </c>
      <c r="I764" s="180"/>
      <c r="J764" s="180"/>
    </row>
    <row r="765" spans="1:10" ht="120" customHeight="1">
      <c r="A765" s="371"/>
      <c r="B765" s="245" t="s">
        <v>2190</v>
      </c>
      <c r="C765" s="172" t="s">
        <v>11332</v>
      </c>
      <c r="D765" s="172" t="s">
        <v>11333</v>
      </c>
      <c r="E765" s="172" t="s">
        <v>2357</v>
      </c>
      <c r="F765" s="172" t="s">
        <v>11334</v>
      </c>
      <c r="G765" s="189" t="s">
        <v>11335</v>
      </c>
      <c r="H765" s="174" t="s">
        <v>11336</v>
      </c>
      <c r="I765" s="326"/>
      <c r="J765" s="180"/>
    </row>
    <row r="766" spans="1:10" ht="120" customHeight="1">
      <c r="A766" s="369"/>
      <c r="B766" s="327" t="s">
        <v>2315</v>
      </c>
      <c r="C766" s="310" t="s">
        <v>2316</v>
      </c>
      <c r="D766" s="301" t="s">
        <v>2317</v>
      </c>
      <c r="E766" s="301" t="s">
        <v>11319</v>
      </c>
      <c r="F766" s="301" t="s">
        <v>2318</v>
      </c>
      <c r="G766" s="302" t="s">
        <v>2319</v>
      </c>
      <c r="H766" s="405" t="s">
        <v>41</v>
      </c>
      <c r="I766" s="180"/>
      <c r="J766" s="180"/>
    </row>
    <row r="767" spans="1:10" ht="120" customHeight="1">
      <c r="A767" s="368"/>
      <c r="B767" s="191" t="s">
        <v>2315</v>
      </c>
      <c r="C767" s="210" t="s">
        <v>11337</v>
      </c>
      <c r="D767" s="172" t="s">
        <v>2321</v>
      </c>
      <c r="E767" s="172" t="s">
        <v>11330</v>
      </c>
      <c r="F767" s="172" t="s">
        <v>2322</v>
      </c>
      <c r="G767" s="189" t="s">
        <v>2323</v>
      </c>
      <c r="H767" s="174" t="s">
        <v>233</v>
      </c>
      <c r="I767" s="180"/>
      <c r="J767" s="180"/>
    </row>
    <row r="768" spans="1:10" ht="120" customHeight="1">
      <c r="A768" s="368"/>
      <c r="B768" s="191" t="s">
        <v>2315</v>
      </c>
      <c r="C768" s="210" t="s">
        <v>2324</v>
      </c>
      <c r="D768" s="172" t="s">
        <v>2325</v>
      </c>
      <c r="E768" s="172" t="s">
        <v>11319</v>
      </c>
      <c r="F768" s="177" t="s">
        <v>2326</v>
      </c>
      <c r="G768" s="189" t="s">
        <v>2327</v>
      </c>
      <c r="H768" s="174" t="s">
        <v>36</v>
      </c>
      <c r="I768" s="180"/>
      <c r="J768" s="180"/>
    </row>
    <row r="769" spans="1:10" ht="120" customHeight="1">
      <c r="A769" s="368"/>
      <c r="B769" s="191" t="s">
        <v>2315</v>
      </c>
      <c r="C769" s="210" t="s">
        <v>2328</v>
      </c>
      <c r="D769" s="172" t="s">
        <v>2329</v>
      </c>
      <c r="E769" s="172" t="s">
        <v>11319</v>
      </c>
      <c r="F769" s="177" t="s">
        <v>2330</v>
      </c>
      <c r="G769" s="189" t="s">
        <v>2331</v>
      </c>
      <c r="H769" s="174" t="s">
        <v>24</v>
      </c>
      <c r="I769" s="180"/>
      <c r="J769" s="180"/>
    </row>
    <row r="770" spans="1:10" ht="120" customHeight="1">
      <c r="A770" s="368"/>
      <c r="B770" s="191" t="s">
        <v>2315</v>
      </c>
      <c r="C770" s="210" t="s">
        <v>2332</v>
      </c>
      <c r="D770" s="172" t="s">
        <v>2333</v>
      </c>
      <c r="E770" s="172" t="s">
        <v>11319</v>
      </c>
      <c r="F770" s="177" t="s">
        <v>2334</v>
      </c>
      <c r="G770" s="189" t="s">
        <v>2335</v>
      </c>
      <c r="H770" s="174" t="s">
        <v>36</v>
      </c>
      <c r="I770" s="180"/>
      <c r="J770" s="180"/>
    </row>
    <row r="771" spans="1:10" ht="120" customHeight="1">
      <c r="A771" s="368"/>
      <c r="B771" s="191" t="s">
        <v>2315</v>
      </c>
      <c r="C771" s="210" t="s">
        <v>2336</v>
      </c>
      <c r="D771" s="172" t="s">
        <v>2337</v>
      </c>
      <c r="E771" s="172" t="s">
        <v>11319</v>
      </c>
      <c r="F771" s="177" t="s">
        <v>2338</v>
      </c>
      <c r="G771" s="189" t="s">
        <v>2339</v>
      </c>
      <c r="H771" s="174" t="s">
        <v>24</v>
      </c>
      <c r="I771" s="180"/>
      <c r="J771" s="180"/>
    </row>
    <row r="772" spans="1:10" ht="120" customHeight="1">
      <c r="A772" s="368"/>
      <c r="B772" s="284" t="s">
        <v>2315</v>
      </c>
      <c r="C772" s="210" t="s">
        <v>2340</v>
      </c>
      <c r="D772" s="177" t="s">
        <v>2341</v>
      </c>
      <c r="E772" s="172" t="s">
        <v>11319</v>
      </c>
      <c r="F772" s="177" t="s">
        <v>11338</v>
      </c>
      <c r="G772" s="189" t="s">
        <v>2342</v>
      </c>
      <c r="H772" s="174" t="s">
        <v>41</v>
      </c>
      <c r="I772" s="180"/>
      <c r="J772" s="180"/>
    </row>
    <row r="773" spans="1:10" ht="120" customHeight="1">
      <c r="A773" s="368"/>
      <c r="B773" s="191" t="s">
        <v>2315</v>
      </c>
      <c r="C773" s="210" t="s">
        <v>2343</v>
      </c>
      <c r="D773" s="177" t="s">
        <v>2344</v>
      </c>
      <c r="E773" s="172" t="s">
        <v>11319</v>
      </c>
      <c r="F773" s="177" t="s">
        <v>2345</v>
      </c>
      <c r="G773" s="189" t="s">
        <v>2346</v>
      </c>
      <c r="H773" s="174" t="s">
        <v>24</v>
      </c>
      <c r="I773" s="180"/>
      <c r="J773" s="180"/>
    </row>
    <row r="774" spans="1:10" ht="120" customHeight="1">
      <c r="A774" s="368"/>
      <c r="B774" s="191" t="s">
        <v>2315</v>
      </c>
      <c r="C774" s="210" t="s">
        <v>2347</v>
      </c>
      <c r="D774" s="172" t="s">
        <v>2348</v>
      </c>
      <c r="E774" s="172" t="s">
        <v>11319</v>
      </c>
      <c r="F774" s="177" t="s">
        <v>2349</v>
      </c>
      <c r="G774" s="189" t="s">
        <v>11339</v>
      </c>
      <c r="H774" s="174" t="s">
        <v>2295</v>
      </c>
      <c r="I774" s="180"/>
      <c r="J774" s="180"/>
    </row>
    <row r="775" spans="1:10" ht="120" customHeight="1">
      <c r="A775" s="368"/>
      <c r="B775" s="191" t="s">
        <v>2315</v>
      </c>
      <c r="C775" s="210" t="s">
        <v>2351</v>
      </c>
      <c r="D775" s="172" t="s">
        <v>2352</v>
      </c>
      <c r="E775" s="172" t="s">
        <v>11319</v>
      </c>
      <c r="F775" s="177" t="s">
        <v>11340</v>
      </c>
      <c r="G775" s="189" t="s">
        <v>2353</v>
      </c>
      <c r="H775" s="174" t="s">
        <v>36</v>
      </c>
      <c r="I775" s="180"/>
      <c r="J775" s="180"/>
    </row>
    <row r="776" spans="1:10" ht="120" customHeight="1">
      <c r="A776" s="368"/>
      <c r="B776" s="191" t="s">
        <v>2354</v>
      </c>
      <c r="C776" s="210" t="s">
        <v>2355</v>
      </c>
      <c r="D776" s="172" t="s">
        <v>2356</v>
      </c>
      <c r="E776" s="172" t="s">
        <v>2357</v>
      </c>
      <c r="F776" s="177" t="s">
        <v>2358</v>
      </c>
      <c r="G776" s="189" t="s">
        <v>11341</v>
      </c>
      <c r="H776" s="174" t="s">
        <v>117</v>
      </c>
      <c r="I776" s="180"/>
      <c r="J776" s="180"/>
    </row>
    <row r="777" spans="1:10" ht="120" customHeight="1">
      <c r="A777" s="368"/>
      <c r="B777" s="191" t="s">
        <v>2359</v>
      </c>
      <c r="C777" s="210" t="s">
        <v>2360</v>
      </c>
      <c r="D777" s="172" t="s">
        <v>2361</v>
      </c>
      <c r="E777" s="172" t="s">
        <v>2357</v>
      </c>
      <c r="F777" s="177" t="s">
        <v>2362</v>
      </c>
      <c r="G777" s="189" t="s">
        <v>2363</v>
      </c>
      <c r="H777" s="174" t="s">
        <v>117</v>
      </c>
      <c r="I777" s="180"/>
      <c r="J777" s="180"/>
    </row>
    <row r="778" spans="1:10" ht="120" customHeight="1">
      <c r="A778" s="368"/>
      <c r="B778" s="191" t="s">
        <v>2364</v>
      </c>
      <c r="C778" s="210" t="s">
        <v>2365</v>
      </c>
      <c r="D778" s="177" t="s">
        <v>2366</v>
      </c>
      <c r="E778" s="172" t="s">
        <v>11319</v>
      </c>
      <c r="F778" s="172" t="s">
        <v>2367</v>
      </c>
      <c r="G778" s="189" t="s">
        <v>2368</v>
      </c>
      <c r="H778" s="174" t="s">
        <v>2279</v>
      </c>
      <c r="I778" s="180"/>
      <c r="J778" s="180"/>
    </row>
    <row r="779" spans="1:10" ht="120" customHeight="1">
      <c r="A779" s="368"/>
      <c r="B779" s="191" t="s">
        <v>2364</v>
      </c>
      <c r="C779" s="210" t="s">
        <v>2369</v>
      </c>
      <c r="D779" s="177" t="s">
        <v>2370</v>
      </c>
      <c r="E779" s="172" t="s">
        <v>11319</v>
      </c>
      <c r="F779" s="172" t="s">
        <v>2371</v>
      </c>
      <c r="G779" s="189" t="s">
        <v>2372</v>
      </c>
      <c r="H779" s="174" t="s">
        <v>2279</v>
      </c>
      <c r="I779" s="180"/>
      <c r="J779" s="180"/>
    </row>
    <row r="780" spans="1:10" ht="120" customHeight="1">
      <c r="A780" s="368"/>
      <c r="B780" s="191" t="s">
        <v>2364</v>
      </c>
      <c r="C780" s="210" t="s">
        <v>2373</v>
      </c>
      <c r="D780" s="177" t="s">
        <v>2374</v>
      </c>
      <c r="E780" s="172" t="s">
        <v>11319</v>
      </c>
      <c r="F780" s="172" t="s">
        <v>2375</v>
      </c>
      <c r="G780" s="189" t="s">
        <v>2376</v>
      </c>
      <c r="H780" s="174" t="s">
        <v>62</v>
      </c>
      <c r="I780" s="180"/>
      <c r="J780" s="180"/>
    </row>
    <row r="781" spans="1:10" ht="120" customHeight="1">
      <c r="A781" s="368"/>
      <c r="B781" s="191" t="s">
        <v>2377</v>
      </c>
      <c r="C781" s="210" t="s">
        <v>2378</v>
      </c>
      <c r="D781" s="177" t="s">
        <v>2379</v>
      </c>
      <c r="E781" s="172" t="s">
        <v>11319</v>
      </c>
      <c r="F781" s="172" t="s">
        <v>2380</v>
      </c>
      <c r="G781" s="448" t="s">
        <v>2381</v>
      </c>
      <c r="H781" s="174" t="s">
        <v>24</v>
      </c>
      <c r="I781" s="180"/>
      <c r="J781" s="180"/>
    </row>
    <row r="782" spans="1:10" ht="120" customHeight="1">
      <c r="A782" s="368"/>
      <c r="B782" s="191" t="s">
        <v>2364</v>
      </c>
      <c r="C782" s="210" t="s">
        <v>2382</v>
      </c>
      <c r="D782" s="177" t="s">
        <v>2383</v>
      </c>
      <c r="E782" s="172" t="s">
        <v>11319</v>
      </c>
      <c r="F782" s="172" t="s">
        <v>2384</v>
      </c>
      <c r="G782" s="189" t="s">
        <v>2385</v>
      </c>
      <c r="H782" s="174" t="s">
        <v>24</v>
      </c>
      <c r="I782" s="180"/>
      <c r="J782" s="180"/>
    </row>
    <row r="783" spans="1:10" ht="120" customHeight="1">
      <c r="A783" s="382" t="s">
        <v>2386</v>
      </c>
      <c r="B783" s="190" t="s">
        <v>2387</v>
      </c>
      <c r="C783" s="210" t="s">
        <v>2388</v>
      </c>
      <c r="D783" s="172" t="s">
        <v>2389</v>
      </c>
      <c r="E783" s="172" t="s">
        <v>2390</v>
      </c>
      <c r="F783" s="172" t="s">
        <v>11342</v>
      </c>
      <c r="G783" s="189" t="s">
        <v>2391</v>
      </c>
      <c r="H783" s="174" t="s">
        <v>2392</v>
      </c>
      <c r="I783" s="180"/>
      <c r="J783" s="180"/>
    </row>
    <row r="784" spans="1:10" ht="120" customHeight="1">
      <c r="A784" s="382"/>
      <c r="B784" s="190" t="s">
        <v>2387</v>
      </c>
      <c r="C784" s="210" t="s">
        <v>2393</v>
      </c>
      <c r="D784" s="172" t="s">
        <v>2394</v>
      </c>
      <c r="E784" s="172" t="s">
        <v>2390</v>
      </c>
      <c r="F784" s="172" t="s">
        <v>11343</v>
      </c>
      <c r="G784" s="189" t="s">
        <v>11344</v>
      </c>
      <c r="H784" s="174" t="s">
        <v>2196</v>
      </c>
      <c r="I784" s="180"/>
      <c r="J784" s="180"/>
    </row>
    <row r="785" spans="1:10" ht="120" customHeight="1">
      <c r="A785" s="382"/>
      <c r="B785" s="190" t="s">
        <v>2387</v>
      </c>
      <c r="C785" s="210" t="s">
        <v>11345</v>
      </c>
      <c r="D785" s="172" t="s">
        <v>2397</v>
      </c>
      <c r="E785" s="172" t="s">
        <v>2357</v>
      </c>
      <c r="F785" s="172" t="s">
        <v>2398</v>
      </c>
      <c r="G785" s="189" t="s">
        <v>2399</v>
      </c>
      <c r="H785" s="174" t="s">
        <v>2220</v>
      </c>
      <c r="I785" s="180"/>
      <c r="J785" s="180"/>
    </row>
    <row r="786" spans="1:10" ht="120" customHeight="1">
      <c r="A786" s="382"/>
      <c r="B786" s="190" t="s">
        <v>2387</v>
      </c>
      <c r="C786" s="210" t="s">
        <v>2400</v>
      </c>
      <c r="D786" s="172" t="s">
        <v>2401</v>
      </c>
      <c r="E786" s="172" t="s">
        <v>2390</v>
      </c>
      <c r="F786" s="172" t="s">
        <v>2402</v>
      </c>
      <c r="G786" s="189" t="s">
        <v>2403</v>
      </c>
      <c r="H786" s="174" t="s">
        <v>24</v>
      </c>
      <c r="I786" s="180"/>
      <c r="J786" s="180"/>
    </row>
    <row r="787" spans="1:10" ht="120" customHeight="1">
      <c r="A787" s="382"/>
      <c r="B787" s="190" t="s">
        <v>2387</v>
      </c>
      <c r="C787" s="210" t="s">
        <v>2404</v>
      </c>
      <c r="D787" s="172" t="s">
        <v>2405</v>
      </c>
      <c r="E787" s="172" t="s">
        <v>2390</v>
      </c>
      <c r="F787" s="172" t="s">
        <v>2406</v>
      </c>
      <c r="G787" s="189" t="s">
        <v>2407</v>
      </c>
      <c r="H787" s="174" t="s">
        <v>24</v>
      </c>
      <c r="I787" s="180"/>
      <c r="J787" s="180"/>
    </row>
    <row r="788" spans="1:10" ht="120" customHeight="1">
      <c r="A788" s="382"/>
      <c r="B788" s="190" t="s">
        <v>2387</v>
      </c>
      <c r="C788" s="210" t="s">
        <v>2408</v>
      </c>
      <c r="D788" s="172" t="s">
        <v>2409</v>
      </c>
      <c r="E788" s="172" t="s">
        <v>2390</v>
      </c>
      <c r="F788" s="172" t="s">
        <v>2410</v>
      </c>
      <c r="G788" s="189" t="s">
        <v>2411</v>
      </c>
      <c r="H788" s="174" t="s">
        <v>24</v>
      </c>
      <c r="I788" s="180"/>
      <c r="J788" s="180"/>
    </row>
    <row r="789" spans="1:10" ht="120" customHeight="1">
      <c r="A789" s="382"/>
      <c r="B789" s="190" t="s">
        <v>2387</v>
      </c>
      <c r="C789" s="210" t="s">
        <v>2412</v>
      </c>
      <c r="D789" s="172" t="s">
        <v>2413</v>
      </c>
      <c r="E789" s="172" t="s">
        <v>2390</v>
      </c>
      <c r="F789" s="172" t="s">
        <v>2414</v>
      </c>
      <c r="G789" s="189" t="s">
        <v>2415</v>
      </c>
      <c r="H789" s="174" t="s">
        <v>24</v>
      </c>
      <c r="I789" s="180"/>
      <c r="J789" s="180"/>
    </row>
    <row r="790" spans="1:10" ht="120" customHeight="1">
      <c r="A790" s="382"/>
      <c r="B790" s="190" t="s">
        <v>2387</v>
      </c>
      <c r="C790" s="210" t="s">
        <v>2416</v>
      </c>
      <c r="D790" s="172" t="s">
        <v>2417</v>
      </c>
      <c r="E790" s="172" t="s">
        <v>2390</v>
      </c>
      <c r="F790" s="172" t="s">
        <v>2418</v>
      </c>
      <c r="G790" s="189" t="s">
        <v>2419</v>
      </c>
      <c r="H790" s="174" t="s">
        <v>24</v>
      </c>
      <c r="I790" s="180"/>
      <c r="J790" s="180"/>
    </row>
    <row r="791" spans="1:10" ht="120" customHeight="1">
      <c r="A791" s="382"/>
      <c r="B791" s="190" t="s">
        <v>2387</v>
      </c>
      <c r="C791" s="210" t="s">
        <v>2420</v>
      </c>
      <c r="D791" s="172" t="s">
        <v>2421</v>
      </c>
      <c r="E791" s="172" t="s">
        <v>2390</v>
      </c>
      <c r="F791" s="172" t="s">
        <v>2422</v>
      </c>
      <c r="G791" s="189" t="s">
        <v>2423</v>
      </c>
      <c r="H791" s="174" t="s">
        <v>24</v>
      </c>
      <c r="I791" s="180"/>
      <c r="J791" s="180"/>
    </row>
    <row r="792" spans="1:10" ht="120" customHeight="1">
      <c r="A792" s="382"/>
      <c r="B792" s="190" t="s">
        <v>2387</v>
      </c>
      <c r="C792" s="210" t="s">
        <v>2424</v>
      </c>
      <c r="D792" s="172" t="s">
        <v>2425</v>
      </c>
      <c r="E792" s="172" t="s">
        <v>2390</v>
      </c>
      <c r="F792" s="172" t="s">
        <v>11346</v>
      </c>
      <c r="G792" s="189" t="s">
        <v>11347</v>
      </c>
      <c r="H792" s="174" t="s">
        <v>24</v>
      </c>
      <c r="I792" s="180"/>
      <c r="J792" s="180"/>
    </row>
    <row r="793" spans="1:10" ht="120" customHeight="1">
      <c r="A793" s="382"/>
      <c r="B793" s="190" t="s">
        <v>2387</v>
      </c>
      <c r="C793" s="210" t="s">
        <v>2426</v>
      </c>
      <c r="D793" s="172" t="s">
        <v>2427</v>
      </c>
      <c r="E793" s="172" t="s">
        <v>2390</v>
      </c>
      <c r="F793" s="172" t="s">
        <v>2428</v>
      </c>
      <c r="G793" s="189" t="s">
        <v>2429</v>
      </c>
      <c r="H793" s="174" t="s">
        <v>24</v>
      </c>
      <c r="I793" s="180"/>
      <c r="J793" s="180"/>
    </row>
    <row r="794" spans="1:10" ht="120" customHeight="1">
      <c r="A794" s="382"/>
      <c r="B794" s="190" t="s">
        <v>2387</v>
      </c>
      <c r="C794" s="210" t="s">
        <v>2430</v>
      </c>
      <c r="D794" s="172" t="s">
        <v>2431</v>
      </c>
      <c r="E794" s="172" t="s">
        <v>2390</v>
      </c>
      <c r="F794" s="172" t="s">
        <v>11348</v>
      </c>
      <c r="G794" s="189" t="s">
        <v>2432</v>
      </c>
      <c r="H794" s="174" t="s">
        <v>24</v>
      </c>
      <c r="I794" s="180"/>
      <c r="J794" s="180"/>
    </row>
    <row r="795" spans="1:10" ht="120" customHeight="1">
      <c r="A795" s="382"/>
      <c r="B795" s="190" t="s">
        <v>2387</v>
      </c>
      <c r="C795" s="210" t="s">
        <v>2433</v>
      </c>
      <c r="D795" s="172" t="s">
        <v>2434</v>
      </c>
      <c r="E795" s="172" t="s">
        <v>2390</v>
      </c>
      <c r="F795" s="172" t="s">
        <v>2435</v>
      </c>
      <c r="G795" s="189" t="s">
        <v>2436</v>
      </c>
      <c r="H795" s="174" t="s">
        <v>36</v>
      </c>
      <c r="I795" s="180"/>
      <c r="J795" s="180"/>
    </row>
    <row r="796" spans="1:10" ht="120" customHeight="1">
      <c r="A796" s="382"/>
      <c r="B796" s="190" t="s">
        <v>2387</v>
      </c>
      <c r="C796" s="210" t="s">
        <v>2437</v>
      </c>
      <c r="D796" s="172" t="s">
        <v>2438</v>
      </c>
      <c r="E796" s="172" t="s">
        <v>2390</v>
      </c>
      <c r="F796" s="172" t="s">
        <v>2439</v>
      </c>
      <c r="G796" s="189" t="s">
        <v>2440</v>
      </c>
      <c r="H796" s="174" t="s">
        <v>36</v>
      </c>
      <c r="I796" s="180"/>
      <c r="J796" s="180"/>
    </row>
    <row r="797" spans="1:10" ht="120" customHeight="1">
      <c r="A797" s="382"/>
      <c r="B797" s="190" t="s">
        <v>2387</v>
      </c>
      <c r="C797" s="210" t="s">
        <v>2441</v>
      </c>
      <c r="D797" s="172" t="s">
        <v>2442</v>
      </c>
      <c r="E797" s="172" t="s">
        <v>2390</v>
      </c>
      <c r="F797" s="172" t="s">
        <v>2443</v>
      </c>
      <c r="G797" s="189" t="s">
        <v>2444</v>
      </c>
      <c r="H797" s="174" t="s">
        <v>36</v>
      </c>
      <c r="I797" s="180"/>
      <c r="J797" s="180"/>
    </row>
    <row r="798" spans="1:10" ht="120" customHeight="1">
      <c r="A798" s="382"/>
      <c r="B798" s="190" t="s">
        <v>2387</v>
      </c>
      <c r="C798" s="210" t="s">
        <v>2445</v>
      </c>
      <c r="D798" s="172" t="s">
        <v>2446</v>
      </c>
      <c r="E798" s="172" t="s">
        <v>2390</v>
      </c>
      <c r="F798" s="172" t="s">
        <v>2447</v>
      </c>
      <c r="G798" s="189" t="s">
        <v>2448</v>
      </c>
      <c r="H798" s="174" t="s">
        <v>36</v>
      </c>
      <c r="I798" s="180"/>
      <c r="J798" s="180"/>
    </row>
    <row r="799" spans="1:10" ht="120" customHeight="1">
      <c r="A799" s="382"/>
      <c r="B799" s="190" t="s">
        <v>2387</v>
      </c>
      <c r="C799" s="210" t="s">
        <v>11349</v>
      </c>
      <c r="D799" s="172" t="s">
        <v>2449</v>
      </c>
      <c r="E799" s="172" t="s">
        <v>2357</v>
      </c>
      <c r="F799" s="172" t="s">
        <v>11350</v>
      </c>
      <c r="G799" s="189" t="s">
        <v>2450</v>
      </c>
      <c r="H799" s="174" t="s">
        <v>36</v>
      </c>
      <c r="I799" s="180"/>
      <c r="J799" s="180"/>
    </row>
    <row r="800" spans="1:10" ht="120" customHeight="1">
      <c r="A800" s="382"/>
      <c r="B800" s="190" t="s">
        <v>2387</v>
      </c>
      <c r="C800" s="210" t="s">
        <v>2451</v>
      </c>
      <c r="D800" s="172" t="s">
        <v>2452</v>
      </c>
      <c r="E800" s="172" t="s">
        <v>2390</v>
      </c>
      <c r="F800" s="172" t="s">
        <v>11351</v>
      </c>
      <c r="G800" s="189" t="s">
        <v>2453</v>
      </c>
      <c r="H800" s="174" t="s">
        <v>36</v>
      </c>
      <c r="I800" s="180"/>
      <c r="J800" s="180"/>
    </row>
    <row r="801" spans="1:10" ht="120" customHeight="1">
      <c r="A801" s="382"/>
      <c r="B801" s="190" t="s">
        <v>2387</v>
      </c>
      <c r="C801" s="210" t="s">
        <v>2454</v>
      </c>
      <c r="D801" s="172" t="s">
        <v>2455</v>
      </c>
      <c r="E801" s="172" t="s">
        <v>2390</v>
      </c>
      <c r="F801" s="172" t="s">
        <v>11352</v>
      </c>
      <c r="G801" s="189" t="s">
        <v>2456</v>
      </c>
      <c r="H801" s="174" t="s">
        <v>62</v>
      </c>
      <c r="I801" s="180"/>
      <c r="J801" s="180"/>
    </row>
    <row r="802" spans="1:10" ht="120" customHeight="1">
      <c r="A802" s="382"/>
      <c r="B802" s="190" t="s">
        <v>2387</v>
      </c>
      <c r="C802" s="210" t="s">
        <v>2457</v>
      </c>
      <c r="D802" s="172" t="s">
        <v>2458</v>
      </c>
      <c r="E802" s="172" t="s">
        <v>2390</v>
      </c>
      <c r="F802" s="172" t="s">
        <v>2459</v>
      </c>
      <c r="G802" s="189" t="s">
        <v>2460</v>
      </c>
      <c r="H802" s="174" t="s">
        <v>62</v>
      </c>
      <c r="I802" s="180"/>
      <c r="J802" s="180"/>
    </row>
    <row r="803" spans="1:10" ht="120" customHeight="1">
      <c r="A803" s="382"/>
      <c r="B803" s="190" t="s">
        <v>2387</v>
      </c>
      <c r="C803" s="210" t="s">
        <v>2461</v>
      </c>
      <c r="D803" s="172" t="s">
        <v>2462</v>
      </c>
      <c r="E803" s="172" t="s">
        <v>2390</v>
      </c>
      <c r="F803" s="172" t="s">
        <v>2463</v>
      </c>
      <c r="G803" s="189" t="s">
        <v>2464</v>
      </c>
      <c r="H803" s="174" t="s">
        <v>62</v>
      </c>
      <c r="I803" s="180"/>
      <c r="J803" s="180"/>
    </row>
    <row r="804" spans="1:10" ht="120" customHeight="1">
      <c r="A804" s="382"/>
      <c r="B804" s="190" t="s">
        <v>2387</v>
      </c>
      <c r="C804" s="210" t="s">
        <v>2465</v>
      </c>
      <c r="D804" s="172" t="s">
        <v>2466</v>
      </c>
      <c r="E804" s="172" t="s">
        <v>2390</v>
      </c>
      <c r="F804" s="172" t="s">
        <v>2467</v>
      </c>
      <c r="G804" s="189" t="s">
        <v>2468</v>
      </c>
      <c r="H804" s="174" t="s">
        <v>24</v>
      </c>
      <c r="I804" s="180"/>
      <c r="J804" s="180"/>
    </row>
    <row r="805" spans="1:10" ht="120" customHeight="1">
      <c r="A805" s="382"/>
      <c r="B805" s="190" t="s">
        <v>2387</v>
      </c>
      <c r="C805" s="210" t="s">
        <v>2469</v>
      </c>
      <c r="D805" s="172" t="s">
        <v>12511</v>
      </c>
      <c r="E805" s="172" t="s">
        <v>2390</v>
      </c>
      <c r="F805" s="172" t="s">
        <v>12512</v>
      </c>
      <c r="G805" s="189" t="s">
        <v>12513</v>
      </c>
      <c r="H805" s="174" t="s">
        <v>62</v>
      </c>
      <c r="I805" s="180"/>
      <c r="J805" s="180"/>
    </row>
    <row r="806" spans="1:10" ht="120" customHeight="1">
      <c r="A806" s="382"/>
      <c r="B806" s="190" t="s">
        <v>2387</v>
      </c>
      <c r="C806" s="210" t="s">
        <v>2471</v>
      </c>
      <c r="D806" s="172" t="s">
        <v>2472</v>
      </c>
      <c r="E806" s="172" t="s">
        <v>2390</v>
      </c>
      <c r="F806" s="172" t="s">
        <v>2473</v>
      </c>
      <c r="G806" s="189" t="s">
        <v>2474</v>
      </c>
      <c r="H806" s="174" t="s">
        <v>36</v>
      </c>
      <c r="I806" s="180"/>
      <c r="J806" s="180"/>
    </row>
    <row r="807" spans="1:10" ht="120" customHeight="1">
      <c r="A807" s="382"/>
      <c r="B807" s="190" t="s">
        <v>2387</v>
      </c>
      <c r="C807" s="210" t="s">
        <v>2475</v>
      </c>
      <c r="D807" s="172" t="s">
        <v>2476</v>
      </c>
      <c r="E807" s="172" t="s">
        <v>2477</v>
      </c>
      <c r="F807" s="172" t="s">
        <v>11353</v>
      </c>
      <c r="G807" s="189" t="s">
        <v>2478</v>
      </c>
      <c r="H807" s="174" t="s">
        <v>62</v>
      </c>
      <c r="I807" s="180"/>
      <c r="J807" s="180"/>
    </row>
    <row r="808" spans="1:10" ht="120" customHeight="1">
      <c r="A808" s="382"/>
      <c r="B808" s="245" t="s">
        <v>2387</v>
      </c>
      <c r="C808" s="210" t="s">
        <v>2479</v>
      </c>
      <c r="D808" s="210" t="s">
        <v>2480</v>
      </c>
      <c r="E808" s="210" t="s">
        <v>2390</v>
      </c>
      <c r="F808" s="210" t="s">
        <v>2481</v>
      </c>
      <c r="G808" s="209" t="s">
        <v>2482</v>
      </c>
      <c r="H808" s="201" t="s">
        <v>86</v>
      </c>
      <c r="I808" s="282"/>
      <c r="J808" s="282"/>
    </row>
    <row r="809" spans="1:10" ht="120" customHeight="1">
      <c r="A809" s="382"/>
      <c r="B809" s="245" t="s">
        <v>2387</v>
      </c>
      <c r="C809" s="210" t="s">
        <v>2483</v>
      </c>
      <c r="D809" s="210" t="s">
        <v>2484</v>
      </c>
      <c r="E809" s="210" t="s">
        <v>2390</v>
      </c>
      <c r="F809" s="210" t="s">
        <v>2485</v>
      </c>
      <c r="G809" s="209" t="s">
        <v>2486</v>
      </c>
      <c r="H809" s="201" t="s">
        <v>86</v>
      </c>
      <c r="I809" s="282"/>
      <c r="J809" s="282"/>
    </row>
    <row r="810" spans="1:10" ht="120" customHeight="1">
      <c r="A810" s="382"/>
      <c r="B810" s="245" t="s">
        <v>2387</v>
      </c>
      <c r="C810" s="210" t="s">
        <v>2487</v>
      </c>
      <c r="D810" s="210" t="s">
        <v>2488</v>
      </c>
      <c r="E810" s="210" t="s">
        <v>2390</v>
      </c>
      <c r="F810" s="210" t="s">
        <v>2489</v>
      </c>
      <c r="G810" s="209" t="s">
        <v>2490</v>
      </c>
      <c r="H810" s="201" t="s">
        <v>36</v>
      </c>
      <c r="I810" s="282"/>
      <c r="J810" s="282"/>
    </row>
    <row r="811" spans="1:10" ht="120" customHeight="1">
      <c r="A811" s="382"/>
      <c r="B811" s="245" t="s">
        <v>2387</v>
      </c>
      <c r="C811" s="210" t="s">
        <v>2491</v>
      </c>
      <c r="D811" s="210" t="s">
        <v>2492</v>
      </c>
      <c r="E811" s="210" t="s">
        <v>2390</v>
      </c>
      <c r="F811" s="210" t="s">
        <v>2493</v>
      </c>
      <c r="G811" s="209" t="s">
        <v>11354</v>
      </c>
      <c r="H811" s="201" t="s">
        <v>24</v>
      </c>
      <c r="I811" s="282"/>
      <c r="J811" s="282"/>
    </row>
    <row r="812" spans="1:10" ht="120" customHeight="1">
      <c r="A812" s="382"/>
      <c r="B812" s="245" t="s">
        <v>2387</v>
      </c>
      <c r="C812" s="210" t="s">
        <v>11355</v>
      </c>
      <c r="D812" s="210" t="s">
        <v>2495</v>
      </c>
      <c r="E812" s="210" t="s">
        <v>2390</v>
      </c>
      <c r="F812" s="210" t="s">
        <v>2496</v>
      </c>
      <c r="G812" s="209" t="s">
        <v>11356</v>
      </c>
      <c r="H812" s="201" t="s">
        <v>86</v>
      </c>
      <c r="I812" s="282"/>
      <c r="J812" s="282"/>
    </row>
    <row r="813" spans="1:10" ht="120" customHeight="1">
      <c r="A813" s="382"/>
      <c r="B813" s="245" t="s">
        <v>2387</v>
      </c>
      <c r="C813" s="210" t="s">
        <v>2497</v>
      </c>
      <c r="D813" s="210" t="s">
        <v>2498</v>
      </c>
      <c r="E813" s="210" t="s">
        <v>2390</v>
      </c>
      <c r="F813" s="210" t="s">
        <v>2499</v>
      </c>
      <c r="G813" s="209" t="s">
        <v>2500</v>
      </c>
      <c r="H813" s="201" t="s">
        <v>86</v>
      </c>
      <c r="I813" s="282"/>
      <c r="J813" s="282"/>
    </row>
    <row r="814" spans="1:10" ht="120" customHeight="1">
      <c r="A814" s="382"/>
      <c r="B814" s="190" t="s">
        <v>2501</v>
      </c>
      <c r="C814" s="210" t="s">
        <v>2502</v>
      </c>
      <c r="D814" s="172" t="s">
        <v>2503</v>
      </c>
      <c r="E814" s="172" t="s">
        <v>2390</v>
      </c>
      <c r="F814" s="172" t="s">
        <v>2504</v>
      </c>
      <c r="G814" s="189" t="s">
        <v>2505</v>
      </c>
      <c r="H814" s="174" t="s">
        <v>30</v>
      </c>
      <c r="I814" s="180"/>
      <c r="J814" s="180"/>
    </row>
    <row r="815" spans="1:10" ht="120" customHeight="1">
      <c r="A815" s="382"/>
      <c r="B815" s="190" t="s">
        <v>2501</v>
      </c>
      <c r="C815" s="210" t="s">
        <v>2506</v>
      </c>
      <c r="D815" s="172" t="s">
        <v>2507</v>
      </c>
      <c r="E815" s="172" t="s">
        <v>2390</v>
      </c>
      <c r="F815" s="172" t="s">
        <v>2508</v>
      </c>
      <c r="G815" s="189" t="s">
        <v>2509</v>
      </c>
      <c r="H815" s="174" t="s">
        <v>24</v>
      </c>
      <c r="I815" s="180"/>
      <c r="J815" s="180"/>
    </row>
    <row r="816" spans="1:10" ht="120" customHeight="1">
      <c r="A816" s="382"/>
      <c r="B816" s="190" t="s">
        <v>2501</v>
      </c>
      <c r="C816" s="210" t="s">
        <v>2510</v>
      </c>
      <c r="D816" s="172" t="s">
        <v>2511</v>
      </c>
      <c r="E816" s="172" t="s">
        <v>2390</v>
      </c>
      <c r="F816" s="172" t="s">
        <v>2512</v>
      </c>
      <c r="G816" s="189" t="s">
        <v>2513</v>
      </c>
      <c r="H816" s="174" t="s">
        <v>24</v>
      </c>
      <c r="I816" s="180"/>
      <c r="J816" s="180"/>
    </row>
    <row r="817" spans="1:10" ht="120" customHeight="1">
      <c r="A817" s="382"/>
      <c r="B817" s="190" t="s">
        <v>2501</v>
      </c>
      <c r="C817" s="210" t="s">
        <v>11357</v>
      </c>
      <c r="D817" s="172" t="s">
        <v>11358</v>
      </c>
      <c r="E817" s="172" t="s">
        <v>2357</v>
      </c>
      <c r="F817" s="172" t="s">
        <v>11359</v>
      </c>
      <c r="G817" s="189" t="s">
        <v>2515</v>
      </c>
      <c r="H817" s="174" t="s">
        <v>24</v>
      </c>
      <c r="I817" s="180"/>
      <c r="J817" s="180"/>
    </row>
    <row r="818" spans="1:10" ht="120" customHeight="1">
      <c r="A818" s="382"/>
      <c r="B818" s="190" t="s">
        <v>2501</v>
      </c>
      <c r="C818" s="210" t="s">
        <v>2516</v>
      </c>
      <c r="D818" s="172" t="s">
        <v>11360</v>
      </c>
      <c r="E818" s="172" t="s">
        <v>2390</v>
      </c>
      <c r="F818" s="172" t="s">
        <v>2518</v>
      </c>
      <c r="G818" s="189" t="s">
        <v>2519</v>
      </c>
      <c r="H818" s="174" t="s">
        <v>24</v>
      </c>
      <c r="I818" s="180"/>
      <c r="J818" s="180"/>
    </row>
    <row r="819" spans="1:10" ht="120" customHeight="1">
      <c r="A819" s="382"/>
      <c r="B819" s="190" t="s">
        <v>2501</v>
      </c>
      <c r="C819" s="210" t="s">
        <v>2520</v>
      </c>
      <c r="D819" s="172" t="s">
        <v>2521</v>
      </c>
      <c r="E819" s="172" t="s">
        <v>2390</v>
      </c>
      <c r="F819" s="172" t="s">
        <v>2522</v>
      </c>
      <c r="G819" s="189" t="s">
        <v>2523</v>
      </c>
      <c r="H819" s="174" t="s">
        <v>41</v>
      </c>
      <c r="I819" s="180"/>
      <c r="J819" s="180"/>
    </row>
    <row r="820" spans="1:10" ht="120" customHeight="1">
      <c r="A820" s="382"/>
      <c r="B820" s="190" t="s">
        <v>2501</v>
      </c>
      <c r="C820" s="210" t="s">
        <v>2524</v>
      </c>
      <c r="D820" s="172" t="s">
        <v>2525</v>
      </c>
      <c r="E820" s="172" t="s">
        <v>2390</v>
      </c>
      <c r="F820" s="172" t="s">
        <v>2526</v>
      </c>
      <c r="G820" s="189" t="s">
        <v>2527</v>
      </c>
      <c r="H820" s="174" t="s">
        <v>24</v>
      </c>
      <c r="I820" s="180"/>
      <c r="J820" s="180"/>
    </row>
    <row r="821" spans="1:10" ht="120" customHeight="1">
      <c r="A821" s="382"/>
      <c r="B821" s="190" t="s">
        <v>2501</v>
      </c>
      <c r="C821" s="210" t="s">
        <v>2528</v>
      </c>
      <c r="D821" s="172" t="s">
        <v>2529</v>
      </c>
      <c r="E821" s="172" t="s">
        <v>2390</v>
      </c>
      <c r="F821" s="172" t="s">
        <v>2530</v>
      </c>
      <c r="G821" s="189" t="s">
        <v>2531</v>
      </c>
      <c r="H821" s="174" t="s">
        <v>24</v>
      </c>
      <c r="I821" s="180"/>
      <c r="J821" s="180"/>
    </row>
    <row r="822" spans="1:10" ht="120" customHeight="1">
      <c r="A822" s="382"/>
      <c r="B822" s="190" t="s">
        <v>2501</v>
      </c>
      <c r="C822" s="210" t="s">
        <v>2532</v>
      </c>
      <c r="D822" s="172" t="s">
        <v>2533</v>
      </c>
      <c r="E822" s="172" t="s">
        <v>2390</v>
      </c>
      <c r="F822" s="172" t="s">
        <v>2534</v>
      </c>
      <c r="G822" s="189" t="s">
        <v>2535</v>
      </c>
      <c r="H822" s="174" t="s">
        <v>24</v>
      </c>
      <c r="I822" s="180"/>
      <c r="J822" s="180"/>
    </row>
    <row r="823" spans="1:10" ht="120" customHeight="1">
      <c r="A823" s="382"/>
      <c r="B823" s="190" t="s">
        <v>2501</v>
      </c>
      <c r="C823" s="210" t="s">
        <v>2536</v>
      </c>
      <c r="D823" s="172" t="s">
        <v>2537</v>
      </c>
      <c r="E823" s="172" t="s">
        <v>2390</v>
      </c>
      <c r="F823" s="172" t="s">
        <v>2538</v>
      </c>
      <c r="G823" s="189" t="s">
        <v>2539</v>
      </c>
      <c r="H823" s="174" t="s">
        <v>24</v>
      </c>
      <c r="I823" s="180"/>
      <c r="J823" s="180"/>
    </row>
    <row r="824" spans="1:10" ht="120" customHeight="1">
      <c r="A824" s="382"/>
      <c r="B824" s="190" t="s">
        <v>2501</v>
      </c>
      <c r="C824" s="210" t="s">
        <v>2540</v>
      </c>
      <c r="D824" s="172" t="s">
        <v>2541</v>
      </c>
      <c r="E824" s="172" t="s">
        <v>2390</v>
      </c>
      <c r="F824" s="172" t="s">
        <v>2542</v>
      </c>
      <c r="G824" s="189" t="s">
        <v>2543</v>
      </c>
      <c r="H824" s="174" t="s">
        <v>41</v>
      </c>
      <c r="I824" s="180"/>
      <c r="J824" s="180"/>
    </row>
    <row r="825" spans="1:10" ht="120" customHeight="1">
      <c r="A825" s="382"/>
      <c r="B825" s="190" t="s">
        <v>2501</v>
      </c>
      <c r="C825" s="210" t="s">
        <v>2544</v>
      </c>
      <c r="D825" s="172" t="s">
        <v>2545</v>
      </c>
      <c r="E825" s="172" t="s">
        <v>2390</v>
      </c>
      <c r="F825" s="172" t="s">
        <v>2546</v>
      </c>
      <c r="G825" s="189" t="s">
        <v>2547</v>
      </c>
      <c r="H825" s="174" t="s">
        <v>24</v>
      </c>
      <c r="I825" s="180"/>
      <c r="J825" s="180"/>
    </row>
    <row r="826" spans="1:10" ht="120" customHeight="1">
      <c r="A826" s="382"/>
      <c r="B826" s="190" t="s">
        <v>2501</v>
      </c>
      <c r="C826" s="210" t="s">
        <v>2548</v>
      </c>
      <c r="D826" s="172" t="s">
        <v>2549</v>
      </c>
      <c r="E826" s="172" t="s">
        <v>2390</v>
      </c>
      <c r="F826" s="172" t="s">
        <v>2550</v>
      </c>
      <c r="G826" s="189" t="s">
        <v>2551</v>
      </c>
      <c r="H826" s="174" t="s">
        <v>24</v>
      </c>
      <c r="I826" s="180"/>
      <c r="J826" s="180"/>
    </row>
    <row r="827" spans="1:10" ht="120" customHeight="1">
      <c r="A827" s="382"/>
      <c r="B827" s="190" t="s">
        <v>2501</v>
      </c>
      <c r="C827" s="210" t="s">
        <v>2552</v>
      </c>
      <c r="D827" s="172" t="s">
        <v>2553</v>
      </c>
      <c r="E827" s="172" t="s">
        <v>2390</v>
      </c>
      <c r="F827" s="172" t="s">
        <v>2554</v>
      </c>
      <c r="G827" s="189" t="s">
        <v>2555</v>
      </c>
      <c r="H827" s="174" t="s">
        <v>24</v>
      </c>
      <c r="I827" s="180"/>
      <c r="J827" s="180"/>
    </row>
    <row r="828" spans="1:10" ht="120" customHeight="1">
      <c r="A828" s="382"/>
      <c r="B828" s="190" t="s">
        <v>2501</v>
      </c>
      <c r="C828" s="210" t="s">
        <v>2556</v>
      </c>
      <c r="D828" s="172" t="s">
        <v>2557</v>
      </c>
      <c r="E828" s="172" t="s">
        <v>2390</v>
      </c>
      <c r="F828" s="172" t="s">
        <v>2558</v>
      </c>
      <c r="G828" s="189" t="s">
        <v>2559</v>
      </c>
      <c r="H828" s="174" t="s">
        <v>24</v>
      </c>
      <c r="I828" s="180"/>
      <c r="J828" s="180"/>
    </row>
    <row r="829" spans="1:10" ht="120" customHeight="1">
      <c r="A829" s="382"/>
      <c r="B829" s="190" t="s">
        <v>2501</v>
      </c>
      <c r="C829" s="210" t="s">
        <v>2560</v>
      </c>
      <c r="D829" s="172" t="s">
        <v>2561</v>
      </c>
      <c r="E829" s="172" t="s">
        <v>2390</v>
      </c>
      <c r="F829" s="172" t="s">
        <v>2562</v>
      </c>
      <c r="G829" s="189" t="s">
        <v>2563</v>
      </c>
      <c r="H829" s="174" t="s">
        <v>62</v>
      </c>
      <c r="I829" s="180"/>
      <c r="J829" s="180"/>
    </row>
    <row r="830" spans="1:10" ht="120" customHeight="1">
      <c r="A830" s="382"/>
      <c r="B830" s="190" t="s">
        <v>2501</v>
      </c>
      <c r="C830" s="210" t="s">
        <v>2564</v>
      </c>
      <c r="D830" s="172" t="s">
        <v>2565</v>
      </c>
      <c r="E830" s="172" t="s">
        <v>2390</v>
      </c>
      <c r="F830" s="172" t="s">
        <v>2566</v>
      </c>
      <c r="G830" s="189" t="s">
        <v>2567</v>
      </c>
      <c r="H830" s="174" t="s">
        <v>62</v>
      </c>
      <c r="I830" s="180"/>
      <c r="J830" s="180"/>
    </row>
    <row r="831" spans="1:10" ht="120" customHeight="1">
      <c r="A831" s="382"/>
      <c r="B831" s="190" t="s">
        <v>2501</v>
      </c>
      <c r="C831" s="210" t="s">
        <v>11361</v>
      </c>
      <c r="D831" s="172" t="s">
        <v>11362</v>
      </c>
      <c r="E831" s="172" t="s">
        <v>2357</v>
      </c>
      <c r="F831" s="172" t="s">
        <v>11363</v>
      </c>
      <c r="G831" s="189" t="s">
        <v>2569</v>
      </c>
      <c r="H831" s="174" t="s">
        <v>62</v>
      </c>
      <c r="I831" s="180"/>
      <c r="J831" s="180"/>
    </row>
    <row r="832" spans="1:10" ht="120" customHeight="1">
      <c r="A832" s="382"/>
      <c r="B832" s="190" t="s">
        <v>2501</v>
      </c>
      <c r="C832" s="210" t="s">
        <v>2570</v>
      </c>
      <c r="D832" s="172" t="s">
        <v>2571</v>
      </c>
      <c r="E832" s="172" t="s">
        <v>2390</v>
      </c>
      <c r="F832" s="172" t="s">
        <v>2572</v>
      </c>
      <c r="G832" s="189" t="s">
        <v>2573</v>
      </c>
      <c r="H832" s="174" t="s">
        <v>41</v>
      </c>
      <c r="I832" s="180"/>
      <c r="J832" s="180"/>
    </row>
    <row r="833" spans="1:10" ht="120" customHeight="1">
      <c r="A833" s="382"/>
      <c r="B833" s="190" t="s">
        <v>2574</v>
      </c>
      <c r="C833" s="210" t="s">
        <v>2575</v>
      </c>
      <c r="D833" s="172" t="s">
        <v>2576</v>
      </c>
      <c r="E833" s="172" t="s">
        <v>2390</v>
      </c>
      <c r="F833" s="172" t="s">
        <v>2577</v>
      </c>
      <c r="G833" s="189" t="s">
        <v>2578</v>
      </c>
      <c r="H833" s="174" t="s">
        <v>30</v>
      </c>
      <c r="I833" s="180"/>
      <c r="J833" s="180"/>
    </row>
    <row r="834" spans="1:10" ht="120" customHeight="1">
      <c r="A834" s="382"/>
      <c r="B834" s="190" t="s">
        <v>2574</v>
      </c>
      <c r="C834" s="210" t="s">
        <v>2579</v>
      </c>
      <c r="D834" s="172" t="s">
        <v>2580</v>
      </c>
      <c r="E834" s="172" t="s">
        <v>2390</v>
      </c>
      <c r="F834" s="172" t="s">
        <v>2581</v>
      </c>
      <c r="G834" s="189" t="s">
        <v>2582</v>
      </c>
      <c r="H834" s="174" t="s">
        <v>41</v>
      </c>
      <c r="I834" s="180"/>
      <c r="J834" s="180"/>
    </row>
    <row r="835" spans="1:10" ht="120" customHeight="1">
      <c r="A835" s="382"/>
      <c r="B835" s="190" t="s">
        <v>2574</v>
      </c>
      <c r="C835" s="210" t="s">
        <v>2583</v>
      </c>
      <c r="D835" s="172" t="s">
        <v>2584</v>
      </c>
      <c r="E835" s="172" t="s">
        <v>2390</v>
      </c>
      <c r="F835" s="172" t="s">
        <v>2585</v>
      </c>
      <c r="G835" s="189" t="s">
        <v>2586</v>
      </c>
      <c r="H835" s="174" t="s">
        <v>41</v>
      </c>
      <c r="I835" s="180"/>
      <c r="J835" s="180"/>
    </row>
    <row r="836" spans="1:10" ht="120" customHeight="1">
      <c r="A836" s="382"/>
      <c r="B836" s="190" t="s">
        <v>2574</v>
      </c>
      <c r="C836" s="210" t="s">
        <v>2587</v>
      </c>
      <c r="D836" s="172" t="s">
        <v>2588</v>
      </c>
      <c r="E836" s="172" t="s">
        <v>2390</v>
      </c>
      <c r="F836" s="172" t="s">
        <v>2589</v>
      </c>
      <c r="G836" s="189" t="s">
        <v>2590</v>
      </c>
      <c r="H836" s="174" t="s">
        <v>24</v>
      </c>
      <c r="I836" s="180"/>
      <c r="J836" s="180"/>
    </row>
    <row r="837" spans="1:10" ht="120" customHeight="1">
      <c r="A837" s="382"/>
      <c r="B837" s="190" t="s">
        <v>2574</v>
      </c>
      <c r="C837" s="210" t="s">
        <v>2591</v>
      </c>
      <c r="D837" s="172" t="s">
        <v>2592</v>
      </c>
      <c r="E837" s="172" t="s">
        <v>2390</v>
      </c>
      <c r="F837" s="172" t="s">
        <v>2593</v>
      </c>
      <c r="G837" s="189" t="s">
        <v>2594</v>
      </c>
      <c r="H837" s="174" t="s">
        <v>24</v>
      </c>
      <c r="I837" s="180"/>
      <c r="J837" s="180"/>
    </row>
    <row r="838" spans="1:10" ht="120" customHeight="1">
      <c r="A838" s="382"/>
      <c r="B838" s="190" t="s">
        <v>2574</v>
      </c>
      <c r="C838" s="210" t="s">
        <v>2595</v>
      </c>
      <c r="D838" s="172" t="s">
        <v>2596</v>
      </c>
      <c r="E838" s="172" t="s">
        <v>2390</v>
      </c>
      <c r="F838" s="172" t="s">
        <v>2597</v>
      </c>
      <c r="G838" s="189" t="s">
        <v>2598</v>
      </c>
      <c r="H838" s="174" t="s">
        <v>24</v>
      </c>
      <c r="I838" s="180"/>
      <c r="J838" s="180"/>
    </row>
    <row r="839" spans="1:10" ht="120" customHeight="1">
      <c r="A839" s="382"/>
      <c r="B839" s="190" t="s">
        <v>2574</v>
      </c>
      <c r="C839" s="210" t="s">
        <v>2599</v>
      </c>
      <c r="D839" s="172" t="s">
        <v>2600</v>
      </c>
      <c r="E839" s="172" t="s">
        <v>2390</v>
      </c>
      <c r="F839" s="172" t="s">
        <v>2601</v>
      </c>
      <c r="G839" s="189" t="s">
        <v>2602</v>
      </c>
      <c r="H839" s="174" t="s">
        <v>41</v>
      </c>
      <c r="I839" s="180"/>
      <c r="J839" s="180"/>
    </row>
    <row r="840" spans="1:10" ht="120" customHeight="1">
      <c r="A840" s="382"/>
      <c r="B840" s="190" t="s">
        <v>2574</v>
      </c>
      <c r="C840" s="210" t="s">
        <v>2603</v>
      </c>
      <c r="D840" s="172" t="s">
        <v>2604</v>
      </c>
      <c r="E840" s="172" t="s">
        <v>2390</v>
      </c>
      <c r="F840" s="172" t="s">
        <v>2605</v>
      </c>
      <c r="G840" s="189" t="s">
        <v>2606</v>
      </c>
      <c r="H840" s="174" t="s">
        <v>41</v>
      </c>
      <c r="I840" s="180"/>
      <c r="J840" s="180"/>
    </row>
    <row r="841" spans="1:10" ht="120" customHeight="1">
      <c r="A841" s="382"/>
      <c r="B841" s="190" t="s">
        <v>2574</v>
      </c>
      <c r="C841" s="210" t="s">
        <v>2607</v>
      </c>
      <c r="D841" s="172" t="s">
        <v>2608</v>
      </c>
      <c r="E841" s="172" t="s">
        <v>2390</v>
      </c>
      <c r="F841" s="172" t="s">
        <v>2609</v>
      </c>
      <c r="G841" s="189" t="s">
        <v>2610</v>
      </c>
      <c r="H841" s="174" t="s">
        <v>41</v>
      </c>
      <c r="I841" s="180"/>
      <c r="J841" s="180"/>
    </row>
    <row r="842" spans="1:10" ht="120" customHeight="1">
      <c r="A842" s="382"/>
      <c r="B842" s="190" t="s">
        <v>2574</v>
      </c>
      <c r="C842" s="210" t="s">
        <v>2611</v>
      </c>
      <c r="D842" s="172" t="s">
        <v>2612</v>
      </c>
      <c r="E842" s="172" t="s">
        <v>2390</v>
      </c>
      <c r="F842" s="172" t="s">
        <v>2613</v>
      </c>
      <c r="G842" s="189" t="s">
        <v>2614</v>
      </c>
      <c r="H842" s="174" t="s">
        <v>36</v>
      </c>
      <c r="I842" s="180"/>
      <c r="J842" s="180"/>
    </row>
    <row r="843" spans="1:10" ht="120" customHeight="1">
      <c r="A843" s="382"/>
      <c r="B843" s="190" t="s">
        <v>2574</v>
      </c>
      <c r="C843" s="210" t="s">
        <v>2615</v>
      </c>
      <c r="D843" s="172" t="s">
        <v>2616</v>
      </c>
      <c r="E843" s="172" t="s">
        <v>2390</v>
      </c>
      <c r="F843" s="172" t="s">
        <v>2617</v>
      </c>
      <c r="G843" s="189" t="s">
        <v>2618</v>
      </c>
      <c r="H843" s="174" t="s">
        <v>36</v>
      </c>
      <c r="I843" s="180"/>
      <c r="J843" s="180"/>
    </row>
    <row r="844" spans="1:10" ht="120" customHeight="1">
      <c r="A844" s="382"/>
      <c r="B844" s="328" t="s">
        <v>2574</v>
      </c>
      <c r="C844" s="311" t="s">
        <v>2619</v>
      </c>
      <c r="D844" s="242" t="s">
        <v>2620</v>
      </c>
      <c r="E844" s="242" t="s">
        <v>2390</v>
      </c>
      <c r="F844" s="242" t="s">
        <v>2621</v>
      </c>
      <c r="G844" s="305" t="s">
        <v>2622</v>
      </c>
      <c r="H844" s="406" t="s">
        <v>36</v>
      </c>
      <c r="I844" s="180"/>
      <c r="J844" s="180"/>
    </row>
    <row r="845" spans="1:10" ht="120" customHeight="1">
      <c r="A845" s="380"/>
      <c r="B845" s="190" t="s">
        <v>2623</v>
      </c>
      <c r="C845" s="210" t="s">
        <v>2624</v>
      </c>
      <c r="D845" s="172" t="s">
        <v>12514</v>
      </c>
      <c r="E845" s="172" t="s">
        <v>2390</v>
      </c>
      <c r="F845" s="172" t="s">
        <v>12515</v>
      </c>
      <c r="G845" s="189" t="s">
        <v>12516</v>
      </c>
      <c r="H845" s="174" t="s">
        <v>30</v>
      </c>
      <c r="I845" s="326"/>
      <c r="J845" s="180"/>
    </row>
    <row r="846" spans="1:10" ht="120" customHeight="1">
      <c r="A846" s="380"/>
      <c r="B846" s="190" t="s">
        <v>2623</v>
      </c>
      <c r="C846" s="172" t="s">
        <v>11364</v>
      </c>
      <c r="D846" s="172" t="s">
        <v>12517</v>
      </c>
      <c r="E846" s="172" t="s">
        <v>2390</v>
      </c>
      <c r="F846" s="172" t="s">
        <v>12518</v>
      </c>
      <c r="G846" s="189" t="s">
        <v>12519</v>
      </c>
      <c r="H846" s="174" t="s">
        <v>117</v>
      </c>
      <c r="I846" s="326"/>
      <c r="J846" s="180"/>
    </row>
    <row r="847" spans="1:10" ht="120" customHeight="1">
      <c r="A847" s="379"/>
      <c r="B847" s="329" t="s">
        <v>2623</v>
      </c>
      <c r="C847" s="310" t="s">
        <v>2628</v>
      </c>
      <c r="D847" s="301" t="s">
        <v>2629</v>
      </c>
      <c r="E847" s="301" t="s">
        <v>2390</v>
      </c>
      <c r="F847" s="301" t="s">
        <v>2630</v>
      </c>
      <c r="G847" s="302" t="s">
        <v>2631</v>
      </c>
      <c r="H847" s="405" t="s">
        <v>41</v>
      </c>
      <c r="I847" s="180"/>
      <c r="J847" s="180"/>
    </row>
    <row r="848" spans="1:10" ht="120" customHeight="1">
      <c r="A848" s="382"/>
      <c r="B848" s="190" t="s">
        <v>2623</v>
      </c>
      <c r="C848" s="210" t="s">
        <v>2632</v>
      </c>
      <c r="D848" s="172" t="s">
        <v>2633</v>
      </c>
      <c r="E848" s="172" t="s">
        <v>2390</v>
      </c>
      <c r="F848" s="172" t="s">
        <v>2634</v>
      </c>
      <c r="G848" s="189" t="s">
        <v>2635</v>
      </c>
      <c r="H848" s="174" t="s">
        <v>24</v>
      </c>
      <c r="I848" s="180"/>
      <c r="J848" s="180"/>
    </row>
    <row r="849" spans="1:10" ht="120" customHeight="1">
      <c r="A849" s="382"/>
      <c r="B849" s="190" t="s">
        <v>2623</v>
      </c>
      <c r="C849" s="210" t="s">
        <v>2636</v>
      </c>
      <c r="D849" s="172" t="s">
        <v>11365</v>
      </c>
      <c r="E849" s="172" t="s">
        <v>2390</v>
      </c>
      <c r="F849" s="172" t="s">
        <v>2638</v>
      </c>
      <c r="G849" s="189" t="s">
        <v>11366</v>
      </c>
      <c r="H849" s="174" t="s">
        <v>62</v>
      </c>
      <c r="I849" s="180"/>
      <c r="J849" s="180"/>
    </row>
    <row r="850" spans="1:10" ht="120" customHeight="1">
      <c r="A850" s="382"/>
      <c r="B850" s="190" t="s">
        <v>2623</v>
      </c>
      <c r="C850" s="210" t="s">
        <v>2640</v>
      </c>
      <c r="D850" s="172" t="s">
        <v>2641</v>
      </c>
      <c r="E850" s="172" t="s">
        <v>2390</v>
      </c>
      <c r="F850" s="172" t="s">
        <v>2642</v>
      </c>
      <c r="G850" s="189" t="s">
        <v>11367</v>
      </c>
      <c r="H850" s="174" t="s">
        <v>36</v>
      </c>
      <c r="I850" s="180"/>
      <c r="J850" s="180"/>
    </row>
    <row r="851" spans="1:10" ht="120" customHeight="1">
      <c r="A851" s="382"/>
      <c r="B851" s="190" t="s">
        <v>2644</v>
      </c>
      <c r="C851" s="210" t="s">
        <v>2645</v>
      </c>
      <c r="D851" s="172" t="s">
        <v>2646</v>
      </c>
      <c r="E851" s="172" t="s">
        <v>2390</v>
      </c>
      <c r="F851" s="172" t="s">
        <v>2647</v>
      </c>
      <c r="G851" s="189" t="s">
        <v>2648</v>
      </c>
      <c r="H851" s="174" t="s">
        <v>41</v>
      </c>
      <c r="I851" s="180"/>
      <c r="J851" s="180"/>
    </row>
    <row r="852" spans="1:10" ht="120" customHeight="1">
      <c r="A852" s="382"/>
      <c r="B852" s="190" t="s">
        <v>2644</v>
      </c>
      <c r="C852" s="210" t="s">
        <v>2649</v>
      </c>
      <c r="D852" s="172" t="s">
        <v>2650</v>
      </c>
      <c r="E852" s="172" t="s">
        <v>2390</v>
      </c>
      <c r="F852" s="172" t="s">
        <v>2651</v>
      </c>
      <c r="G852" s="189" t="s">
        <v>2652</v>
      </c>
      <c r="H852" s="174" t="s">
        <v>24</v>
      </c>
      <c r="I852" s="180"/>
      <c r="J852" s="180"/>
    </row>
    <row r="853" spans="1:10" ht="120" customHeight="1">
      <c r="A853" s="382"/>
      <c r="B853" s="190" t="s">
        <v>2644</v>
      </c>
      <c r="C853" s="210" t="s">
        <v>2653</v>
      </c>
      <c r="D853" s="172" t="s">
        <v>2654</v>
      </c>
      <c r="E853" s="172" t="s">
        <v>2390</v>
      </c>
      <c r="F853" s="172" t="s">
        <v>2655</v>
      </c>
      <c r="G853" s="189" t="s">
        <v>2656</v>
      </c>
      <c r="H853" s="174" t="s">
        <v>24</v>
      </c>
      <c r="I853" s="180"/>
      <c r="J853" s="180"/>
    </row>
    <row r="854" spans="1:10" ht="120" customHeight="1">
      <c r="A854" s="382"/>
      <c r="B854" s="190" t="s">
        <v>2644</v>
      </c>
      <c r="C854" s="210" t="s">
        <v>2657</v>
      </c>
      <c r="D854" s="172" t="s">
        <v>2658</v>
      </c>
      <c r="E854" s="172" t="s">
        <v>2390</v>
      </c>
      <c r="F854" s="172" t="s">
        <v>2659</v>
      </c>
      <c r="G854" s="189" t="s">
        <v>2660</v>
      </c>
      <c r="H854" s="174" t="s">
        <v>24</v>
      </c>
      <c r="I854" s="180"/>
      <c r="J854" s="180"/>
    </row>
    <row r="855" spans="1:10" ht="120" customHeight="1">
      <c r="A855" s="382"/>
      <c r="B855" s="190" t="s">
        <v>2644</v>
      </c>
      <c r="C855" s="210" t="s">
        <v>2661</v>
      </c>
      <c r="D855" s="172" t="s">
        <v>2662</v>
      </c>
      <c r="E855" s="172" t="s">
        <v>2390</v>
      </c>
      <c r="F855" s="172" t="s">
        <v>2663</v>
      </c>
      <c r="G855" s="189" t="s">
        <v>2664</v>
      </c>
      <c r="H855" s="174" t="s">
        <v>24</v>
      </c>
      <c r="I855" s="180"/>
      <c r="J855" s="180"/>
    </row>
    <row r="856" spans="1:10" ht="120" customHeight="1">
      <c r="A856" s="382"/>
      <c r="B856" s="190" t="s">
        <v>2665</v>
      </c>
      <c r="C856" s="210" t="s">
        <v>2666</v>
      </c>
      <c r="D856" s="172" t="s">
        <v>2667</v>
      </c>
      <c r="E856" s="172" t="s">
        <v>2390</v>
      </c>
      <c r="F856" s="172" t="s">
        <v>2668</v>
      </c>
      <c r="G856" s="189" t="s">
        <v>2669</v>
      </c>
      <c r="H856" s="174" t="s">
        <v>24</v>
      </c>
      <c r="I856" s="180"/>
      <c r="J856" s="180"/>
    </row>
    <row r="857" spans="1:10" ht="120" customHeight="1">
      <c r="A857" s="382"/>
      <c r="B857" s="190" t="s">
        <v>2665</v>
      </c>
      <c r="C857" s="210" t="s">
        <v>2670</v>
      </c>
      <c r="D857" s="172" t="s">
        <v>2671</v>
      </c>
      <c r="E857" s="172" t="s">
        <v>2390</v>
      </c>
      <c r="F857" s="172" t="s">
        <v>2672</v>
      </c>
      <c r="G857" s="189" t="s">
        <v>2673</v>
      </c>
      <c r="H857" s="174" t="s">
        <v>86</v>
      </c>
      <c r="I857" s="180"/>
      <c r="J857" s="180"/>
    </row>
    <row r="858" spans="1:10" ht="120" customHeight="1">
      <c r="A858" s="382"/>
      <c r="B858" s="190" t="s">
        <v>2665</v>
      </c>
      <c r="C858" s="210" t="s">
        <v>2674</v>
      </c>
      <c r="D858" s="172" t="s">
        <v>2675</v>
      </c>
      <c r="E858" s="172" t="s">
        <v>2390</v>
      </c>
      <c r="F858" s="172" t="s">
        <v>2676</v>
      </c>
      <c r="G858" s="189" t="s">
        <v>2677</v>
      </c>
      <c r="H858" s="174" t="s">
        <v>41</v>
      </c>
      <c r="I858" s="180"/>
      <c r="J858" s="180"/>
    </row>
    <row r="859" spans="1:10" ht="120" customHeight="1">
      <c r="A859" s="382" t="s">
        <v>2678</v>
      </c>
      <c r="B859" s="191" t="s">
        <v>2679</v>
      </c>
      <c r="C859" s="172" t="s">
        <v>2680</v>
      </c>
      <c r="D859" s="172" t="s">
        <v>2681</v>
      </c>
      <c r="E859" s="172" t="s">
        <v>23</v>
      </c>
      <c r="F859" s="172" t="s">
        <v>11368</v>
      </c>
      <c r="G859" s="189" t="s">
        <v>11369</v>
      </c>
      <c r="H859" s="174" t="s">
        <v>2295</v>
      </c>
      <c r="I859" s="180"/>
      <c r="J859" s="180"/>
    </row>
    <row r="860" spans="1:10" ht="120" customHeight="1">
      <c r="A860" s="382"/>
      <c r="B860" s="191" t="s">
        <v>2679</v>
      </c>
      <c r="C860" s="172" t="s">
        <v>2683</v>
      </c>
      <c r="D860" s="172" t="s">
        <v>2684</v>
      </c>
      <c r="E860" s="172" t="s">
        <v>23</v>
      </c>
      <c r="F860" s="172" t="s">
        <v>2685</v>
      </c>
      <c r="G860" s="189" t="s">
        <v>2686</v>
      </c>
      <c r="H860" s="174" t="s">
        <v>2196</v>
      </c>
      <c r="I860" s="180"/>
      <c r="J860" s="180"/>
    </row>
    <row r="861" spans="1:10" ht="120" customHeight="1">
      <c r="A861" s="382"/>
      <c r="B861" s="191" t="s">
        <v>2679</v>
      </c>
      <c r="C861" s="172" t="s">
        <v>2687</v>
      </c>
      <c r="D861" s="172" t="s">
        <v>2688</v>
      </c>
      <c r="E861" s="172" t="s">
        <v>23</v>
      </c>
      <c r="F861" s="172" t="s">
        <v>2689</v>
      </c>
      <c r="G861" s="189" t="s">
        <v>11370</v>
      </c>
      <c r="H861" s="174" t="s">
        <v>41</v>
      </c>
      <c r="I861" s="180"/>
      <c r="J861" s="180"/>
    </row>
    <row r="862" spans="1:10" ht="120" customHeight="1">
      <c r="A862" s="382"/>
      <c r="B862" s="191" t="s">
        <v>2679</v>
      </c>
      <c r="C862" s="172" t="s">
        <v>2691</v>
      </c>
      <c r="D862" s="172" t="s">
        <v>2692</v>
      </c>
      <c r="E862" s="172" t="s">
        <v>23</v>
      </c>
      <c r="F862" s="172" t="s">
        <v>2693</v>
      </c>
      <c r="G862" s="189" t="s">
        <v>11371</v>
      </c>
      <c r="H862" s="174" t="s">
        <v>41</v>
      </c>
      <c r="I862" s="180"/>
      <c r="J862" s="180"/>
    </row>
    <row r="863" spans="1:10" ht="120" customHeight="1">
      <c r="A863" s="382"/>
      <c r="B863" s="191" t="s">
        <v>2679</v>
      </c>
      <c r="C863" s="172" t="s">
        <v>2695</v>
      </c>
      <c r="D863" s="172" t="s">
        <v>2696</v>
      </c>
      <c r="E863" s="172" t="s">
        <v>23</v>
      </c>
      <c r="F863" s="172" t="s">
        <v>2697</v>
      </c>
      <c r="G863" s="189" t="s">
        <v>2698</v>
      </c>
      <c r="H863" s="174" t="s">
        <v>24</v>
      </c>
      <c r="I863" s="180"/>
      <c r="J863" s="180"/>
    </row>
    <row r="864" spans="1:10" ht="120" customHeight="1">
      <c r="A864" s="382"/>
      <c r="B864" s="191" t="s">
        <v>2679</v>
      </c>
      <c r="C864" s="172" t="s">
        <v>2699</v>
      </c>
      <c r="D864" s="172" t="s">
        <v>2700</v>
      </c>
      <c r="E864" s="172" t="s">
        <v>23</v>
      </c>
      <c r="F864" s="172" t="s">
        <v>2701</v>
      </c>
      <c r="G864" s="189" t="s">
        <v>2702</v>
      </c>
      <c r="H864" s="174" t="s">
        <v>24</v>
      </c>
      <c r="I864" s="180"/>
      <c r="J864" s="180"/>
    </row>
    <row r="865" spans="1:10" ht="120" customHeight="1">
      <c r="A865" s="382"/>
      <c r="B865" s="191" t="s">
        <v>2679</v>
      </c>
      <c r="C865" s="172" t="s">
        <v>2703</v>
      </c>
      <c r="D865" s="177" t="s">
        <v>2704</v>
      </c>
      <c r="E865" s="172" t="s">
        <v>23</v>
      </c>
      <c r="F865" s="172" t="s">
        <v>11372</v>
      </c>
      <c r="G865" s="189" t="s">
        <v>2705</v>
      </c>
      <c r="H865" s="174" t="s">
        <v>24</v>
      </c>
      <c r="I865" s="180"/>
      <c r="J865" s="180"/>
    </row>
    <row r="866" spans="1:10" ht="120" customHeight="1">
      <c r="A866" s="382"/>
      <c r="B866" s="191" t="s">
        <v>2679</v>
      </c>
      <c r="C866" s="172" t="s">
        <v>2706</v>
      </c>
      <c r="D866" s="177" t="s">
        <v>2707</v>
      </c>
      <c r="E866" s="172" t="s">
        <v>23</v>
      </c>
      <c r="F866" s="172" t="s">
        <v>2708</v>
      </c>
      <c r="G866" s="189" t="s">
        <v>2709</v>
      </c>
      <c r="H866" s="174" t="s">
        <v>24</v>
      </c>
      <c r="I866" s="180"/>
      <c r="J866" s="180"/>
    </row>
    <row r="867" spans="1:10" ht="120" customHeight="1">
      <c r="A867" s="382"/>
      <c r="B867" s="191" t="s">
        <v>2679</v>
      </c>
      <c r="C867" s="172" t="s">
        <v>2710</v>
      </c>
      <c r="D867" s="172" t="s">
        <v>2711</v>
      </c>
      <c r="E867" s="172" t="s">
        <v>2712</v>
      </c>
      <c r="F867" s="172" t="s">
        <v>11373</v>
      </c>
      <c r="G867" s="189" t="s">
        <v>11374</v>
      </c>
      <c r="H867" s="174" t="s">
        <v>2295</v>
      </c>
      <c r="I867" s="180"/>
      <c r="J867" s="180"/>
    </row>
    <row r="868" spans="1:10" ht="120" customHeight="1">
      <c r="A868" s="382"/>
      <c r="B868" s="191" t="s">
        <v>2679</v>
      </c>
      <c r="C868" s="172" t="s">
        <v>2714</v>
      </c>
      <c r="D868" s="172" t="s">
        <v>2715</v>
      </c>
      <c r="E868" s="172" t="s">
        <v>23</v>
      </c>
      <c r="F868" s="172" t="s">
        <v>11375</v>
      </c>
      <c r="G868" s="189" t="s">
        <v>11376</v>
      </c>
      <c r="H868" s="174" t="s">
        <v>2196</v>
      </c>
      <c r="I868" s="180"/>
      <c r="J868" s="180"/>
    </row>
    <row r="869" spans="1:10" ht="120" customHeight="1">
      <c r="A869" s="382"/>
      <c r="B869" s="191" t="s">
        <v>2679</v>
      </c>
      <c r="C869" s="172" t="s">
        <v>2718</v>
      </c>
      <c r="D869" s="172" t="s">
        <v>2719</v>
      </c>
      <c r="E869" s="172" t="s">
        <v>23</v>
      </c>
      <c r="F869" s="172" t="s">
        <v>2720</v>
      </c>
      <c r="G869" s="189" t="s">
        <v>2721</v>
      </c>
      <c r="H869" s="174" t="s">
        <v>41</v>
      </c>
      <c r="I869" s="180"/>
      <c r="J869" s="180"/>
    </row>
    <row r="870" spans="1:10" ht="120" customHeight="1">
      <c r="A870" s="382"/>
      <c r="B870" s="191" t="s">
        <v>2679</v>
      </c>
      <c r="C870" s="172" t="s">
        <v>2722</v>
      </c>
      <c r="D870" s="172" t="s">
        <v>2723</v>
      </c>
      <c r="E870" s="172" t="s">
        <v>23</v>
      </c>
      <c r="F870" s="172" t="s">
        <v>2724</v>
      </c>
      <c r="G870" s="189" t="s">
        <v>2725</v>
      </c>
      <c r="H870" s="174" t="s">
        <v>41</v>
      </c>
      <c r="I870" s="180"/>
      <c r="J870" s="180"/>
    </row>
    <row r="871" spans="1:10" ht="120" customHeight="1">
      <c r="A871" s="382"/>
      <c r="B871" s="191" t="s">
        <v>2679</v>
      </c>
      <c r="C871" s="172" t="s">
        <v>2726</v>
      </c>
      <c r="D871" s="172" t="s">
        <v>2727</v>
      </c>
      <c r="E871" s="172" t="s">
        <v>23</v>
      </c>
      <c r="F871" s="172" t="s">
        <v>2728</v>
      </c>
      <c r="G871" s="189" t="s">
        <v>11377</v>
      </c>
      <c r="H871" s="174" t="s">
        <v>24</v>
      </c>
      <c r="I871" s="180"/>
      <c r="J871" s="180"/>
    </row>
    <row r="872" spans="1:10" ht="120" customHeight="1">
      <c r="A872" s="382"/>
      <c r="B872" s="191" t="s">
        <v>2679</v>
      </c>
      <c r="C872" s="172" t="s">
        <v>2730</v>
      </c>
      <c r="D872" s="172" t="s">
        <v>2731</v>
      </c>
      <c r="E872" s="172" t="s">
        <v>23</v>
      </c>
      <c r="F872" s="172" t="s">
        <v>2732</v>
      </c>
      <c r="G872" s="189" t="s">
        <v>2733</v>
      </c>
      <c r="H872" s="174" t="s">
        <v>24</v>
      </c>
      <c r="I872" s="180"/>
      <c r="J872" s="180"/>
    </row>
    <row r="873" spans="1:10" ht="120" customHeight="1">
      <c r="A873" s="382"/>
      <c r="B873" s="191" t="s">
        <v>2679</v>
      </c>
      <c r="C873" s="172" t="s">
        <v>2734</v>
      </c>
      <c r="D873" s="177" t="s">
        <v>11378</v>
      </c>
      <c r="E873" s="172" t="s">
        <v>23</v>
      </c>
      <c r="F873" s="172" t="s">
        <v>11379</v>
      </c>
      <c r="G873" s="189" t="s">
        <v>11380</v>
      </c>
      <c r="H873" s="174" t="s">
        <v>24</v>
      </c>
      <c r="I873" s="180"/>
      <c r="J873" s="180"/>
    </row>
    <row r="874" spans="1:10" ht="120" customHeight="1">
      <c r="A874" s="382"/>
      <c r="B874" s="191" t="s">
        <v>2679</v>
      </c>
      <c r="C874" s="172" t="s">
        <v>2735</v>
      </c>
      <c r="D874" s="177" t="s">
        <v>2736</v>
      </c>
      <c r="E874" s="172" t="s">
        <v>23</v>
      </c>
      <c r="F874" s="172" t="s">
        <v>11381</v>
      </c>
      <c r="G874" s="189" t="s">
        <v>11382</v>
      </c>
      <c r="H874" s="174" t="s">
        <v>24</v>
      </c>
      <c r="I874" s="180"/>
      <c r="J874" s="180"/>
    </row>
    <row r="875" spans="1:10" ht="120" customHeight="1">
      <c r="A875" s="382"/>
      <c r="B875" s="191" t="s">
        <v>2679</v>
      </c>
      <c r="C875" s="172" t="s">
        <v>11383</v>
      </c>
      <c r="D875" s="172" t="s">
        <v>11384</v>
      </c>
      <c r="E875" s="172" t="s">
        <v>23</v>
      </c>
      <c r="F875" s="172" t="s">
        <v>12520</v>
      </c>
      <c r="G875" s="189" t="s">
        <v>12521</v>
      </c>
      <c r="H875" s="174" t="s">
        <v>2196</v>
      </c>
      <c r="I875" s="180"/>
      <c r="J875" s="180"/>
    </row>
    <row r="876" spans="1:10" ht="120" customHeight="1">
      <c r="A876" s="382"/>
      <c r="B876" s="191" t="s">
        <v>2679</v>
      </c>
      <c r="C876" s="172" t="s">
        <v>2741</v>
      </c>
      <c r="D876" s="172" t="s">
        <v>2742</v>
      </c>
      <c r="E876" s="172" t="s">
        <v>23</v>
      </c>
      <c r="F876" s="172" t="s">
        <v>2743</v>
      </c>
      <c r="G876" s="189" t="s">
        <v>2744</v>
      </c>
      <c r="H876" s="174" t="s">
        <v>24</v>
      </c>
      <c r="I876" s="180"/>
      <c r="J876" s="180"/>
    </row>
    <row r="877" spans="1:10" ht="120" customHeight="1">
      <c r="A877" s="382"/>
      <c r="B877" s="191" t="s">
        <v>2679</v>
      </c>
      <c r="C877" s="172" t="s">
        <v>2745</v>
      </c>
      <c r="D877" s="172" t="s">
        <v>2746</v>
      </c>
      <c r="E877" s="172" t="s">
        <v>23</v>
      </c>
      <c r="F877" s="172" t="s">
        <v>2747</v>
      </c>
      <c r="G877" s="189" t="s">
        <v>2748</v>
      </c>
      <c r="H877" s="174" t="s">
        <v>41</v>
      </c>
      <c r="I877" s="180"/>
      <c r="J877" s="180"/>
    </row>
    <row r="878" spans="1:10" ht="120" customHeight="1">
      <c r="A878" s="382"/>
      <c r="B878" s="191" t="s">
        <v>2679</v>
      </c>
      <c r="C878" s="172" t="s">
        <v>2749</v>
      </c>
      <c r="D878" s="172" t="s">
        <v>2750</v>
      </c>
      <c r="E878" s="172" t="s">
        <v>23</v>
      </c>
      <c r="F878" s="172" t="s">
        <v>2751</v>
      </c>
      <c r="G878" s="189" t="s">
        <v>11385</v>
      </c>
      <c r="H878" s="174" t="s">
        <v>41</v>
      </c>
      <c r="I878" s="180"/>
      <c r="J878" s="180"/>
    </row>
    <row r="879" spans="1:10" ht="120" customHeight="1">
      <c r="A879" s="382"/>
      <c r="B879" s="191" t="s">
        <v>2679</v>
      </c>
      <c r="C879" s="172" t="s">
        <v>2752</v>
      </c>
      <c r="D879" s="172" t="s">
        <v>2753</v>
      </c>
      <c r="E879" s="172" t="s">
        <v>23</v>
      </c>
      <c r="F879" s="172" t="s">
        <v>2754</v>
      </c>
      <c r="G879" s="189" t="s">
        <v>2755</v>
      </c>
      <c r="H879" s="174" t="s">
        <v>41</v>
      </c>
      <c r="I879" s="180"/>
      <c r="J879" s="180"/>
    </row>
    <row r="880" spans="1:10" ht="120" customHeight="1">
      <c r="A880" s="382"/>
      <c r="B880" s="191" t="s">
        <v>2679</v>
      </c>
      <c r="C880" s="172" t="s">
        <v>2756</v>
      </c>
      <c r="D880" s="172" t="s">
        <v>2757</v>
      </c>
      <c r="E880" s="172" t="s">
        <v>23</v>
      </c>
      <c r="F880" s="172" t="s">
        <v>12522</v>
      </c>
      <c r="G880" s="189" t="s">
        <v>12523</v>
      </c>
      <c r="H880" s="174" t="s">
        <v>36</v>
      </c>
      <c r="I880" s="180"/>
      <c r="J880" s="180"/>
    </row>
    <row r="881" spans="1:10" ht="120" customHeight="1">
      <c r="A881" s="382"/>
      <c r="B881" s="191" t="s">
        <v>2679</v>
      </c>
      <c r="C881" s="172" t="s">
        <v>2759</v>
      </c>
      <c r="D881" s="172" t="s">
        <v>2760</v>
      </c>
      <c r="E881" s="172" t="s">
        <v>23</v>
      </c>
      <c r="F881" s="172" t="s">
        <v>2761</v>
      </c>
      <c r="G881" s="189" t="s">
        <v>2762</v>
      </c>
      <c r="H881" s="174" t="s">
        <v>24</v>
      </c>
      <c r="I881" s="180"/>
      <c r="J881" s="180"/>
    </row>
    <row r="882" spans="1:10" ht="120" customHeight="1">
      <c r="A882" s="382"/>
      <c r="B882" s="191" t="s">
        <v>2679</v>
      </c>
      <c r="C882" s="172" t="s">
        <v>2763</v>
      </c>
      <c r="D882" s="172" t="s">
        <v>11386</v>
      </c>
      <c r="E882" s="172" t="s">
        <v>23</v>
      </c>
      <c r="F882" s="172" t="s">
        <v>12524</v>
      </c>
      <c r="G882" s="189" t="s">
        <v>12525</v>
      </c>
      <c r="H882" s="174" t="s">
        <v>41</v>
      </c>
      <c r="I882" s="180"/>
      <c r="J882" s="180"/>
    </row>
    <row r="883" spans="1:10" ht="120" customHeight="1">
      <c r="A883" s="382"/>
      <c r="B883" s="191" t="s">
        <v>2679</v>
      </c>
      <c r="C883" s="172" t="s">
        <v>2766</v>
      </c>
      <c r="D883" s="172" t="s">
        <v>11387</v>
      </c>
      <c r="E883" s="172" t="s">
        <v>23</v>
      </c>
      <c r="F883" s="189" t="s">
        <v>11388</v>
      </c>
      <c r="G883" s="189" t="s">
        <v>11389</v>
      </c>
      <c r="H883" s="174" t="s">
        <v>117</v>
      </c>
      <c r="I883" s="180"/>
      <c r="J883" s="180"/>
    </row>
    <row r="884" spans="1:10" ht="120" customHeight="1">
      <c r="A884" s="382"/>
      <c r="B884" s="191" t="s">
        <v>2679</v>
      </c>
      <c r="C884" s="172" t="s">
        <v>2769</v>
      </c>
      <c r="D884" s="172" t="s">
        <v>2770</v>
      </c>
      <c r="E884" s="172" t="s">
        <v>23</v>
      </c>
      <c r="F884" s="172" t="s">
        <v>2771</v>
      </c>
      <c r="G884" s="209" t="s">
        <v>2772</v>
      </c>
      <c r="H884" s="174" t="s">
        <v>36</v>
      </c>
      <c r="I884" s="180"/>
      <c r="J884" s="180"/>
    </row>
    <row r="885" spans="1:10" ht="120" customHeight="1">
      <c r="A885" s="382"/>
      <c r="B885" s="191" t="s">
        <v>2679</v>
      </c>
      <c r="C885" s="172" t="s">
        <v>2773</v>
      </c>
      <c r="D885" s="172" t="s">
        <v>2774</v>
      </c>
      <c r="E885" s="172" t="s">
        <v>23</v>
      </c>
      <c r="F885" s="172" t="s">
        <v>12526</v>
      </c>
      <c r="G885" s="189" t="s">
        <v>12527</v>
      </c>
      <c r="H885" s="174" t="s">
        <v>24</v>
      </c>
      <c r="I885" s="180"/>
      <c r="J885" s="180"/>
    </row>
    <row r="886" spans="1:10" ht="120" customHeight="1">
      <c r="A886" s="382"/>
      <c r="B886" s="191" t="s">
        <v>2679</v>
      </c>
      <c r="C886" s="172" t="s">
        <v>2776</v>
      </c>
      <c r="D886" s="177" t="s">
        <v>2777</v>
      </c>
      <c r="E886" s="172" t="s">
        <v>23</v>
      </c>
      <c r="F886" s="172" t="s">
        <v>12528</v>
      </c>
      <c r="G886" s="189" t="s">
        <v>12529</v>
      </c>
      <c r="H886" s="174" t="s">
        <v>41</v>
      </c>
      <c r="I886" s="180"/>
      <c r="J886" s="180"/>
    </row>
    <row r="887" spans="1:10" ht="120" customHeight="1">
      <c r="A887" s="382"/>
      <c r="B887" s="191" t="s">
        <v>2679</v>
      </c>
      <c r="C887" s="172" t="s">
        <v>2778</v>
      </c>
      <c r="D887" s="177" t="s">
        <v>2779</v>
      </c>
      <c r="E887" s="172" t="s">
        <v>23</v>
      </c>
      <c r="F887" s="172" t="s">
        <v>2780</v>
      </c>
      <c r="G887" s="209" t="s">
        <v>2781</v>
      </c>
      <c r="H887" s="174" t="s">
        <v>36</v>
      </c>
      <c r="I887" s="180"/>
      <c r="J887" s="180"/>
    </row>
    <row r="888" spans="1:10" ht="120" customHeight="1">
      <c r="A888" s="382"/>
      <c r="B888" s="191" t="s">
        <v>2679</v>
      </c>
      <c r="C888" s="172" t="s">
        <v>2782</v>
      </c>
      <c r="D888" s="177" t="s">
        <v>2783</v>
      </c>
      <c r="E888" s="172" t="s">
        <v>23</v>
      </c>
      <c r="F888" s="172" t="s">
        <v>11390</v>
      </c>
      <c r="G888" s="189" t="s">
        <v>2784</v>
      </c>
      <c r="H888" s="174" t="s">
        <v>24</v>
      </c>
      <c r="I888" s="180"/>
      <c r="J888" s="180"/>
    </row>
    <row r="889" spans="1:10" ht="120" customHeight="1">
      <c r="A889" s="382"/>
      <c r="B889" s="191" t="s">
        <v>2679</v>
      </c>
      <c r="C889" s="172" t="s">
        <v>2785</v>
      </c>
      <c r="D889" s="177" t="s">
        <v>11391</v>
      </c>
      <c r="E889" s="172" t="s">
        <v>23</v>
      </c>
      <c r="F889" s="172" t="s">
        <v>11392</v>
      </c>
      <c r="G889" s="189" t="s">
        <v>2787</v>
      </c>
      <c r="H889" s="174" t="s">
        <v>24</v>
      </c>
      <c r="I889" s="180"/>
      <c r="J889" s="180"/>
    </row>
    <row r="890" spans="1:10" ht="120" customHeight="1">
      <c r="A890" s="382"/>
      <c r="B890" s="191" t="s">
        <v>2679</v>
      </c>
      <c r="C890" s="172" t="s">
        <v>2788</v>
      </c>
      <c r="D890" s="172" t="s">
        <v>11393</v>
      </c>
      <c r="E890" s="172" t="s">
        <v>23</v>
      </c>
      <c r="F890" s="172" t="s">
        <v>2790</v>
      </c>
      <c r="G890" s="189" t="s">
        <v>11394</v>
      </c>
      <c r="H890" s="174" t="s">
        <v>2220</v>
      </c>
      <c r="I890" s="180"/>
      <c r="J890" s="180"/>
    </row>
    <row r="891" spans="1:10" ht="120" customHeight="1">
      <c r="A891" s="382"/>
      <c r="B891" s="191" t="s">
        <v>2679</v>
      </c>
      <c r="C891" s="172" t="s">
        <v>2791</v>
      </c>
      <c r="D891" s="172" t="s">
        <v>11395</v>
      </c>
      <c r="E891" s="172" t="s">
        <v>23</v>
      </c>
      <c r="F891" s="172" t="s">
        <v>2793</v>
      </c>
      <c r="G891" s="189" t="s">
        <v>2794</v>
      </c>
      <c r="H891" s="174" t="s">
        <v>36</v>
      </c>
      <c r="I891" s="180"/>
      <c r="J891" s="180"/>
    </row>
    <row r="892" spans="1:10" ht="120" customHeight="1">
      <c r="A892" s="382"/>
      <c r="B892" s="191" t="s">
        <v>2679</v>
      </c>
      <c r="C892" s="172" t="s">
        <v>2795</v>
      </c>
      <c r="D892" s="172" t="s">
        <v>2796</v>
      </c>
      <c r="E892" s="172" t="s">
        <v>23</v>
      </c>
      <c r="F892" s="172" t="s">
        <v>11396</v>
      </c>
      <c r="G892" s="189" t="s">
        <v>11397</v>
      </c>
      <c r="H892" s="174" t="s">
        <v>62</v>
      </c>
      <c r="I892" s="180"/>
      <c r="J892" s="180"/>
    </row>
    <row r="893" spans="1:10" ht="120" customHeight="1">
      <c r="A893" s="382"/>
      <c r="B893" s="191" t="s">
        <v>2679</v>
      </c>
      <c r="C893" s="210" t="s">
        <v>2799</v>
      </c>
      <c r="D893" s="177" t="s">
        <v>2800</v>
      </c>
      <c r="E893" s="172" t="s">
        <v>23</v>
      </c>
      <c r="F893" s="172" t="s">
        <v>11398</v>
      </c>
      <c r="G893" s="189" t="s">
        <v>2801</v>
      </c>
      <c r="H893" s="174" t="s">
        <v>36</v>
      </c>
      <c r="I893" s="180"/>
      <c r="J893" s="180"/>
    </row>
    <row r="894" spans="1:10" ht="120" customHeight="1">
      <c r="A894" s="382"/>
      <c r="B894" s="191" t="s">
        <v>2679</v>
      </c>
      <c r="C894" s="172" t="s">
        <v>2802</v>
      </c>
      <c r="D894" s="177" t="s">
        <v>11399</v>
      </c>
      <c r="E894" s="172" t="s">
        <v>2804</v>
      </c>
      <c r="F894" s="172" t="s">
        <v>2805</v>
      </c>
      <c r="G894" s="189" t="s">
        <v>2806</v>
      </c>
      <c r="H894" s="174" t="s">
        <v>36</v>
      </c>
      <c r="I894" s="180"/>
      <c r="J894" s="180"/>
    </row>
    <row r="895" spans="1:10" ht="120" customHeight="1">
      <c r="A895" s="382"/>
      <c r="B895" s="191" t="s">
        <v>2679</v>
      </c>
      <c r="C895" s="172" t="s">
        <v>2807</v>
      </c>
      <c r="D895" s="177" t="s">
        <v>2808</v>
      </c>
      <c r="E895" s="172" t="s">
        <v>2804</v>
      </c>
      <c r="F895" s="172" t="s">
        <v>2809</v>
      </c>
      <c r="G895" s="189" t="s">
        <v>2810</v>
      </c>
      <c r="H895" s="174" t="s">
        <v>36</v>
      </c>
      <c r="I895" s="180"/>
      <c r="J895" s="180"/>
    </row>
    <row r="896" spans="1:10" ht="120" customHeight="1">
      <c r="A896" s="382"/>
      <c r="B896" s="191" t="s">
        <v>2679</v>
      </c>
      <c r="C896" s="172" t="s">
        <v>11400</v>
      </c>
      <c r="D896" s="177" t="s">
        <v>11401</v>
      </c>
      <c r="E896" s="172" t="s">
        <v>11402</v>
      </c>
      <c r="F896" s="172" t="s">
        <v>11403</v>
      </c>
      <c r="G896" s="189" t="s">
        <v>12530</v>
      </c>
      <c r="H896" s="174" t="s">
        <v>36</v>
      </c>
      <c r="I896" s="180"/>
      <c r="J896" s="180"/>
    </row>
    <row r="897" spans="1:10" ht="120" customHeight="1">
      <c r="A897" s="382"/>
      <c r="B897" s="191" t="s">
        <v>11404</v>
      </c>
      <c r="C897" s="172" t="s">
        <v>11405</v>
      </c>
      <c r="D897" s="177" t="s">
        <v>2811</v>
      </c>
      <c r="E897" s="172" t="s">
        <v>23</v>
      </c>
      <c r="F897" s="172" t="s">
        <v>11406</v>
      </c>
      <c r="G897" s="209" t="s">
        <v>11407</v>
      </c>
      <c r="H897" s="174" t="s">
        <v>36</v>
      </c>
      <c r="I897" s="180"/>
      <c r="J897" s="180"/>
    </row>
    <row r="898" spans="1:10" ht="120" customHeight="1">
      <c r="A898" s="382"/>
      <c r="B898" s="325" t="s">
        <v>2679</v>
      </c>
      <c r="C898" s="242" t="s">
        <v>2813</v>
      </c>
      <c r="D898" s="304" t="s">
        <v>2814</v>
      </c>
      <c r="E898" s="242" t="s">
        <v>23</v>
      </c>
      <c r="F898" s="242" t="s">
        <v>2815</v>
      </c>
      <c r="G898" s="305" t="s">
        <v>2812</v>
      </c>
      <c r="H898" s="406" t="s">
        <v>36</v>
      </c>
      <c r="I898" s="180"/>
      <c r="J898" s="180"/>
    </row>
    <row r="899" spans="1:10" ht="120" customHeight="1">
      <c r="A899" s="380"/>
      <c r="B899" s="191" t="s">
        <v>2679</v>
      </c>
      <c r="C899" s="172" t="s">
        <v>11408</v>
      </c>
      <c r="D899" s="177" t="s">
        <v>11409</v>
      </c>
      <c r="E899" s="172" t="s">
        <v>10791</v>
      </c>
      <c r="F899" s="172" t="s">
        <v>11410</v>
      </c>
      <c r="G899" s="189" t="s">
        <v>11411</v>
      </c>
      <c r="H899" s="174" t="s">
        <v>929</v>
      </c>
      <c r="I899" s="326"/>
      <c r="J899" s="180"/>
    </row>
    <row r="900" spans="1:10" ht="120" customHeight="1">
      <c r="A900" s="379"/>
      <c r="B900" s="327" t="s">
        <v>2816</v>
      </c>
      <c r="C900" s="301" t="s">
        <v>2817</v>
      </c>
      <c r="D900" s="314" t="s">
        <v>12531</v>
      </c>
      <c r="E900" s="301" t="s">
        <v>23</v>
      </c>
      <c r="F900" s="301" t="s">
        <v>11412</v>
      </c>
      <c r="G900" s="302" t="s">
        <v>11413</v>
      </c>
      <c r="H900" s="405" t="s">
        <v>2196</v>
      </c>
      <c r="I900" s="180"/>
      <c r="J900" s="180"/>
    </row>
    <row r="901" spans="1:10" ht="120" customHeight="1">
      <c r="A901" s="382"/>
      <c r="B901" s="191" t="s">
        <v>2816</v>
      </c>
      <c r="C901" s="172" t="s">
        <v>2821</v>
      </c>
      <c r="D901" s="172" t="s">
        <v>11414</v>
      </c>
      <c r="E901" s="172" t="s">
        <v>23</v>
      </c>
      <c r="F901" s="172" t="s">
        <v>11415</v>
      </c>
      <c r="G901" s="189" t="s">
        <v>2823</v>
      </c>
      <c r="H901" s="174" t="s">
        <v>2279</v>
      </c>
      <c r="I901" s="180"/>
      <c r="J901" s="180"/>
    </row>
    <row r="902" spans="1:10" ht="120" customHeight="1">
      <c r="A902" s="382"/>
      <c r="B902" s="191" t="s">
        <v>2816</v>
      </c>
      <c r="C902" s="172" t="s">
        <v>2824</v>
      </c>
      <c r="D902" s="172" t="s">
        <v>2825</v>
      </c>
      <c r="E902" s="172" t="s">
        <v>23</v>
      </c>
      <c r="F902" s="172" t="s">
        <v>11416</v>
      </c>
      <c r="G902" s="189" t="s">
        <v>2826</v>
      </c>
      <c r="H902" s="174" t="s">
        <v>184</v>
      </c>
      <c r="I902" s="180"/>
      <c r="J902" s="180"/>
    </row>
    <row r="903" spans="1:10" ht="120" customHeight="1">
      <c r="A903" s="382"/>
      <c r="B903" s="191" t="s">
        <v>2816</v>
      </c>
      <c r="C903" s="172" t="s">
        <v>2827</v>
      </c>
      <c r="D903" s="172" t="s">
        <v>2828</v>
      </c>
      <c r="E903" s="172" t="s">
        <v>23</v>
      </c>
      <c r="F903" s="172" t="s">
        <v>2829</v>
      </c>
      <c r="G903" s="189" t="s">
        <v>2830</v>
      </c>
      <c r="H903" s="174" t="s">
        <v>2279</v>
      </c>
      <c r="I903" s="180"/>
      <c r="J903" s="180"/>
    </row>
    <row r="904" spans="1:10" ht="120" customHeight="1">
      <c r="A904" s="382"/>
      <c r="B904" s="191" t="s">
        <v>2816</v>
      </c>
      <c r="C904" s="172" t="s">
        <v>2831</v>
      </c>
      <c r="D904" s="172" t="s">
        <v>2832</v>
      </c>
      <c r="E904" s="172" t="s">
        <v>2833</v>
      </c>
      <c r="F904" s="172" t="s">
        <v>11417</v>
      </c>
      <c r="G904" s="189" t="s">
        <v>11418</v>
      </c>
      <c r="H904" s="174" t="s">
        <v>2279</v>
      </c>
      <c r="I904" s="180"/>
      <c r="J904" s="180"/>
    </row>
    <row r="905" spans="1:10" ht="120" customHeight="1">
      <c r="A905" s="382"/>
      <c r="B905" s="191" t="s">
        <v>2816</v>
      </c>
      <c r="C905" s="172" t="s">
        <v>2835</v>
      </c>
      <c r="D905" s="172" t="s">
        <v>2836</v>
      </c>
      <c r="E905" s="172" t="s">
        <v>2833</v>
      </c>
      <c r="F905" s="172" t="s">
        <v>11419</v>
      </c>
      <c r="G905" s="189" t="s">
        <v>2837</v>
      </c>
      <c r="H905" s="174" t="s">
        <v>2279</v>
      </c>
      <c r="I905" s="180"/>
      <c r="J905" s="180"/>
    </row>
    <row r="906" spans="1:10" ht="120" customHeight="1">
      <c r="A906" s="382"/>
      <c r="B906" s="191" t="s">
        <v>2816</v>
      </c>
      <c r="C906" s="172" t="s">
        <v>2838</v>
      </c>
      <c r="D906" s="177" t="s">
        <v>2839</v>
      </c>
      <c r="E906" s="172" t="s">
        <v>2833</v>
      </c>
      <c r="F906" s="172" t="s">
        <v>11420</v>
      </c>
      <c r="G906" s="189" t="s">
        <v>11421</v>
      </c>
      <c r="H906" s="174" t="s">
        <v>2279</v>
      </c>
      <c r="I906" s="180"/>
      <c r="J906" s="180"/>
    </row>
    <row r="907" spans="1:10" ht="120" customHeight="1">
      <c r="A907" s="382"/>
      <c r="B907" s="191" t="s">
        <v>2816</v>
      </c>
      <c r="C907" s="172" t="s">
        <v>2841</v>
      </c>
      <c r="D907" s="172" t="s">
        <v>11422</v>
      </c>
      <c r="E907" s="172" t="s">
        <v>11423</v>
      </c>
      <c r="F907" s="172" t="s">
        <v>11424</v>
      </c>
      <c r="G907" s="189" t="s">
        <v>2843</v>
      </c>
      <c r="H907" s="174" t="s">
        <v>24</v>
      </c>
      <c r="I907" s="180"/>
      <c r="J907" s="180"/>
    </row>
    <row r="908" spans="1:10" ht="120" customHeight="1">
      <c r="A908" s="382"/>
      <c r="B908" s="191" t="s">
        <v>2816</v>
      </c>
      <c r="C908" s="172" t="s">
        <v>2844</v>
      </c>
      <c r="D908" s="172" t="s">
        <v>2845</v>
      </c>
      <c r="E908" s="172" t="s">
        <v>11423</v>
      </c>
      <c r="F908" s="172" t="s">
        <v>2846</v>
      </c>
      <c r="G908" s="189" t="s">
        <v>2847</v>
      </c>
      <c r="H908" s="174" t="s">
        <v>24</v>
      </c>
      <c r="I908" s="180"/>
      <c r="J908" s="180"/>
    </row>
    <row r="909" spans="1:10" ht="120" customHeight="1">
      <c r="A909" s="382"/>
      <c r="B909" s="191" t="s">
        <v>2816</v>
      </c>
      <c r="C909" s="172" t="s">
        <v>11425</v>
      </c>
      <c r="D909" s="172" t="s">
        <v>2848</v>
      </c>
      <c r="E909" s="172" t="s">
        <v>11426</v>
      </c>
      <c r="F909" s="172" t="s">
        <v>11427</v>
      </c>
      <c r="G909" s="189" t="s">
        <v>2849</v>
      </c>
      <c r="H909" s="174" t="s">
        <v>24</v>
      </c>
      <c r="I909" s="180"/>
      <c r="J909" s="180"/>
    </row>
    <row r="910" spans="1:10" ht="120" customHeight="1">
      <c r="A910" s="382"/>
      <c r="B910" s="191" t="s">
        <v>2816</v>
      </c>
      <c r="C910" s="172" t="s">
        <v>11428</v>
      </c>
      <c r="D910" s="177" t="s">
        <v>2850</v>
      </c>
      <c r="E910" s="172" t="s">
        <v>11429</v>
      </c>
      <c r="F910" s="172" t="s">
        <v>11430</v>
      </c>
      <c r="G910" s="189" t="s">
        <v>2851</v>
      </c>
      <c r="H910" s="174" t="s">
        <v>24</v>
      </c>
      <c r="I910" s="180"/>
      <c r="J910" s="180"/>
    </row>
    <row r="911" spans="1:10" ht="120" customHeight="1">
      <c r="A911" s="382"/>
      <c r="B911" s="191" t="s">
        <v>2816</v>
      </c>
      <c r="C911" s="172" t="s">
        <v>11431</v>
      </c>
      <c r="D911" s="177" t="s">
        <v>907</v>
      </c>
      <c r="E911" s="172" t="s">
        <v>2852</v>
      </c>
      <c r="F911" s="172" t="s">
        <v>2853</v>
      </c>
      <c r="G911" s="189" t="s">
        <v>2851</v>
      </c>
      <c r="H911" s="174" t="s">
        <v>36</v>
      </c>
      <c r="I911" s="180"/>
      <c r="J911" s="180"/>
    </row>
    <row r="912" spans="1:10" ht="120" customHeight="1">
      <c r="A912" s="382"/>
      <c r="B912" s="191" t="s">
        <v>2816</v>
      </c>
      <c r="C912" s="172" t="s">
        <v>2854</v>
      </c>
      <c r="D912" s="177" t="s">
        <v>911</v>
      </c>
      <c r="E912" s="172" t="s">
        <v>2852</v>
      </c>
      <c r="F912" s="172" t="s">
        <v>2855</v>
      </c>
      <c r="G912" s="189" t="s">
        <v>11432</v>
      </c>
      <c r="H912" s="174" t="s">
        <v>36</v>
      </c>
      <c r="I912" s="180"/>
      <c r="J912" s="180"/>
    </row>
    <row r="913" spans="1:10" ht="120" customHeight="1">
      <c r="A913" s="382"/>
      <c r="B913" s="191" t="s">
        <v>2816</v>
      </c>
      <c r="C913" s="172" t="s">
        <v>2857</v>
      </c>
      <c r="D913" s="177" t="s">
        <v>2858</v>
      </c>
      <c r="E913" s="172" t="s">
        <v>23</v>
      </c>
      <c r="F913" s="172" t="s">
        <v>2859</v>
      </c>
      <c r="G913" s="189" t="s">
        <v>11433</v>
      </c>
      <c r="H913" s="174" t="s">
        <v>2279</v>
      </c>
      <c r="I913" s="180"/>
      <c r="J913" s="180"/>
    </row>
    <row r="914" spans="1:10" ht="120" customHeight="1">
      <c r="A914" s="382"/>
      <c r="B914" s="191" t="s">
        <v>2816</v>
      </c>
      <c r="C914" s="172" t="s">
        <v>2861</v>
      </c>
      <c r="D914" s="172" t="s">
        <v>11434</v>
      </c>
      <c r="E914" s="172" t="s">
        <v>23</v>
      </c>
      <c r="F914" s="172" t="s">
        <v>2863</v>
      </c>
      <c r="G914" s="189" t="s">
        <v>11435</v>
      </c>
      <c r="H914" s="174" t="s">
        <v>36</v>
      </c>
      <c r="I914" s="180"/>
      <c r="J914" s="180"/>
    </row>
    <row r="915" spans="1:10" ht="120" customHeight="1">
      <c r="A915" s="382"/>
      <c r="B915" s="191" t="s">
        <v>2816</v>
      </c>
      <c r="C915" s="172" t="s">
        <v>2865</v>
      </c>
      <c r="D915" s="172" t="s">
        <v>2866</v>
      </c>
      <c r="E915" s="172" t="s">
        <v>23</v>
      </c>
      <c r="F915" s="172" t="s">
        <v>11436</v>
      </c>
      <c r="G915" s="189" t="s">
        <v>2868</v>
      </c>
      <c r="H915" s="174" t="s">
        <v>36</v>
      </c>
      <c r="I915" s="180"/>
      <c r="J915" s="180"/>
    </row>
    <row r="916" spans="1:10" ht="120" customHeight="1">
      <c r="A916" s="382"/>
      <c r="B916" s="191" t="s">
        <v>2816</v>
      </c>
      <c r="C916" s="172" t="s">
        <v>2869</v>
      </c>
      <c r="D916" s="177" t="s">
        <v>12532</v>
      </c>
      <c r="E916" s="172" t="s">
        <v>23</v>
      </c>
      <c r="F916" s="172" t="s">
        <v>11437</v>
      </c>
      <c r="G916" s="189" t="s">
        <v>12533</v>
      </c>
      <c r="H916" s="174" t="s">
        <v>36</v>
      </c>
      <c r="I916" s="180"/>
      <c r="J916" s="180"/>
    </row>
    <row r="917" spans="1:10" ht="120" customHeight="1">
      <c r="A917" s="382"/>
      <c r="B917" s="191" t="s">
        <v>2816</v>
      </c>
      <c r="C917" s="172" t="s">
        <v>11438</v>
      </c>
      <c r="D917" s="177" t="s">
        <v>11439</v>
      </c>
      <c r="E917" s="172" t="s">
        <v>23</v>
      </c>
      <c r="F917" s="172" t="s">
        <v>11440</v>
      </c>
      <c r="G917" s="189" t="s">
        <v>11441</v>
      </c>
      <c r="H917" s="174" t="s">
        <v>117</v>
      </c>
      <c r="I917" s="180"/>
      <c r="J917" s="180"/>
    </row>
    <row r="918" spans="1:10" ht="120" customHeight="1">
      <c r="A918" s="375" t="s">
        <v>2870</v>
      </c>
      <c r="B918" s="328" t="s">
        <v>2870</v>
      </c>
      <c r="C918" s="242" t="s">
        <v>2871</v>
      </c>
      <c r="D918" s="242" t="s">
        <v>11442</v>
      </c>
      <c r="E918" s="242" t="s">
        <v>23</v>
      </c>
      <c r="F918" s="242" t="s">
        <v>2873</v>
      </c>
      <c r="G918" s="305" t="s">
        <v>2874</v>
      </c>
      <c r="H918" s="406" t="s">
        <v>30</v>
      </c>
      <c r="I918" s="180"/>
      <c r="J918" s="180"/>
    </row>
    <row r="919" spans="1:10" ht="120" customHeight="1">
      <c r="A919" s="381"/>
      <c r="B919" s="190" t="s">
        <v>2870</v>
      </c>
      <c r="C919" s="172" t="s">
        <v>11443</v>
      </c>
      <c r="D919" s="172" t="s">
        <v>11444</v>
      </c>
      <c r="E919" s="172" t="s">
        <v>23</v>
      </c>
      <c r="F919" s="172" t="s">
        <v>11445</v>
      </c>
      <c r="G919" s="189" t="s">
        <v>11446</v>
      </c>
      <c r="H919" s="174" t="s">
        <v>41</v>
      </c>
      <c r="I919" s="326"/>
      <c r="J919" s="180"/>
    </row>
    <row r="920" spans="1:10" ht="120" customHeight="1">
      <c r="A920" s="387"/>
      <c r="B920" s="329" t="s">
        <v>2870</v>
      </c>
      <c r="C920" s="301" t="s">
        <v>2875</v>
      </c>
      <c r="D920" s="301" t="s">
        <v>11447</v>
      </c>
      <c r="E920" s="301" t="s">
        <v>2876</v>
      </c>
      <c r="F920" s="301" t="s">
        <v>2877</v>
      </c>
      <c r="G920" s="302" t="s">
        <v>2878</v>
      </c>
      <c r="H920" s="405" t="s">
        <v>36</v>
      </c>
      <c r="I920" s="180"/>
      <c r="J920" s="180"/>
    </row>
    <row r="921" spans="1:10" ht="120" customHeight="1">
      <c r="A921" s="387"/>
      <c r="B921" s="190" t="s">
        <v>2870</v>
      </c>
      <c r="C921" s="172" t="s">
        <v>2879</v>
      </c>
      <c r="D921" s="172" t="s">
        <v>2880</v>
      </c>
      <c r="E921" s="172" t="s">
        <v>2881</v>
      </c>
      <c r="F921" s="172" t="s">
        <v>2882</v>
      </c>
      <c r="G921" s="189" t="s">
        <v>2883</v>
      </c>
      <c r="H921" s="174" t="s">
        <v>62</v>
      </c>
      <c r="I921" s="180"/>
      <c r="J921" s="180"/>
    </row>
    <row r="922" spans="1:10" ht="120" customHeight="1">
      <c r="A922" s="387"/>
      <c r="B922" s="190" t="s">
        <v>2870</v>
      </c>
      <c r="C922" s="172" t="s">
        <v>2884</v>
      </c>
      <c r="D922" s="172" t="s">
        <v>2885</v>
      </c>
      <c r="E922" s="172" t="s">
        <v>2886</v>
      </c>
      <c r="F922" s="172" t="s">
        <v>2887</v>
      </c>
      <c r="G922" s="189" t="s">
        <v>2888</v>
      </c>
      <c r="H922" s="174" t="s">
        <v>41</v>
      </c>
      <c r="I922" s="180"/>
      <c r="J922" s="180"/>
    </row>
    <row r="923" spans="1:10" ht="120" customHeight="1">
      <c r="A923" s="387"/>
      <c r="B923" s="190" t="s">
        <v>2870</v>
      </c>
      <c r="C923" s="172" t="s">
        <v>2889</v>
      </c>
      <c r="D923" s="172" t="s">
        <v>2890</v>
      </c>
      <c r="E923" s="172" t="s">
        <v>2891</v>
      </c>
      <c r="F923" s="172" t="s">
        <v>2892</v>
      </c>
      <c r="G923" s="189" t="s">
        <v>2893</v>
      </c>
      <c r="H923" s="174" t="s">
        <v>62</v>
      </c>
      <c r="I923" s="180"/>
      <c r="J923" s="180"/>
    </row>
    <row r="924" spans="1:10" ht="120" customHeight="1">
      <c r="A924" s="387"/>
      <c r="B924" s="190" t="s">
        <v>2870</v>
      </c>
      <c r="C924" s="172" t="s">
        <v>2894</v>
      </c>
      <c r="D924" s="172" t="s">
        <v>2895</v>
      </c>
      <c r="E924" s="172" t="s">
        <v>2896</v>
      </c>
      <c r="F924" s="172" t="s">
        <v>2897</v>
      </c>
      <c r="G924" s="189" t="s">
        <v>2898</v>
      </c>
      <c r="H924" s="174" t="s">
        <v>24</v>
      </c>
      <c r="I924" s="180"/>
      <c r="J924" s="180"/>
    </row>
    <row r="925" spans="1:10" ht="120" customHeight="1">
      <c r="A925" s="387"/>
      <c r="B925" s="190" t="s">
        <v>2870</v>
      </c>
      <c r="C925" s="172" t="s">
        <v>2899</v>
      </c>
      <c r="D925" s="172" t="s">
        <v>2900</v>
      </c>
      <c r="E925" s="172" t="s">
        <v>2896</v>
      </c>
      <c r="F925" s="172" t="s">
        <v>11448</v>
      </c>
      <c r="G925" s="189" t="s">
        <v>11449</v>
      </c>
      <c r="H925" s="174" t="s">
        <v>36</v>
      </c>
      <c r="I925" s="180"/>
      <c r="J925" s="180"/>
    </row>
    <row r="926" spans="1:10" ht="120" customHeight="1">
      <c r="A926" s="387"/>
      <c r="B926" s="190" t="s">
        <v>2870</v>
      </c>
      <c r="C926" s="172" t="s">
        <v>2903</v>
      </c>
      <c r="D926" s="172" t="s">
        <v>2904</v>
      </c>
      <c r="E926" s="172" t="s">
        <v>2905</v>
      </c>
      <c r="F926" s="172" t="s">
        <v>2892</v>
      </c>
      <c r="G926" s="189" t="s">
        <v>2893</v>
      </c>
      <c r="H926" s="174" t="s">
        <v>36</v>
      </c>
      <c r="I926" s="180"/>
      <c r="J926" s="180"/>
    </row>
    <row r="927" spans="1:10" ht="120" customHeight="1">
      <c r="A927" s="387"/>
      <c r="B927" s="190" t="s">
        <v>2870</v>
      </c>
      <c r="C927" s="172" t="s">
        <v>2906</v>
      </c>
      <c r="D927" s="172" t="s">
        <v>2907</v>
      </c>
      <c r="E927" s="172" t="s">
        <v>2905</v>
      </c>
      <c r="F927" s="172" t="s">
        <v>2897</v>
      </c>
      <c r="G927" s="189" t="s">
        <v>2898</v>
      </c>
      <c r="H927" s="174" t="s">
        <v>41</v>
      </c>
      <c r="I927" s="180"/>
      <c r="J927" s="180"/>
    </row>
    <row r="928" spans="1:10" ht="120" customHeight="1">
      <c r="A928" s="387"/>
      <c r="B928" s="190" t="s">
        <v>2870</v>
      </c>
      <c r="C928" s="172" t="s">
        <v>2908</v>
      </c>
      <c r="D928" s="172" t="s">
        <v>2909</v>
      </c>
      <c r="E928" s="172" t="s">
        <v>2905</v>
      </c>
      <c r="F928" s="172" t="s">
        <v>11450</v>
      </c>
      <c r="G928" s="189" t="s">
        <v>2902</v>
      </c>
      <c r="H928" s="174" t="s">
        <v>24</v>
      </c>
      <c r="I928" s="180"/>
      <c r="J928" s="180"/>
    </row>
    <row r="929" spans="1:10" ht="120" customHeight="1">
      <c r="A929" s="387"/>
      <c r="B929" s="190" t="s">
        <v>2870</v>
      </c>
      <c r="C929" s="172" t="s">
        <v>2911</v>
      </c>
      <c r="D929" s="172" t="s">
        <v>2912</v>
      </c>
      <c r="E929" s="172" t="s">
        <v>2913</v>
      </c>
      <c r="F929" s="172" t="s">
        <v>2914</v>
      </c>
      <c r="G929" s="189" t="s">
        <v>2915</v>
      </c>
      <c r="H929" s="174" t="s">
        <v>24</v>
      </c>
      <c r="I929" s="180"/>
      <c r="J929" s="180"/>
    </row>
    <row r="930" spans="1:10" ht="120" customHeight="1">
      <c r="A930" s="387"/>
      <c r="B930" s="190" t="s">
        <v>2870</v>
      </c>
      <c r="C930" s="172" t="s">
        <v>2916</v>
      </c>
      <c r="D930" s="172" t="s">
        <v>2917</v>
      </c>
      <c r="E930" s="172" t="s">
        <v>2913</v>
      </c>
      <c r="F930" s="172" t="s">
        <v>11451</v>
      </c>
      <c r="G930" s="189" t="s">
        <v>2918</v>
      </c>
      <c r="H930" s="174" t="s">
        <v>41</v>
      </c>
      <c r="I930" s="180"/>
      <c r="J930" s="180"/>
    </row>
    <row r="931" spans="1:10" ht="120" customHeight="1">
      <c r="A931" s="387"/>
      <c r="B931" s="190" t="s">
        <v>2870</v>
      </c>
      <c r="C931" s="172" t="s">
        <v>2919</v>
      </c>
      <c r="D931" s="172" t="s">
        <v>2920</v>
      </c>
      <c r="E931" s="172" t="s">
        <v>2913</v>
      </c>
      <c r="F931" s="172" t="s">
        <v>2921</v>
      </c>
      <c r="G931" s="189" t="s">
        <v>2922</v>
      </c>
      <c r="H931" s="174" t="s">
        <v>24</v>
      </c>
      <c r="I931" s="180"/>
      <c r="J931" s="180"/>
    </row>
    <row r="932" spans="1:10" ht="120" customHeight="1">
      <c r="A932" s="387"/>
      <c r="B932" s="328" t="s">
        <v>2870</v>
      </c>
      <c r="C932" s="242" t="s">
        <v>2923</v>
      </c>
      <c r="D932" s="242" t="s">
        <v>2924</v>
      </c>
      <c r="E932" s="242" t="s">
        <v>2913</v>
      </c>
      <c r="F932" s="242" t="s">
        <v>2925</v>
      </c>
      <c r="G932" s="305" t="s">
        <v>2926</v>
      </c>
      <c r="H932" s="406" t="s">
        <v>24</v>
      </c>
      <c r="I932" s="180"/>
      <c r="J932" s="180"/>
    </row>
    <row r="933" spans="1:10" ht="120" customHeight="1">
      <c r="A933" s="381"/>
      <c r="B933" s="190" t="s">
        <v>2870</v>
      </c>
      <c r="C933" s="172" t="s">
        <v>11452</v>
      </c>
      <c r="D933" s="172" t="s">
        <v>2927</v>
      </c>
      <c r="E933" s="172" t="s">
        <v>2928</v>
      </c>
      <c r="F933" s="177" t="s">
        <v>11453</v>
      </c>
      <c r="G933" s="189" t="s">
        <v>12534</v>
      </c>
      <c r="H933" s="174" t="s">
        <v>117</v>
      </c>
      <c r="I933" s="326"/>
      <c r="J933" s="180"/>
    </row>
    <row r="934" spans="1:10" ht="120" customHeight="1">
      <c r="A934" s="381"/>
      <c r="B934" s="190" t="s">
        <v>2870</v>
      </c>
      <c r="C934" s="172" t="s">
        <v>11454</v>
      </c>
      <c r="D934" s="172" t="s">
        <v>2931</v>
      </c>
      <c r="E934" s="172" t="s">
        <v>2928</v>
      </c>
      <c r="F934" s="172" t="s">
        <v>11455</v>
      </c>
      <c r="G934" s="189" t="s">
        <v>11456</v>
      </c>
      <c r="H934" s="174" t="s">
        <v>41</v>
      </c>
      <c r="I934" s="326"/>
      <c r="J934" s="180"/>
    </row>
    <row r="935" spans="1:10" ht="120" customHeight="1">
      <c r="A935" s="381"/>
      <c r="B935" s="190" t="s">
        <v>2870</v>
      </c>
      <c r="C935" s="172" t="s">
        <v>2933</v>
      </c>
      <c r="D935" s="172" t="s">
        <v>2934</v>
      </c>
      <c r="E935" s="172" t="s">
        <v>2935</v>
      </c>
      <c r="F935" s="172" t="s">
        <v>2936</v>
      </c>
      <c r="G935" s="189" t="s">
        <v>12535</v>
      </c>
      <c r="H935" s="174" t="s">
        <v>24</v>
      </c>
      <c r="I935" s="326"/>
      <c r="J935" s="180"/>
    </row>
    <row r="936" spans="1:10" ht="120" customHeight="1">
      <c r="A936" s="381"/>
      <c r="B936" s="190" t="s">
        <v>2870</v>
      </c>
      <c r="C936" s="172" t="s">
        <v>2938</v>
      </c>
      <c r="D936" s="172" t="s">
        <v>2939</v>
      </c>
      <c r="E936" s="172" t="s">
        <v>2940</v>
      </c>
      <c r="F936" s="172" t="s">
        <v>2941</v>
      </c>
      <c r="G936" s="189" t="s">
        <v>12536</v>
      </c>
      <c r="H936" s="174" t="s">
        <v>36</v>
      </c>
      <c r="I936" s="326"/>
      <c r="J936" s="180"/>
    </row>
    <row r="937" spans="1:10" ht="120" customHeight="1">
      <c r="A937" s="387"/>
      <c r="B937" s="329" t="s">
        <v>2870</v>
      </c>
      <c r="C937" s="301" t="s">
        <v>2943</v>
      </c>
      <c r="D937" s="301" t="s">
        <v>2944</v>
      </c>
      <c r="E937" s="301" t="s">
        <v>2945</v>
      </c>
      <c r="F937" s="301" t="s">
        <v>2946</v>
      </c>
      <c r="G937" s="302" t="s">
        <v>2947</v>
      </c>
      <c r="H937" s="405" t="s">
        <v>24</v>
      </c>
      <c r="I937" s="180"/>
      <c r="J937" s="180"/>
    </row>
    <row r="938" spans="1:10" ht="120" customHeight="1">
      <c r="A938" s="387"/>
      <c r="B938" s="190" t="s">
        <v>2870</v>
      </c>
      <c r="C938" s="172" t="s">
        <v>2948</v>
      </c>
      <c r="D938" s="172" t="s">
        <v>2949</v>
      </c>
      <c r="E938" s="172" t="s">
        <v>2945</v>
      </c>
      <c r="F938" s="172" t="s">
        <v>2950</v>
      </c>
      <c r="G938" s="189" t="s">
        <v>2951</v>
      </c>
      <c r="H938" s="174" t="s">
        <v>24</v>
      </c>
      <c r="I938" s="180"/>
      <c r="J938" s="180"/>
    </row>
    <row r="939" spans="1:10" ht="120" customHeight="1">
      <c r="A939" s="387"/>
      <c r="B939" s="190" t="s">
        <v>2870</v>
      </c>
      <c r="C939" s="172" t="s">
        <v>2952</v>
      </c>
      <c r="D939" s="172" t="s">
        <v>2953</v>
      </c>
      <c r="E939" s="172" t="s">
        <v>2954</v>
      </c>
      <c r="F939" s="172" t="s">
        <v>2955</v>
      </c>
      <c r="G939" s="189" t="s">
        <v>2947</v>
      </c>
      <c r="H939" s="174" t="s">
        <v>36</v>
      </c>
      <c r="I939" s="180"/>
      <c r="J939" s="180"/>
    </row>
    <row r="940" spans="1:10" ht="120" customHeight="1">
      <c r="A940" s="387"/>
      <c r="B940" s="190" t="s">
        <v>2870</v>
      </c>
      <c r="C940" s="172" t="s">
        <v>2956</v>
      </c>
      <c r="D940" s="172" t="s">
        <v>2957</v>
      </c>
      <c r="E940" s="172" t="s">
        <v>2954</v>
      </c>
      <c r="F940" s="172" t="s">
        <v>2958</v>
      </c>
      <c r="G940" s="189" t="s">
        <v>2951</v>
      </c>
      <c r="H940" s="174" t="s">
        <v>36</v>
      </c>
      <c r="I940" s="180"/>
      <c r="J940" s="180"/>
    </row>
    <row r="941" spans="1:10" ht="120" customHeight="1">
      <c r="A941" s="387"/>
      <c r="B941" s="190" t="s">
        <v>2870</v>
      </c>
      <c r="C941" s="172" t="s">
        <v>2959</v>
      </c>
      <c r="D941" s="172" t="s">
        <v>2960</v>
      </c>
      <c r="E941" s="172" t="s">
        <v>2961</v>
      </c>
      <c r="F941" s="172" t="s">
        <v>2962</v>
      </c>
      <c r="G941" s="189" t="s">
        <v>2963</v>
      </c>
      <c r="H941" s="174" t="s">
        <v>24</v>
      </c>
      <c r="I941" s="180"/>
      <c r="J941" s="180"/>
    </row>
    <row r="942" spans="1:10" ht="120" customHeight="1">
      <c r="A942" s="387"/>
      <c r="B942" s="190" t="s">
        <v>2870</v>
      </c>
      <c r="C942" s="172" t="s">
        <v>2964</v>
      </c>
      <c r="D942" s="172" t="s">
        <v>2965</v>
      </c>
      <c r="E942" s="172" t="s">
        <v>2966</v>
      </c>
      <c r="F942" s="172" t="s">
        <v>2967</v>
      </c>
      <c r="G942" s="189" t="s">
        <v>2968</v>
      </c>
      <c r="H942" s="174" t="s">
        <v>24</v>
      </c>
      <c r="I942" s="180"/>
      <c r="J942" s="180"/>
    </row>
    <row r="943" spans="1:10" ht="120" customHeight="1">
      <c r="A943" s="387"/>
      <c r="B943" s="190" t="s">
        <v>2870</v>
      </c>
      <c r="C943" s="172" t="s">
        <v>2969</v>
      </c>
      <c r="D943" s="172" t="s">
        <v>2970</v>
      </c>
      <c r="E943" s="172" t="s">
        <v>2971</v>
      </c>
      <c r="F943" s="172" t="s">
        <v>2972</v>
      </c>
      <c r="G943" s="189" t="s">
        <v>2963</v>
      </c>
      <c r="H943" s="174" t="s">
        <v>24</v>
      </c>
      <c r="I943" s="180"/>
      <c r="J943" s="180"/>
    </row>
    <row r="944" spans="1:10" ht="120" customHeight="1">
      <c r="A944" s="387"/>
      <c r="B944" s="190" t="s">
        <v>2870</v>
      </c>
      <c r="C944" s="172" t="s">
        <v>2973</v>
      </c>
      <c r="D944" s="172" t="s">
        <v>2974</v>
      </c>
      <c r="E944" s="172" t="s">
        <v>2975</v>
      </c>
      <c r="F944" s="172" t="s">
        <v>2976</v>
      </c>
      <c r="G944" s="189" t="s">
        <v>2968</v>
      </c>
      <c r="H944" s="174" t="s">
        <v>24</v>
      </c>
      <c r="I944" s="180"/>
      <c r="J944" s="180"/>
    </row>
    <row r="945" spans="1:10" ht="120" customHeight="1">
      <c r="A945" s="376"/>
      <c r="B945" s="190" t="s">
        <v>2870</v>
      </c>
      <c r="C945" s="172" t="s">
        <v>2977</v>
      </c>
      <c r="D945" s="172" t="s">
        <v>2978</v>
      </c>
      <c r="E945" s="172" t="s">
        <v>2975</v>
      </c>
      <c r="F945" s="172" t="s">
        <v>2979</v>
      </c>
      <c r="G945" s="189" t="s">
        <v>2980</v>
      </c>
      <c r="H945" s="174" t="s">
        <v>24</v>
      </c>
      <c r="I945" s="180"/>
      <c r="J945" s="180"/>
    </row>
    <row r="946" spans="1:10" ht="120" customHeight="1">
      <c r="A946" s="371" t="s">
        <v>2981</v>
      </c>
      <c r="B946" s="191" t="s">
        <v>2981</v>
      </c>
      <c r="C946" s="172" t="s">
        <v>2982</v>
      </c>
      <c r="D946" s="172" t="s">
        <v>2983</v>
      </c>
      <c r="E946" s="172" t="s">
        <v>2984</v>
      </c>
      <c r="F946" s="172" t="s">
        <v>2985</v>
      </c>
      <c r="G946" s="189" t="s">
        <v>2986</v>
      </c>
      <c r="H946" s="174" t="s">
        <v>30</v>
      </c>
      <c r="I946" s="180"/>
      <c r="J946" s="180"/>
    </row>
    <row r="947" spans="1:10" ht="120" customHeight="1">
      <c r="A947" s="371"/>
      <c r="B947" s="191" t="s">
        <v>2981</v>
      </c>
      <c r="C947" s="172" t="s">
        <v>2987</v>
      </c>
      <c r="D947" s="172" t="s">
        <v>2988</v>
      </c>
      <c r="E947" s="172" t="s">
        <v>2984</v>
      </c>
      <c r="F947" s="172" t="s">
        <v>2989</v>
      </c>
      <c r="G947" s="189" t="s">
        <v>2990</v>
      </c>
      <c r="H947" s="174" t="s">
        <v>36</v>
      </c>
      <c r="I947" s="180"/>
      <c r="J947" s="180"/>
    </row>
    <row r="948" spans="1:10" ht="120" customHeight="1">
      <c r="A948" s="371"/>
      <c r="B948" s="191" t="s">
        <v>2981</v>
      </c>
      <c r="C948" s="172" t="s">
        <v>2991</v>
      </c>
      <c r="D948" s="172" t="s">
        <v>2992</v>
      </c>
      <c r="E948" s="172" t="s">
        <v>2984</v>
      </c>
      <c r="F948" s="172" t="s">
        <v>2993</v>
      </c>
      <c r="G948" s="189" t="s">
        <v>2994</v>
      </c>
      <c r="H948" s="174" t="s">
        <v>24</v>
      </c>
      <c r="I948" s="180"/>
      <c r="J948" s="180"/>
    </row>
    <row r="949" spans="1:10" ht="120" customHeight="1">
      <c r="A949" s="371"/>
      <c r="B949" s="191" t="s">
        <v>2981</v>
      </c>
      <c r="C949" s="172" t="s">
        <v>2995</v>
      </c>
      <c r="D949" s="172" t="s">
        <v>2996</v>
      </c>
      <c r="E949" s="172" t="s">
        <v>2984</v>
      </c>
      <c r="F949" s="172" t="s">
        <v>2997</v>
      </c>
      <c r="G949" s="189" t="s">
        <v>2998</v>
      </c>
      <c r="H949" s="174" t="s">
        <v>24</v>
      </c>
      <c r="I949" s="180"/>
      <c r="J949" s="180"/>
    </row>
    <row r="950" spans="1:10" ht="120" customHeight="1">
      <c r="A950" s="371"/>
      <c r="B950" s="191" t="s">
        <v>2981</v>
      </c>
      <c r="C950" s="172" t="s">
        <v>2999</v>
      </c>
      <c r="D950" s="172" t="s">
        <v>11457</v>
      </c>
      <c r="E950" s="172" t="s">
        <v>2984</v>
      </c>
      <c r="F950" s="172" t="s">
        <v>3001</v>
      </c>
      <c r="G950" s="189" t="s">
        <v>3002</v>
      </c>
      <c r="H950" s="174" t="s">
        <v>24</v>
      </c>
      <c r="I950" s="180"/>
      <c r="J950" s="180"/>
    </row>
    <row r="951" spans="1:10" ht="120" customHeight="1">
      <c r="A951" s="371"/>
      <c r="B951" s="191" t="s">
        <v>2981</v>
      </c>
      <c r="C951" s="172" t="s">
        <v>3003</v>
      </c>
      <c r="D951" s="172" t="s">
        <v>3004</v>
      </c>
      <c r="E951" s="172" t="s">
        <v>2984</v>
      </c>
      <c r="F951" s="172" t="s">
        <v>3005</v>
      </c>
      <c r="G951" s="189" t="s">
        <v>3006</v>
      </c>
      <c r="H951" s="174" t="s">
        <v>24</v>
      </c>
      <c r="I951" s="180"/>
      <c r="J951" s="180"/>
    </row>
    <row r="952" spans="1:10" ht="120" customHeight="1">
      <c r="A952" s="371"/>
      <c r="B952" s="191" t="s">
        <v>2981</v>
      </c>
      <c r="C952" s="172" t="s">
        <v>3007</v>
      </c>
      <c r="D952" s="172" t="s">
        <v>11458</v>
      </c>
      <c r="E952" s="172" t="s">
        <v>2984</v>
      </c>
      <c r="F952" s="172" t="s">
        <v>3009</v>
      </c>
      <c r="G952" s="189" t="s">
        <v>3010</v>
      </c>
      <c r="H952" s="174" t="s">
        <v>24</v>
      </c>
      <c r="I952" s="180"/>
      <c r="J952" s="180"/>
    </row>
    <row r="953" spans="1:10" ht="120" customHeight="1">
      <c r="A953" s="371"/>
      <c r="B953" s="191" t="s">
        <v>2981</v>
      </c>
      <c r="C953" s="172" t="s">
        <v>3011</v>
      </c>
      <c r="D953" s="172" t="s">
        <v>11459</v>
      </c>
      <c r="E953" s="172" t="s">
        <v>2984</v>
      </c>
      <c r="F953" s="172" t="s">
        <v>3013</v>
      </c>
      <c r="G953" s="189" t="s">
        <v>3014</v>
      </c>
      <c r="H953" s="174" t="s">
        <v>24</v>
      </c>
      <c r="I953" s="180"/>
      <c r="J953" s="180"/>
    </row>
    <row r="954" spans="1:10" ht="120" customHeight="1">
      <c r="A954" s="371"/>
      <c r="B954" s="191" t="s">
        <v>2981</v>
      </c>
      <c r="C954" s="172" t="s">
        <v>3015</v>
      </c>
      <c r="D954" s="172" t="s">
        <v>3016</v>
      </c>
      <c r="E954" s="172" t="s">
        <v>2984</v>
      </c>
      <c r="F954" s="172" t="s">
        <v>3017</v>
      </c>
      <c r="G954" s="189" t="s">
        <v>2986</v>
      </c>
      <c r="H954" s="174" t="s">
        <v>41</v>
      </c>
      <c r="I954" s="180"/>
      <c r="J954" s="180"/>
    </row>
    <row r="955" spans="1:10" ht="120" customHeight="1">
      <c r="A955" s="371"/>
      <c r="B955" s="191" t="s">
        <v>2981</v>
      </c>
      <c r="C955" s="172" t="s">
        <v>3018</v>
      </c>
      <c r="D955" s="172" t="s">
        <v>3019</v>
      </c>
      <c r="E955" s="172" t="s">
        <v>2984</v>
      </c>
      <c r="F955" s="172" t="s">
        <v>3020</v>
      </c>
      <c r="G955" s="189" t="s">
        <v>3021</v>
      </c>
      <c r="H955" s="174" t="s">
        <v>184</v>
      </c>
      <c r="I955" s="180"/>
      <c r="J955" s="180"/>
    </row>
    <row r="956" spans="1:10" ht="120" customHeight="1">
      <c r="A956" s="371"/>
      <c r="B956" s="191" t="s">
        <v>2981</v>
      </c>
      <c r="C956" s="172" t="s">
        <v>3022</v>
      </c>
      <c r="D956" s="172" t="s">
        <v>3023</v>
      </c>
      <c r="E956" s="172" t="s">
        <v>2984</v>
      </c>
      <c r="F956" s="172" t="s">
        <v>3024</v>
      </c>
      <c r="G956" s="189" t="s">
        <v>3025</v>
      </c>
      <c r="H956" s="174" t="s">
        <v>41</v>
      </c>
      <c r="I956" s="180"/>
      <c r="J956" s="180"/>
    </row>
    <row r="957" spans="1:10" ht="120" customHeight="1">
      <c r="A957" s="371"/>
      <c r="B957" s="191" t="s">
        <v>2981</v>
      </c>
      <c r="C957" s="172" t="s">
        <v>3026</v>
      </c>
      <c r="D957" s="172" t="s">
        <v>3027</v>
      </c>
      <c r="E957" s="172" t="s">
        <v>3028</v>
      </c>
      <c r="F957" s="172" t="s">
        <v>3029</v>
      </c>
      <c r="G957" s="189" t="s">
        <v>11460</v>
      </c>
      <c r="H957" s="174" t="s">
        <v>117</v>
      </c>
      <c r="I957" s="180"/>
      <c r="J957" s="180"/>
    </row>
    <row r="958" spans="1:10" ht="120" customHeight="1">
      <c r="A958" s="371"/>
      <c r="B958" s="191" t="s">
        <v>2981</v>
      </c>
      <c r="C958" s="172" t="s">
        <v>3031</v>
      </c>
      <c r="D958" s="172" t="s">
        <v>3032</v>
      </c>
      <c r="E958" s="172" t="s">
        <v>3028</v>
      </c>
      <c r="F958" s="172" t="s">
        <v>3033</v>
      </c>
      <c r="G958" s="189" t="s">
        <v>3034</v>
      </c>
      <c r="H958" s="174" t="s">
        <v>41</v>
      </c>
      <c r="I958" s="180"/>
      <c r="J958" s="180"/>
    </row>
    <row r="959" spans="1:10" ht="120" customHeight="1">
      <c r="A959" s="371"/>
      <c r="B959" s="191" t="s">
        <v>2981</v>
      </c>
      <c r="C959" s="172" t="s">
        <v>3035</v>
      </c>
      <c r="D959" s="172" t="s">
        <v>3036</v>
      </c>
      <c r="E959" s="172" t="s">
        <v>3028</v>
      </c>
      <c r="F959" s="172" t="s">
        <v>3037</v>
      </c>
      <c r="G959" s="189" t="s">
        <v>3038</v>
      </c>
      <c r="H959" s="174" t="s">
        <v>36</v>
      </c>
      <c r="I959" s="180"/>
      <c r="J959" s="180"/>
    </row>
    <row r="960" spans="1:10" ht="120" customHeight="1">
      <c r="A960" s="371"/>
      <c r="B960" s="191" t="s">
        <v>2981</v>
      </c>
      <c r="C960" s="172" t="s">
        <v>3039</v>
      </c>
      <c r="D960" s="172" t="s">
        <v>3040</v>
      </c>
      <c r="E960" s="172" t="s">
        <v>3028</v>
      </c>
      <c r="F960" s="172" t="s">
        <v>3041</v>
      </c>
      <c r="G960" s="189" t="s">
        <v>3042</v>
      </c>
      <c r="H960" s="174" t="s">
        <v>36</v>
      </c>
      <c r="I960" s="180"/>
      <c r="J960" s="180"/>
    </row>
    <row r="961" spans="1:10" ht="120" customHeight="1">
      <c r="A961" s="371"/>
      <c r="B961" s="191" t="s">
        <v>2981</v>
      </c>
      <c r="C961" s="172" t="s">
        <v>3043</v>
      </c>
      <c r="D961" s="172" t="s">
        <v>3044</v>
      </c>
      <c r="E961" s="172" t="s">
        <v>2984</v>
      </c>
      <c r="F961" s="172" t="s">
        <v>3045</v>
      </c>
      <c r="G961" s="189" t="s">
        <v>3046</v>
      </c>
      <c r="H961" s="174" t="s">
        <v>41</v>
      </c>
      <c r="I961" s="180"/>
      <c r="J961" s="180"/>
    </row>
    <row r="962" spans="1:10" ht="120" customHeight="1">
      <c r="A962" s="371"/>
      <c r="B962" s="191" t="s">
        <v>2981</v>
      </c>
      <c r="C962" s="172" t="s">
        <v>3047</v>
      </c>
      <c r="D962" s="172" t="s">
        <v>3048</v>
      </c>
      <c r="E962" s="172" t="s">
        <v>2984</v>
      </c>
      <c r="F962" s="172" t="s">
        <v>3049</v>
      </c>
      <c r="G962" s="189" t="s">
        <v>11461</v>
      </c>
      <c r="H962" s="174" t="s">
        <v>24</v>
      </c>
      <c r="I962" s="180"/>
      <c r="J962" s="180"/>
    </row>
    <row r="963" spans="1:10" ht="120" customHeight="1">
      <c r="A963" s="371"/>
      <c r="B963" s="191" t="s">
        <v>2981</v>
      </c>
      <c r="C963" s="172" t="s">
        <v>3051</v>
      </c>
      <c r="D963" s="172" t="s">
        <v>3052</v>
      </c>
      <c r="E963" s="172" t="s">
        <v>3053</v>
      </c>
      <c r="F963" s="172" t="s">
        <v>11462</v>
      </c>
      <c r="G963" s="189" t="s">
        <v>3055</v>
      </c>
      <c r="H963" s="174" t="s">
        <v>62</v>
      </c>
      <c r="I963" s="180"/>
      <c r="J963" s="180"/>
    </row>
    <row r="964" spans="1:10" ht="120" customHeight="1">
      <c r="A964" s="371"/>
      <c r="B964" s="191" t="s">
        <v>2981</v>
      </c>
      <c r="C964" s="172" t="s">
        <v>3056</v>
      </c>
      <c r="D964" s="172" t="s">
        <v>3057</v>
      </c>
      <c r="E964" s="172" t="s">
        <v>2984</v>
      </c>
      <c r="F964" s="172" t="s">
        <v>3058</v>
      </c>
      <c r="G964" s="189" t="s">
        <v>3059</v>
      </c>
      <c r="H964" s="174" t="s">
        <v>41</v>
      </c>
      <c r="I964" s="180"/>
      <c r="J964" s="180"/>
    </row>
    <row r="965" spans="1:10" ht="120" customHeight="1">
      <c r="A965" s="371"/>
      <c r="B965" s="191" t="s">
        <v>2981</v>
      </c>
      <c r="C965" s="172" t="s">
        <v>3060</v>
      </c>
      <c r="D965" s="172" t="s">
        <v>3061</v>
      </c>
      <c r="E965" s="172" t="s">
        <v>2984</v>
      </c>
      <c r="F965" s="172" t="s">
        <v>3062</v>
      </c>
      <c r="G965" s="189" t="s">
        <v>3034</v>
      </c>
      <c r="H965" s="174" t="s">
        <v>24</v>
      </c>
      <c r="I965" s="180"/>
      <c r="J965" s="180"/>
    </row>
    <row r="966" spans="1:10" ht="120" customHeight="1">
      <c r="A966" s="371"/>
      <c r="B966" s="191" t="s">
        <v>2981</v>
      </c>
      <c r="C966" s="172" t="s">
        <v>3063</v>
      </c>
      <c r="D966" s="172" t="s">
        <v>3064</v>
      </c>
      <c r="E966" s="172" t="s">
        <v>2984</v>
      </c>
      <c r="F966" s="172" t="s">
        <v>3065</v>
      </c>
      <c r="G966" s="189" t="s">
        <v>3066</v>
      </c>
      <c r="H966" s="174" t="s">
        <v>24</v>
      </c>
      <c r="I966" s="180"/>
      <c r="J966" s="180"/>
    </row>
    <row r="967" spans="1:10" ht="120" customHeight="1">
      <c r="A967" s="371"/>
      <c r="B967" s="191" t="s">
        <v>2981</v>
      </c>
      <c r="C967" s="172" t="s">
        <v>3067</v>
      </c>
      <c r="D967" s="172" t="s">
        <v>3068</v>
      </c>
      <c r="E967" s="172" t="s">
        <v>2984</v>
      </c>
      <c r="F967" s="172" t="s">
        <v>3069</v>
      </c>
      <c r="G967" s="189" t="s">
        <v>3070</v>
      </c>
      <c r="H967" s="174" t="s">
        <v>36</v>
      </c>
      <c r="I967" s="180"/>
      <c r="J967" s="180"/>
    </row>
    <row r="968" spans="1:10" ht="120" customHeight="1">
      <c r="A968" s="371"/>
      <c r="B968" s="191" t="s">
        <v>2981</v>
      </c>
      <c r="C968" s="172" t="s">
        <v>3071</v>
      </c>
      <c r="D968" s="172" t="s">
        <v>3072</v>
      </c>
      <c r="E968" s="172" t="s">
        <v>2984</v>
      </c>
      <c r="F968" s="172" t="s">
        <v>3073</v>
      </c>
      <c r="G968" s="189" t="s">
        <v>3074</v>
      </c>
      <c r="H968" s="174" t="s">
        <v>24</v>
      </c>
      <c r="I968" s="180"/>
      <c r="J968" s="180"/>
    </row>
    <row r="969" spans="1:10" ht="120" customHeight="1">
      <c r="A969" s="371"/>
      <c r="B969" s="191" t="s">
        <v>2981</v>
      </c>
      <c r="C969" s="172" t="s">
        <v>3075</v>
      </c>
      <c r="D969" s="172" t="s">
        <v>11463</v>
      </c>
      <c r="E969" s="172" t="s">
        <v>2984</v>
      </c>
      <c r="F969" s="172" t="s">
        <v>3077</v>
      </c>
      <c r="G969" s="189" t="s">
        <v>3078</v>
      </c>
      <c r="H969" s="174" t="s">
        <v>24</v>
      </c>
      <c r="I969" s="180"/>
      <c r="J969" s="180"/>
    </row>
    <row r="970" spans="1:10" ht="120" customHeight="1">
      <c r="A970" s="371"/>
      <c r="B970" s="191" t="s">
        <v>2981</v>
      </c>
      <c r="C970" s="172" t="s">
        <v>3079</v>
      </c>
      <c r="D970" s="172" t="s">
        <v>11464</v>
      </c>
      <c r="E970" s="172" t="s">
        <v>2984</v>
      </c>
      <c r="F970" s="172" t="s">
        <v>3081</v>
      </c>
      <c r="G970" s="189" t="s">
        <v>3082</v>
      </c>
      <c r="H970" s="174" t="s">
        <v>41</v>
      </c>
      <c r="I970" s="180"/>
      <c r="J970" s="180"/>
    </row>
    <row r="971" spans="1:10" ht="120" customHeight="1">
      <c r="A971" s="371"/>
      <c r="B971" s="191" t="s">
        <v>2981</v>
      </c>
      <c r="C971" s="172" t="s">
        <v>3083</v>
      </c>
      <c r="D971" s="172" t="s">
        <v>3084</v>
      </c>
      <c r="E971" s="172" t="s">
        <v>3053</v>
      </c>
      <c r="F971" s="172" t="s">
        <v>3085</v>
      </c>
      <c r="G971" s="189" t="s">
        <v>3086</v>
      </c>
      <c r="H971" s="174" t="s">
        <v>62</v>
      </c>
      <c r="I971" s="180"/>
      <c r="J971" s="180"/>
    </row>
    <row r="972" spans="1:10" ht="120" customHeight="1">
      <c r="A972" s="371"/>
      <c r="B972" s="191" t="s">
        <v>2981</v>
      </c>
      <c r="C972" s="172" t="s">
        <v>3087</v>
      </c>
      <c r="D972" s="172" t="s">
        <v>3088</v>
      </c>
      <c r="E972" s="172" t="s">
        <v>3053</v>
      </c>
      <c r="F972" s="172" t="s">
        <v>3089</v>
      </c>
      <c r="G972" s="189" t="s">
        <v>3090</v>
      </c>
      <c r="H972" s="174" t="s">
        <v>41</v>
      </c>
      <c r="I972" s="180"/>
      <c r="J972" s="180"/>
    </row>
    <row r="973" spans="1:10" ht="120" customHeight="1">
      <c r="A973" s="371"/>
      <c r="B973" s="191" t="s">
        <v>2981</v>
      </c>
      <c r="C973" s="172" t="s">
        <v>3091</v>
      </c>
      <c r="D973" s="172" t="s">
        <v>3092</v>
      </c>
      <c r="E973" s="172" t="s">
        <v>2984</v>
      </c>
      <c r="F973" s="172" t="s">
        <v>3093</v>
      </c>
      <c r="G973" s="189" t="s">
        <v>3094</v>
      </c>
      <c r="H973" s="174" t="s">
        <v>62</v>
      </c>
      <c r="I973" s="180"/>
      <c r="J973" s="180"/>
    </row>
    <row r="974" spans="1:10" ht="120" customHeight="1">
      <c r="A974" s="371"/>
      <c r="B974" s="191" t="s">
        <v>2981</v>
      </c>
      <c r="C974" s="172" t="s">
        <v>11465</v>
      </c>
      <c r="D974" s="172" t="s">
        <v>3095</v>
      </c>
      <c r="E974" s="172" t="s">
        <v>2984</v>
      </c>
      <c r="F974" s="172" t="s">
        <v>11466</v>
      </c>
      <c r="G974" s="189" t="s">
        <v>11467</v>
      </c>
      <c r="H974" s="174" t="s">
        <v>36</v>
      </c>
      <c r="I974" s="180"/>
      <c r="J974" s="180"/>
    </row>
    <row r="975" spans="1:10" ht="120" customHeight="1">
      <c r="A975" s="371"/>
      <c r="B975" s="191" t="s">
        <v>2981</v>
      </c>
      <c r="C975" s="172" t="s">
        <v>11468</v>
      </c>
      <c r="D975" s="172" t="s">
        <v>3097</v>
      </c>
      <c r="E975" s="172" t="s">
        <v>2984</v>
      </c>
      <c r="F975" s="172" t="s">
        <v>3098</v>
      </c>
      <c r="G975" s="189" t="s">
        <v>11469</v>
      </c>
      <c r="H975" s="174" t="s">
        <v>24</v>
      </c>
      <c r="I975" s="180"/>
      <c r="J975" s="180"/>
    </row>
    <row r="976" spans="1:10" ht="120" customHeight="1">
      <c r="A976" s="371"/>
      <c r="B976" s="191" t="s">
        <v>2981</v>
      </c>
      <c r="C976" s="172" t="s">
        <v>11470</v>
      </c>
      <c r="D976" s="172" t="s">
        <v>3101</v>
      </c>
      <c r="E976" s="172" t="s">
        <v>2984</v>
      </c>
      <c r="F976" s="172" t="s">
        <v>12537</v>
      </c>
      <c r="G976" s="189" t="s">
        <v>3103</v>
      </c>
      <c r="H976" s="174" t="s">
        <v>30</v>
      </c>
      <c r="I976" s="180"/>
      <c r="J976" s="180"/>
    </row>
    <row r="977" spans="1:10" ht="120" customHeight="1">
      <c r="A977" s="184"/>
      <c r="B977" s="191" t="s">
        <v>2981</v>
      </c>
      <c r="C977" s="172" t="s">
        <v>11471</v>
      </c>
      <c r="D977" s="172" t="s">
        <v>11472</v>
      </c>
      <c r="E977" s="172" t="s">
        <v>11473</v>
      </c>
      <c r="F977" s="172" t="s">
        <v>3105</v>
      </c>
      <c r="G977" s="189" t="s">
        <v>3106</v>
      </c>
      <c r="H977" s="174" t="s">
        <v>41</v>
      </c>
      <c r="I977" s="180"/>
      <c r="J977" s="180"/>
    </row>
    <row r="978" spans="1:10" ht="120" customHeight="1">
      <c r="A978" s="375" t="s">
        <v>3107</v>
      </c>
      <c r="B978" s="245" t="s">
        <v>3107</v>
      </c>
      <c r="C978" s="172" t="s">
        <v>11474</v>
      </c>
      <c r="D978" s="172" t="s">
        <v>3109</v>
      </c>
      <c r="E978" s="172" t="s">
        <v>3110</v>
      </c>
      <c r="F978" s="172" t="s">
        <v>3111</v>
      </c>
      <c r="G978" s="189" t="s">
        <v>3112</v>
      </c>
      <c r="H978" s="174" t="s">
        <v>30</v>
      </c>
      <c r="I978" s="180"/>
      <c r="J978" s="180"/>
    </row>
    <row r="979" spans="1:10" ht="120" customHeight="1">
      <c r="A979" s="387"/>
      <c r="B979" s="190" t="s">
        <v>3107</v>
      </c>
      <c r="C979" s="210" t="s">
        <v>3113</v>
      </c>
      <c r="D979" s="172" t="s">
        <v>3114</v>
      </c>
      <c r="E979" s="172" t="s">
        <v>3110</v>
      </c>
      <c r="F979" s="172" t="s">
        <v>3115</v>
      </c>
      <c r="G979" s="189" t="s">
        <v>11475</v>
      </c>
      <c r="H979" s="174" t="s">
        <v>24</v>
      </c>
      <c r="I979" s="180"/>
      <c r="J979" s="180"/>
    </row>
    <row r="980" spans="1:10" ht="120" customHeight="1">
      <c r="A980" s="387"/>
      <c r="B980" s="190" t="s">
        <v>3107</v>
      </c>
      <c r="C980" s="210" t="s">
        <v>3117</v>
      </c>
      <c r="D980" s="172" t="s">
        <v>3118</v>
      </c>
      <c r="E980" s="172" t="s">
        <v>3119</v>
      </c>
      <c r="F980" s="172" t="s">
        <v>11476</v>
      </c>
      <c r="G980" s="189" t="s">
        <v>3121</v>
      </c>
      <c r="H980" s="174" t="s">
        <v>30</v>
      </c>
      <c r="I980" s="180"/>
      <c r="J980" s="180"/>
    </row>
    <row r="981" spans="1:10" ht="120" customHeight="1">
      <c r="A981" s="387"/>
      <c r="B981" s="190" t="s">
        <v>3107</v>
      </c>
      <c r="C981" s="210" t="s">
        <v>3122</v>
      </c>
      <c r="D981" s="172" t="s">
        <v>3123</v>
      </c>
      <c r="E981" s="172" t="s">
        <v>3110</v>
      </c>
      <c r="F981" s="172" t="s">
        <v>3124</v>
      </c>
      <c r="G981" s="189" t="s">
        <v>3125</v>
      </c>
      <c r="H981" s="174" t="s">
        <v>36</v>
      </c>
      <c r="I981" s="180"/>
      <c r="J981" s="180"/>
    </row>
    <row r="982" spans="1:10" ht="120" customHeight="1">
      <c r="A982" s="387"/>
      <c r="B982" s="190" t="s">
        <v>3107</v>
      </c>
      <c r="C982" s="210" t="s">
        <v>3126</v>
      </c>
      <c r="D982" s="172" t="s">
        <v>3127</v>
      </c>
      <c r="E982" s="172" t="s">
        <v>3110</v>
      </c>
      <c r="F982" s="172" t="s">
        <v>3128</v>
      </c>
      <c r="G982" s="189" t="s">
        <v>3129</v>
      </c>
      <c r="H982" s="174" t="s">
        <v>24</v>
      </c>
      <c r="I982" s="180"/>
      <c r="J982" s="180"/>
    </row>
    <row r="983" spans="1:10" ht="120" customHeight="1">
      <c r="A983" s="387"/>
      <c r="B983" s="190" t="s">
        <v>3107</v>
      </c>
      <c r="C983" s="210" t="s">
        <v>3130</v>
      </c>
      <c r="D983" s="172" t="s">
        <v>3131</v>
      </c>
      <c r="E983" s="172" t="s">
        <v>3110</v>
      </c>
      <c r="F983" s="172" t="s">
        <v>3132</v>
      </c>
      <c r="G983" s="189" t="s">
        <v>3133</v>
      </c>
      <c r="H983" s="174" t="s">
        <v>24</v>
      </c>
      <c r="I983" s="180"/>
      <c r="J983" s="180"/>
    </row>
    <row r="984" spans="1:10" ht="120" customHeight="1">
      <c r="A984" s="387"/>
      <c r="B984" s="190" t="s">
        <v>3107</v>
      </c>
      <c r="C984" s="210" t="s">
        <v>11477</v>
      </c>
      <c r="D984" s="172" t="s">
        <v>11478</v>
      </c>
      <c r="E984" s="172" t="s">
        <v>11479</v>
      </c>
      <c r="F984" s="172" t="s">
        <v>11480</v>
      </c>
      <c r="G984" s="189" t="s">
        <v>3135</v>
      </c>
      <c r="H984" s="174" t="s">
        <v>36</v>
      </c>
      <c r="I984" s="180"/>
      <c r="J984" s="180"/>
    </row>
    <row r="985" spans="1:10" ht="120" customHeight="1">
      <c r="A985" s="387"/>
      <c r="B985" s="190" t="s">
        <v>3107</v>
      </c>
      <c r="C985" s="210" t="s">
        <v>3136</v>
      </c>
      <c r="D985" s="172" t="s">
        <v>3137</v>
      </c>
      <c r="E985" s="172" t="s">
        <v>3110</v>
      </c>
      <c r="F985" s="172" t="s">
        <v>3138</v>
      </c>
      <c r="G985" s="189" t="s">
        <v>3139</v>
      </c>
      <c r="H985" s="174" t="s">
        <v>36</v>
      </c>
      <c r="I985" s="180"/>
      <c r="J985" s="180"/>
    </row>
    <row r="986" spans="1:10" ht="120" customHeight="1">
      <c r="A986" s="387"/>
      <c r="B986" s="190" t="s">
        <v>3107</v>
      </c>
      <c r="C986" s="210" t="s">
        <v>3140</v>
      </c>
      <c r="D986" s="172" t="s">
        <v>3141</v>
      </c>
      <c r="E986" s="172" t="s">
        <v>3110</v>
      </c>
      <c r="F986" s="172" t="s">
        <v>3142</v>
      </c>
      <c r="G986" s="189" t="s">
        <v>11481</v>
      </c>
      <c r="H986" s="174" t="s">
        <v>24</v>
      </c>
      <c r="I986" s="180"/>
      <c r="J986" s="180"/>
    </row>
    <row r="987" spans="1:10" ht="120" customHeight="1">
      <c r="A987" s="387"/>
      <c r="B987" s="328" t="s">
        <v>3107</v>
      </c>
      <c r="C987" s="311" t="s">
        <v>3144</v>
      </c>
      <c r="D987" s="242" t="s">
        <v>3145</v>
      </c>
      <c r="E987" s="242" t="s">
        <v>3146</v>
      </c>
      <c r="F987" s="242" t="s">
        <v>3147</v>
      </c>
      <c r="G987" s="305" t="s">
        <v>3148</v>
      </c>
      <c r="H987" s="406" t="s">
        <v>184</v>
      </c>
      <c r="I987" s="180"/>
      <c r="J987" s="180"/>
    </row>
    <row r="988" spans="1:10" ht="120" customHeight="1">
      <c r="A988" s="381"/>
      <c r="B988" s="190" t="s">
        <v>3107</v>
      </c>
      <c r="C988" s="210" t="s">
        <v>11482</v>
      </c>
      <c r="D988" s="323" t="s">
        <v>3149</v>
      </c>
      <c r="E988" s="323" t="s">
        <v>3110</v>
      </c>
      <c r="F988" s="323" t="s">
        <v>3150</v>
      </c>
      <c r="G988" s="338" t="s">
        <v>3151</v>
      </c>
      <c r="H988" s="174" t="s">
        <v>41</v>
      </c>
      <c r="I988" s="326"/>
      <c r="J988" s="180"/>
    </row>
    <row r="989" spans="1:10" ht="120" customHeight="1">
      <c r="A989" s="381"/>
      <c r="B989" s="190" t="s">
        <v>3107</v>
      </c>
      <c r="C989" s="172" t="s">
        <v>3152</v>
      </c>
      <c r="D989" s="323" t="s">
        <v>3153</v>
      </c>
      <c r="E989" s="323" t="s">
        <v>3110</v>
      </c>
      <c r="F989" s="323" t="s">
        <v>11483</v>
      </c>
      <c r="G989" s="338" t="s">
        <v>3154</v>
      </c>
      <c r="H989" s="174" t="s">
        <v>41</v>
      </c>
      <c r="I989" s="326"/>
      <c r="J989" s="180"/>
    </row>
    <row r="990" spans="1:10" ht="120" customHeight="1">
      <c r="A990" s="387"/>
      <c r="B990" s="329" t="s">
        <v>3107</v>
      </c>
      <c r="C990" s="310" t="s">
        <v>3155</v>
      </c>
      <c r="D990" s="301" t="s">
        <v>3156</v>
      </c>
      <c r="E990" s="301" t="s">
        <v>3110</v>
      </c>
      <c r="F990" s="301" t="s">
        <v>11484</v>
      </c>
      <c r="G990" s="302" t="s">
        <v>3157</v>
      </c>
      <c r="H990" s="405" t="s">
        <v>41</v>
      </c>
      <c r="I990" s="180"/>
      <c r="J990" s="180"/>
    </row>
    <row r="991" spans="1:10" ht="120" customHeight="1">
      <c r="A991" s="387"/>
      <c r="B991" s="190" t="s">
        <v>3107</v>
      </c>
      <c r="C991" s="210" t="s">
        <v>3158</v>
      </c>
      <c r="D991" s="172" t="s">
        <v>3159</v>
      </c>
      <c r="E991" s="172" t="s">
        <v>3110</v>
      </c>
      <c r="F991" s="172" t="s">
        <v>11485</v>
      </c>
      <c r="G991" s="189" t="s">
        <v>3160</v>
      </c>
      <c r="H991" s="174" t="s">
        <v>41</v>
      </c>
      <c r="I991" s="180"/>
      <c r="J991" s="180"/>
    </row>
    <row r="992" spans="1:10" ht="120" customHeight="1">
      <c r="A992" s="387"/>
      <c r="B992" s="190" t="s">
        <v>3107</v>
      </c>
      <c r="C992" s="210" t="s">
        <v>3161</v>
      </c>
      <c r="D992" s="172" t="s">
        <v>3162</v>
      </c>
      <c r="E992" s="172" t="s">
        <v>3110</v>
      </c>
      <c r="F992" s="172" t="s">
        <v>11486</v>
      </c>
      <c r="G992" s="189" t="s">
        <v>3163</v>
      </c>
      <c r="H992" s="174" t="s">
        <v>41</v>
      </c>
      <c r="I992" s="180"/>
      <c r="J992" s="180"/>
    </row>
    <row r="993" spans="1:10" ht="120" customHeight="1">
      <c r="A993" s="387"/>
      <c r="B993" s="190" t="s">
        <v>3107</v>
      </c>
      <c r="C993" s="210" t="s">
        <v>3164</v>
      </c>
      <c r="D993" s="172" t="s">
        <v>3165</v>
      </c>
      <c r="E993" s="172" t="s">
        <v>3110</v>
      </c>
      <c r="F993" s="172" t="s">
        <v>11487</v>
      </c>
      <c r="G993" s="189" t="s">
        <v>3166</v>
      </c>
      <c r="H993" s="174" t="s">
        <v>41</v>
      </c>
      <c r="I993" s="180"/>
      <c r="J993" s="180"/>
    </row>
    <row r="994" spans="1:10" ht="120" customHeight="1">
      <c r="A994" s="387"/>
      <c r="B994" s="190" t="s">
        <v>3107</v>
      </c>
      <c r="C994" s="210" t="s">
        <v>3167</v>
      </c>
      <c r="D994" s="172" t="s">
        <v>3168</v>
      </c>
      <c r="E994" s="172" t="s">
        <v>3110</v>
      </c>
      <c r="F994" s="172" t="s">
        <v>3169</v>
      </c>
      <c r="G994" s="189" t="s">
        <v>3170</v>
      </c>
      <c r="H994" s="174" t="s">
        <v>24</v>
      </c>
      <c r="I994" s="180"/>
      <c r="J994" s="180"/>
    </row>
    <row r="995" spans="1:10" ht="120" customHeight="1">
      <c r="A995" s="387"/>
      <c r="B995" s="190" t="s">
        <v>3107</v>
      </c>
      <c r="C995" s="210" t="s">
        <v>3171</v>
      </c>
      <c r="D995" s="172" t="s">
        <v>3172</v>
      </c>
      <c r="E995" s="172" t="s">
        <v>3110</v>
      </c>
      <c r="F995" s="172" t="s">
        <v>11488</v>
      </c>
      <c r="G995" s="189" t="s">
        <v>3173</v>
      </c>
      <c r="H995" s="174" t="s">
        <v>36</v>
      </c>
      <c r="I995" s="180"/>
      <c r="J995" s="180"/>
    </row>
    <row r="996" spans="1:10" ht="120" customHeight="1">
      <c r="A996" s="387"/>
      <c r="B996" s="190" t="s">
        <v>3107</v>
      </c>
      <c r="C996" s="210" t="s">
        <v>11489</v>
      </c>
      <c r="D996" s="172" t="s">
        <v>3174</v>
      </c>
      <c r="E996" s="172" t="s">
        <v>3110</v>
      </c>
      <c r="F996" s="172" t="s">
        <v>11490</v>
      </c>
      <c r="G996" s="189" t="s">
        <v>11491</v>
      </c>
      <c r="H996" s="174" t="s">
        <v>36</v>
      </c>
      <c r="I996" s="180"/>
      <c r="J996" s="180"/>
    </row>
    <row r="997" spans="1:10" ht="120" customHeight="1">
      <c r="A997" s="387"/>
      <c r="B997" s="190" t="s">
        <v>3107</v>
      </c>
      <c r="C997" s="210" t="s">
        <v>3176</v>
      </c>
      <c r="D997" s="172" t="s">
        <v>3177</v>
      </c>
      <c r="E997" s="172" t="s">
        <v>3110</v>
      </c>
      <c r="F997" s="172" t="s">
        <v>3178</v>
      </c>
      <c r="G997" s="189" t="s">
        <v>3179</v>
      </c>
      <c r="H997" s="174" t="s">
        <v>24</v>
      </c>
      <c r="I997" s="180"/>
      <c r="J997" s="180"/>
    </row>
    <row r="998" spans="1:10" ht="120" customHeight="1">
      <c r="A998" s="387"/>
      <c r="B998" s="190" t="s">
        <v>3107</v>
      </c>
      <c r="C998" s="210" t="s">
        <v>3180</v>
      </c>
      <c r="D998" s="172" t="s">
        <v>3181</v>
      </c>
      <c r="E998" s="172" t="s">
        <v>3182</v>
      </c>
      <c r="F998" s="172" t="s">
        <v>3183</v>
      </c>
      <c r="G998" s="189" t="s">
        <v>3184</v>
      </c>
      <c r="H998" s="174" t="s">
        <v>117</v>
      </c>
      <c r="I998" s="180"/>
      <c r="J998" s="180"/>
    </row>
    <row r="999" spans="1:10" ht="120" customHeight="1">
      <c r="A999" s="387"/>
      <c r="B999" s="190" t="s">
        <v>3107</v>
      </c>
      <c r="C999" s="210" t="s">
        <v>3185</v>
      </c>
      <c r="D999" s="172" t="s">
        <v>3186</v>
      </c>
      <c r="E999" s="172" t="s">
        <v>359</v>
      </c>
      <c r="F999" s="172" t="s">
        <v>3187</v>
      </c>
      <c r="G999" s="189" t="s">
        <v>3188</v>
      </c>
      <c r="H999" s="174" t="s">
        <v>24</v>
      </c>
      <c r="I999" s="180"/>
      <c r="J999" s="180"/>
    </row>
    <row r="1000" spans="1:10" ht="120" customHeight="1">
      <c r="A1000" s="387"/>
      <c r="B1000" s="190" t="s">
        <v>3107</v>
      </c>
      <c r="C1000" s="210" t="s">
        <v>3189</v>
      </c>
      <c r="D1000" s="172" t="s">
        <v>3190</v>
      </c>
      <c r="E1000" s="172" t="s">
        <v>3110</v>
      </c>
      <c r="F1000" s="172" t="s">
        <v>11492</v>
      </c>
      <c r="G1000" s="189" t="s">
        <v>3191</v>
      </c>
      <c r="H1000" s="174" t="s">
        <v>24</v>
      </c>
      <c r="I1000" s="180"/>
      <c r="J1000" s="180"/>
    </row>
    <row r="1001" spans="1:10" ht="120" customHeight="1">
      <c r="A1001" s="387"/>
      <c r="B1001" s="190" t="s">
        <v>3107</v>
      </c>
      <c r="C1001" s="210" t="s">
        <v>3192</v>
      </c>
      <c r="D1001" s="172" t="s">
        <v>3193</v>
      </c>
      <c r="E1001" s="172" t="s">
        <v>3110</v>
      </c>
      <c r="F1001" s="172" t="s">
        <v>11493</v>
      </c>
      <c r="G1001" s="189" t="s">
        <v>3194</v>
      </c>
      <c r="H1001" s="174" t="s">
        <v>24</v>
      </c>
      <c r="I1001" s="180"/>
      <c r="J1001" s="180"/>
    </row>
    <row r="1002" spans="1:10" ht="120" customHeight="1">
      <c r="A1002" s="387"/>
      <c r="B1002" s="190" t="s">
        <v>3107</v>
      </c>
      <c r="C1002" s="210" t="s">
        <v>3195</v>
      </c>
      <c r="D1002" s="172" t="s">
        <v>3196</v>
      </c>
      <c r="E1002" s="172" t="s">
        <v>3110</v>
      </c>
      <c r="F1002" s="172" t="s">
        <v>3197</v>
      </c>
      <c r="G1002" s="189" t="s">
        <v>3198</v>
      </c>
      <c r="H1002" s="174" t="s">
        <v>36</v>
      </c>
      <c r="I1002" s="180"/>
      <c r="J1002" s="180"/>
    </row>
    <row r="1003" spans="1:10" ht="120" customHeight="1">
      <c r="A1003" s="387"/>
      <c r="B1003" s="190" t="s">
        <v>3107</v>
      </c>
      <c r="C1003" s="210" t="s">
        <v>3199</v>
      </c>
      <c r="D1003" s="172" t="s">
        <v>3200</v>
      </c>
      <c r="E1003" s="172" t="s">
        <v>3110</v>
      </c>
      <c r="F1003" s="172" t="s">
        <v>3201</v>
      </c>
      <c r="G1003" s="189" t="s">
        <v>3202</v>
      </c>
      <c r="H1003" s="174" t="s">
        <v>24</v>
      </c>
      <c r="I1003" s="180"/>
      <c r="J1003" s="180"/>
    </row>
    <row r="1004" spans="1:10" ht="120" customHeight="1">
      <c r="A1004" s="387"/>
      <c r="B1004" s="190" t="s">
        <v>3107</v>
      </c>
      <c r="C1004" s="210" t="s">
        <v>11494</v>
      </c>
      <c r="D1004" s="172" t="s">
        <v>3203</v>
      </c>
      <c r="E1004" s="172" t="s">
        <v>11479</v>
      </c>
      <c r="F1004" s="172" t="s">
        <v>11495</v>
      </c>
      <c r="G1004" s="189" t="s">
        <v>3204</v>
      </c>
      <c r="H1004" s="174" t="s">
        <v>36</v>
      </c>
      <c r="I1004" s="180"/>
      <c r="J1004" s="180"/>
    </row>
    <row r="1005" spans="1:10" ht="120" customHeight="1">
      <c r="A1005" s="387"/>
      <c r="B1005" s="190" t="s">
        <v>3107</v>
      </c>
      <c r="C1005" s="210" t="s">
        <v>3205</v>
      </c>
      <c r="D1005" s="172" t="s">
        <v>3206</v>
      </c>
      <c r="E1005" s="172" t="s">
        <v>3110</v>
      </c>
      <c r="F1005" s="172" t="s">
        <v>11496</v>
      </c>
      <c r="G1005" s="189" t="s">
        <v>11497</v>
      </c>
      <c r="H1005" s="174" t="s">
        <v>24</v>
      </c>
      <c r="I1005" s="180"/>
      <c r="J1005" s="180"/>
    </row>
    <row r="1006" spans="1:10" ht="120" customHeight="1">
      <c r="A1006" s="387"/>
      <c r="B1006" s="190" t="s">
        <v>3107</v>
      </c>
      <c r="C1006" s="210" t="s">
        <v>3209</v>
      </c>
      <c r="D1006" s="177" t="s">
        <v>3210</v>
      </c>
      <c r="E1006" s="177" t="s">
        <v>3119</v>
      </c>
      <c r="F1006" s="177" t="s">
        <v>3211</v>
      </c>
      <c r="G1006" s="203" t="s">
        <v>3212</v>
      </c>
      <c r="H1006" s="181" t="s">
        <v>24</v>
      </c>
      <c r="I1006" s="192"/>
      <c r="J1006" s="192"/>
    </row>
    <row r="1007" spans="1:10" ht="120" customHeight="1">
      <c r="A1007" s="387"/>
      <c r="B1007" s="190" t="s">
        <v>3107</v>
      </c>
      <c r="C1007" s="210" t="s">
        <v>3213</v>
      </c>
      <c r="D1007" s="172" t="s">
        <v>3214</v>
      </c>
      <c r="E1007" s="172" t="s">
        <v>3110</v>
      </c>
      <c r="F1007" s="172" t="s">
        <v>11498</v>
      </c>
      <c r="G1007" s="189" t="s">
        <v>3215</v>
      </c>
      <c r="H1007" s="174" t="s">
        <v>24</v>
      </c>
      <c r="I1007" s="180"/>
      <c r="J1007" s="180"/>
    </row>
    <row r="1008" spans="1:10" ht="120" customHeight="1">
      <c r="A1008" s="387"/>
      <c r="B1008" s="190" t="s">
        <v>3107</v>
      </c>
      <c r="C1008" s="210" t="s">
        <v>3216</v>
      </c>
      <c r="D1008" s="172" t="s">
        <v>3217</v>
      </c>
      <c r="E1008" s="172" t="s">
        <v>3110</v>
      </c>
      <c r="F1008" s="172" t="s">
        <v>3218</v>
      </c>
      <c r="G1008" s="189" t="s">
        <v>3219</v>
      </c>
      <c r="H1008" s="174" t="s">
        <v>24</v>
      </c>
      <c r="I1008" s="180"/>
      <c r="J1008" s="180"/>
    </row>
    <row r="1009" spans="1:10" ht="120" customHeight="1">
      <c r="A1009" s="387"/>
      <c r="B1009" s="190" t="s">
        <v>3107</v>
      </c>
      <c r="C1009" s="210" t="s">
        <v>3220</v>
      </c>
      <c r="D1009" s="172" t="s">
        <v>3221</v>
      </c>
      <c r="E1009" s="172" t="s">
        <v>3110</v>
      </c>
      <c r="F1009" s="172" t="s">
        <v>3222</v>
      </c>
      <c r="G1009" s="189" t="s">
        <v>3223</v>
      </c>
      <c r="H1009" s="174" t="s">
        <v>36</v>
      </c>
      <c r="I1009" s="180"/>
      <c r="J1009" s="180"/>
    </row>
    <row r="1010" spans="1:10" ht="120" customHeight="1">
      <c r="A1010" s="387"/>
      <c r="B1010" s="190" t="s">
        <v>3107</v>
      </c>
      <c r="C1010" s="210" t="s">
        <v>3224</v>
      </c>
      <c r="D1010" s="172" t="s">
        <v>3225</v>
      </c>
      <c r="E1010" s="172" t="s">
        <v>3110</v>
      </c>
      <c r="F1010" s="172" t="s">
        <v>3226</v>
      </c>
      <c r="G1010" s="189" t="s">
        <v>3227</v>
      </c>
      <c r="H1010" s="174" t="s">
        <v>24</v>
      </c>
      <c r="I1010" s="180"/>
      <c r="J1010" s="180"/>
    </row>
    <row r="1011" spans="1:10" ht="120" customHeight="1">
      <c r="A1011" s="387"/>
      <c r="B1011" s="190" t="s">
        <v>3107</v>
      </c>
      <c r="C1011" s="210" t="s">
        <v>11499</v>
      </c>
      <c r="D1011" s="172" t="s">
        <v>11500</v>
      </c>
      <c r="E1011" s="172" t="s">
        <v>3110</v>
      </c>
      <c r="F1011" s="172" t="s">
        <v>3229</v>
      </c>
      <c r="G1011" s="189" t="s">
        <v>3230</v>
      </c>
      <c r="H1011" s="174" t="s">
        <v>24</v>
      </c>
      <c r="I1011" s="180"/>
      <c r="J1011" s="180"/>
    </row>
    <row r="1012" spans="1:10" ht="120" customHeight="1">
      <c r="A1012" s="387"/>
      <c r="B1012" s="190" t="s">
        <v>3107</v>
      </c>
      <c r="C1012" s="210" t="s">
        <v>3231</v>
      </c>
      <c r="D1012" s="172" t="s">
        <v>3232</v>
      </c>
      <c r="E1012" s="172" t="s">
        <v>3110</v>
      </c>
      <c r="F1012" s="172" t="s">
        <v>3233</v>
      </c>
      <c r="G1012" s="189" t="s">
        <v>3234</v>
      </c>
      <c r="H1012" s="174" t="s">
        <v>62</v>
      </c>
      <c r="I1012" s="180"/>
      <c r="J1012" s="180"/>
    </row>
    <row r="1013" spans="1:10" ht="120" customHeight="1">
      <c r="A1013" s="387"/>
      <c r="B1013" s="190" t="s">
        <v>3107</v>
      </c>
      <c r="C1013" s="210" t="s">
        <v>11501</v>
      </c>
      <c r="D1013" s="172" t="s">
        <v>11502</v>
      </c>
      <c r="E1013" s="172" t="s">
        <v>23</v>
      </c>
      <c r="F1013" s="172" t="s">
        <v>11503</v>
      </c>
      <c r="G1013" s="189" t="s">
        <v>11504</v>
      </c>
      <c r="H1013" s="174" t="s">
        <v>24</v>
      </c>
      <c r="I1013" s="180"/>
      <c r="J1013" s="180"/>
    </row>
    <row r="1014" spans="1:10" ht="120" customHeight="1">
      <c r="A1014" s="387"/>
      <c r="B1014" s="328" t="s">
        <v>3107</v>
      </c>
      <c r="C1014" s="311" t="s">
        <v>3237</v>
      </c>
      <c r="D1014" s="242" t="s">
        <v>3238</v>
      </c>
      <c r="E1014" s="242" t="s">
        <v>23</v>
      </c>
      <c r="F1014" s="242" t="s">
        <v>3239</v>
      </c>
      <c r="G1014" s="305" t="s">
        <v>3240</v>
      </c>
      <c r="H1014" s="406" t="s">
        <v>41</v>
      </c>
      <c r="I1014" s="180"/>
      <c r="J1014" s="180"/>
    </row>
    <row r="1015" spans="1:10" ht="120" customHeight="1">
      <c r="A1015" s="387"/>
      <c r="B1015" s="329" t="s">
        <v>3107</v>
      </c>
      <c r="C1015" s="310" t="s">
        <v>3243</v>
      </c>
      <c r="D1015" s="301" t="s">
        <v>3244</v>
      </c>
      <c r="E1015" s="301" t="s">
        <v>3110</v>
      </c>
      <c r="F1015" s="301" t="s">
        <v>3245</v>
      </c>
      <c r="G1015" s="302" t="s">
        <v>3246</v>
      </c>
      <c r="H1015" s="405" t="s">
        <v>30</v>
      </c>
      <c r="I1015" s="180"/>
      <c r="J1015" s="180"/>
    </row>
    <row r="1016" spans="1:10" ht="120" customHeight="1">
      <c r="A1016" s="387"/>
      <c r="B1016" s="190" t="s">
        <v>3107</v>
      </c>
      <c r="C1016" s="210" t="s">
        <v>3247</v>
      </c>
      <c r="D1016" s="172" t="s">
        <v>3248</v>
      </c>
      <c r="E1016" s="172" t="s">
        <v>3110</v>
      </c>
      <c r="F1016" s="172" t="s">
        <v>3249</v>
      </c>
      <c r="G1016" s="189" t="s">
        <v>3250</v>
      </c>
      <c r="H1016" s="174" t="s">
        <v>24</v>
      </c>
      <c r="I1016" s="180"/>
      <c r="J1016" s="180"/>
    </row>
    <row r="1017" spans="1:10" ht="120" customHeight="1">
      <c r="A1017" s="387"/>
      <c r="B1017" s="190" t="s">
        <v>3107</v>
      </c>
      <c r="C1017" s="210" t="s">
        <v>3251</v>
      </c>
      <c r="D1017" s="172" t="s">
        <v>3252</v>
      </c>
      <c r="E1017" s="172" t="s">
        <v>3110</v>
      </c>
      <c r="F1017" s="172" t="s">
        <v>3253</v>
      </c>
      <c r="G1017" s="189" t="s">
        <v>3254</v>
      </c>
      <c r="H1017" s="174" t="s">
        <v>24</v>
      </c>
      <c r="I1017" s="180"/>
      <c r="J1017" s="180"/>
    </row>
    <row r="1018" spans="1:10" ht="120" customHeight="1">
      <c r="A1018" s="387"/>
      <c r="B1018" s="190" t="s">
        <v>3107</v>
      </c>
      <c r="C1018" s="210" t="s">
        <v>3255</v>
      </c>
      <c r="D1018" s="172" t="s">
        <v>3256</v>
      </c>
      <c r="E1018" s="172" t="s">
        <v>3110</v>
      </c>
      <c r="F1018" s="172" t="s">
        <v>3257</v>
      </c>
      <c r="G1018" s="189" t="s">
        <v>3258</v>
      </c>
      <c r="H1018" s="174" t="s">
        <v>24</v>
      </c>
      <c r="I1018" s="180"/>
      <c r="J1018" s="180"/>
    </row>
    <row r="1019" spans="1:10" ht="120" customHeight="1">
      <c r="A1019" s="387"/>
      <c r="B1019" s="190" t="s">
        <v>3107</v>
      </c>
      <c r="C1019" s="210" t="s">
        <v>3259</v>
      </c>
      <c r="D1019" s="172" t="s">
        <v>3260</v>
      </c>
      <c r="E1019" s="172" t="s">
        <v>3261</v>
      </c>
      <c r="F1019" s="172" t="s">
        <v>3262</v>
      </c>
      <c r="G1019" s="189" t="s">
        <v>3263</v>
      </c>
      <c r="H1019" s="174" t="s">
        <v>24</v>
      </c>
      <c r="I1019" s="180"/>
      <c r="J1019" s="180"/>
    </row>
    <row r="1020" spans="1:10" ht="120" customHeight="1">
      <c r="A1020" s="387"/>
      <c r="B1020" s="190" t="s">
        <v>3107</v>
      </c>
      <c r="C1020" s="210" t="s">
        <v>3264</v>
      </c>
      <c r="D1020" s="172" t="s">
        <v>3265</v>
      </c>
      <c r="E1020" s="172" t="s">
        <v>23</v>
      </c>
      <c r="F1020" s="172" t="s">
        <v>3266</v>
      </c>
      <c r="G1020" s="189" t="s">
        <v>3267</v>
      </c>
      <c r="H1020" s="174" t="s">
        <v>41</v>
      </c>
      <c r="I1020" s="180"/>
      <c r="J1020" s="180"/>
    </row>
    <row r="1021" spans="1:10" ht="120" customHeight="1">
      <c r="A1021" s="387"/>
      <c r="B1021" s="190" t="s">
        <v>3107</v>
      </c>
      <c r="C1021" s="210" t="s">
        <v>3268</v>
      </c>
      <c r="D1021" s="172" t="s">
        <v>3269</v>
      </c>
      <c r="E1021" s="172" t="s">
        <v>3110</v>
      </c>
      <c r="F1021" s="172" t="s">
        <v>11505</v>
      </c>
      <c r="G1021" s="189" t="s">
        <v>3270</v>
      </c>
      <c r="H1021" s="174" t="s">
        <v>24</v>
      </c>
      <c r="I1021" s="180"/>
      <c r="J1021" s="180"/>
    </row>
    <row r="1022" spans="1:10" ht="120" customHeight="1">
      <c r="A1022" s="387"/>
      <c r="B1022" s="190" t="s">
        <v>3107</v>
      </c>
      <c r="C1022" s="210" t="s">
        <v>3271</v>
      </c>
      <c r="D1022" s="172" t="s">
        <v>3272</v>
      </c>
      <c r="E1022" s="172" t="s">
        <v>23</v>
      </c>
      <c r="F1022" s="172" t="s">
        <v>11506</v>
      </c>
      <c r="G1022" s="189" t="s">
        <v>11507</v>
      </c>
      <c r="H1022" s="174" t="s">
        <v>36</v>
      </c>
      <c r="I1022" s="180"/>
      <c r="J1022" s="180"/>
    </row>
    <row r="1023" spans="1:10" ht="120" customHeight="1">
      <c r="A1023" s="387"/>
      <c r="B1023" s="190" t="s">
        <v>3107</v>
      </c>
      <c r="C1023" s="210" t="s">
        <v>3275</v>
      </c>
      <c r="D1023" s="172" t="s">
        <v>3276</v>
      </c>
      <c r="E1023" s="172" t="s">
        <v>23</v>
      </c>
      <c r="F1023" s="172" t="s">
        <v>3277</v>
      </c>
      <c r="G1023" s="189" t="s">
        <v>11508</v>
      </c>
      <c r="H1023" s="174" t="s">
        <v>36</v>
      </c>
      <c r="I1023" s="180"/>
      <c r="J1023" s="180"/>
    </row>
    <row r="1024" spans="1:10" ht="120" customHeight="1">
      <c r="A1024" s="387"/>
      <c r="B1024" s="190" t="s">
        <v>3107</v>
      </c>
      <c r="C1024" s="210" t="s">
        <v>11509</v>
      </c>
      <c r="D1024" s="172" t="s">
        <v>11510</v>
      </c>
      <c r="E1024" s="172" t="s">
        <v>3110</v>
      </c>
      <c r="F1024" s="172" t="s">
        <v>3279</v>
      </c>
      <c r="G1024" s="189" t="s">
        <v>3280</v>
      </c>
      <c r="H1024" s="174" t="s">
        <v>184</v>
      </c>
      <c r="I1024" s="180"/>
      <c r="J1024" s="180"/>
    </row>
    <row r="1025" spans="1:10" ht="120" customHeight="1">
      <c r="A1025" s="387"/>
      <c r="B1025" s="190" t="s">
        <v>3107</v>
      </c>
      <c r="C1025" s="210" t="s">
        <v>3281</v>
      </c>
      <c r="D1025" s="172" t="s">
        <v>11511</v>
      </c>
      <c r="E1025" s="172" t="s">
        <v>3110</v>
      </c>
      <c r="F1025" s="172" t="s">
        <v>3282</v>
      </c>
      <c r="G1025" s="189" t="s">
        <v>3283</v>
      </c>
      <c r="H1025" s="174" t="s">
        <v>36</v>
      </c>
      <c r="I1025" s="180"/>
      <c r="J1025" s="180"/>
    </row>
    <row r="1026" spans="1:10" ht="120" customHeight="1">
      <c r="A1026" s="387"/>
      <c r="B1026" s="190" t="s">
        <v>3107</v>
      </c>
      <c r="C1026" s="210" t="s">
        <v>11512</v>
      </c>
      <c r="D1026" s="172" t="s">
        <v>3284</v>
      </c>
      <c r="E1026" s="172" t="s">
        <v>3110</v>
      </c>
      <c r="F1026" s="172" t="s">
        <v>11513</v>
      </c>
      <c r="G1026" s="189" t="s">
        <v>11514</v>
      </c>
      <c r="H1026" s="174" t="s">
        <v>36</v>
      </c>
      <c r="I1026" s="180"/>
      <c r="J1026" s="180"/>
    </row>
    <row r="1027" spans="1:10" ht="120" customHeight="1">
      <c r="A1027" s="387"/>
      <c r="B1027" s="190" t="s">
        <v>3107</v>
      </c>
      <c r="C1027" s="210" t="s">
        <v>3285</v>
      </c>
      <c r="D1027" s="172" t="s">
        <v>3286</v>
      </c>
      <c r="E1027" s="172" t="s">
        <v>3287</v>
      </c>
      <c r="F1027" s="172" t="s">
        <v>11515</v>
      </c>
      <c r="G1027" s="189" t="s">
        <v>3288</v>
      </c>
      <c r="H1027" s="174" t="s">
        <v>62</v>
      </c>
      <c r="I1027" s="180"/>
      <c r="J1027" s="180"/>
    </row>
    <row r="1028" spans="1:10" ht="120" customHeight="1">
      <c r="A1028" s="387"/>
      <c r="B1028" s="190" t="s">
        <v>3107</v>
      </c>
      <c r="C1028" s="210" t="s">
        <v>11516</v>
      </c>
      <c r="D1028" s="172" t="s">
        <v>11517</v>
      </c>
      <c r="E1028" s="172" t="s">
        <v>3287</v>
      </c>
      <c r="F1028" s="172" t="s">
        <v>11518</v>
      </c>
      <c r="G1028" s="189" t="s">
        <v>11519</v>
      </c>
      <c r="H1028" s="174" t="s">
        <v>62</v>
      </c>
      <c r="I1028" s="180"/>
      <c r="J1028" s="180"/>
    </row>
    <row r="1029" spans="1:10" ht="120" customHeight="1">
      <c r="A1029" s="387"/>
      <c r="B1029" s="190" t="s">
        <v>3107</v>
      </c>
      <c r="C1029" s="210" t="s">
        <v>3291</v>
      </c>
      <c r="D1029" s="172" t="s">
        <v>3292</v>
      </c>
      <c r="E1029" s="172" t="s">
        <v>2876</v>
      </c>
      <c r="F1029" s="172" t="s">
        <v>11520</v>
      </c>
      <c r="G1029" s="189" t="s">
        <v>3294</v>
      </c>
      <c r="H1029" s="174" t="s">
        <v>62</v>
      </c>
      <c r="I1029" s="180"/>
      <c r="J1029" s="180"/>
    </row>
    <row r="1030" spans="1:10" ht="120" customHeight="1">
      <c r="A1030" s="387"/>
      <c r="B1030" s="190" t="s">
        <v>3107</v>
      </c>
      <c r="C1030" s="210" t="s">
        <v>3295</v>
      </c>
      <c r="D1030" s="172" t="s">
        <v>11521</v>
      </c>
      <c r="E1030" s="172" t="s">
        <v>2876</v>
      </c>
      <c r="F1030" s="172" t="s">
        <v>3297</v>
      </c>
      <c r="G1030" s="189" t="s">
        <v>3298</v>
      </c>
      <c r="H1030" s="174" t="s">
        <v>62</v>
      </c>
      <c r="I1030" s="180"/>
      <c r="J1030" s="180"/>
    </row>
    <row r="1031" spans="1:10" ht="120" customHeight="1">
      <c r="A1031" s="387"/>
      <c r="B1031" s="190" t="s">
        <v>3107</v>
      </c>
      <c r="C1031" s="210" t="s">
        <v>3299</v>
      </c>
      <c r="D1031" s="172" t="s">
        <v>3300</v>
      </c>
      <c r="E1031" s="172" t="s">
        <v>2876</v>
      </c>
      <c r="F1031" s="172" t="s">
        <v>3301</v>
      </c>
      <c r="G1031" s="189" t="s">
        <v>3302</v>
      </c>
      <c r="H1031" s="174" t="s">
        <v>62</v>
      </c>
      <c r="I1031" s="180"/>
      <c r="J1031" s="180"/>
    </row>
    <row r="1032" spans="1:10" ht="120" customHeight="1">
      <c r="A1032" s="387"/>
      <c r="B1032" s="190" t="s">
        <v>3107</v>
      </c>
      <c r="C1032" s="172" t="s">
        <v>3303</v>
      </c>
      <c r="D1032" s="172" t="s">
        <v>3304</v>
      </c>
      <c r="E1032" s="172" t="s">
        <v>3110</v>
      </c>
      <c r="F1032" s="172" t="s">
        <v>3305</v>
      </c>
      <c r="G1032" s="189" t="s">
        <v>3306</v>
      </c>
      <c r="H1032" s="174" t="s">
        <v>24</v>
      </c>
      <c r="I1032" s="180"/>
      <c r="J1032" s="180"/>
    </row>
    <row r="1033" spans="1:10" ht="120" customHeight="1">
      <c r="A1033" s="387"/>
      <c r="B1033" s="190" t="s">
        <v>3107</v>
      </c>
      <c r="C1033" s="172" t="s">
        <v>3307</v>
      </c>
      <c r="D1033" s="172" t="s">
        <v>3308</v>
      </c>
      <c r="E1033" s="172" t="s">
        <v>3110</v>
      </c>
      <c r="F1033" s="172" t="s">
        <v>11522</v>
      </c>
      <c r="G1033" s="189" t="s">
        <v>11523</v>
      </c>
      <c r="H1033" s="174" t="s">
        <v>36</v>
      </c>
      <c r="I1033" s="180"/>
      <c r="J1033" s="180"/>
    </row>
    <row r="1034" spans="1:10" ht="120" customHeight="1">
      <c r="A1034" s="387"/>
      <c r="B1034" s="190" t="s">
        <v>3107</v>
      </c>
      <c r="C1034" s="172" t="s">
        <v>3311</v>
      </c>
      <c r="D1034" s="172" t="s">
        <v>3312</v>
      </c>
      <c r="E1034" s="172" t="s">
        <v>3110</v>
      </c>
      <c r="F1034" s="172" t="s">
        <v>11524</v>
      </c>
      <c r="G1034" s="189" t="s">
        <v>3314</v>
      </c>
      <c r="H1034" s="174" t="s">
        <v>41</v>
      </c>
      <c r="I1034" s="180"/>
      <c r="J1034" s="180"/>
    </row>
    <row r="1035" spans="1:10" ht="120" customHeight="1">
      <c r="A1035" s="387"/>
      <c r="B1035" s="190" t="s">
        <v>3107</v>
      </c>
      <c r="C1035" s="172" t="s">
        <v>3315</v>
      </c>
      <c r="D1035" s="172" t="s">
        <v>3316</v>
      </c>
      <c r="E1035" s="172" t="s">
        <v>3110</v>
      </c>
      <c r="F1035" s="172" t="s">
        <v>3317</v>
      </c>
      <c r="G1035" s="189" t="s">
        <v>3318</v>
      </c>
      <c r="H1035" s="174" t="s">
        <v>36</v>
      </c>
      <c r="I1035" s="180"/>
      <c r="J1035" s="180"/>
    </row>
    <row r="1036" spans="1:10" ht="120" customHeight="1">
      <c r="A1036" s="387"/>
      <c r="B1036" s="190" t="s">
        <v>3107</v>
      </c>
      <c r="C1036" s="172" t="s">
        <v>3319</v>
      </c>
      <c r="D1036" s="172" t="s">
        <v>3320</v>
      </c>
      <c r="E1036" s="172" t="s">
        <v>3110</v>
      </c>
      <c r="F1036" s="172" t="s">
        <v>11525</v>
      </c>
      <c r="G1036" s="189" t="s">
        <v>3322</v>
      </c>
      <c r="H1036" s="174" t="s">
        <v>36</v>
      </c>
      <c r="I1036" s="180"/>
      <c r="J1036" s="180"/>
    </row>
    <row r="1037" spans="1:10" ht="120" customHeight="1">
      <c r="A1037" s="387"/>
      <c r="B1037" s="190" t="s">
        <v>3107</v>
      </c>
      <c r="C1037" s="172" t="s">
        <v>3323</v>
      </c>
      <c r="D1037" s="172" t="s">
        <v>3324</v>
      </c>
      <c r="E1037" s="172" t="s">
        <v>3110</v>
      </c>
      <c r="F1037" s="172" t="s">
        <v>3325</v>
      </c>
      <c r="G1037" s="189" t="s">
        <v>3326</v>
      </c>
      <c r="H1037" s="174" t="s">
        <v>24</v>
      </c>
      <c r="I1037" s="180"/>
      <c r="J1037" s="180"/>
    </row>
    <row r="1038" spans="1:10" ht="120" customHeight="1">
      <c r="A1038" s="387"/>
      <c r="B1038" s="190" t="s">
        <v>3107</v>
      </c>
      <c r="C1038" s="172" t="s">
        <v>11526</v>
      </c>
      <c r="D1038" s="172" t="s">
        <v>11527</v>
      </c>
      <c r="E1038" s="172" t="s">
        <v>3328</v>
      </c>
      <c r="F1038" s="172" t="s">
        <v>3329</v>
      </c>
      <c r="G1038" s="189" t="s">
        <v>3330</v>
      </c>
      <c r="H1038" s="174" t="s">
        <v>62</v>
      </c>
      <c r="I1038" s="180"/>
      <c r="J1038" s="180"/>
    </row>
    <row r="1039" spans="1:10" ht="120" customHeight="1">
      <c r="A1039" s="387"/>
      <c r="B1039" s="190" t="s">
        <v>3107</v>
      </c>
      <c r="C1039" s="172" t="s">
        <v>11528</v>
      </c>
      <c r="D1039" s="172" t="s">
        <v>11529</v>
      </c>
      <c r="E1039" s="172" t="s">
        <v>23</v>
      </c>
      <c r="F1039" s="172" t="s">
        <v>3332</v>
      </c>
      <c r="G1039" s="189" t="s">
        <v>3333</v>
      </c>
      <c r="H1039" s="174" t="s">
        <v>62</v>
      </c>
      <c r="I1039" s="180"/>
      <c r="J1039" s="180"/>
    </row>
    <row r="1040" spans="1:10" ht="120" customHeight="1">
      <c r="A1040" s="387"/>
      <c r="B1040" s="190" t="s">
        <v>3107</v>
      </c>
      <c r="C1040" s="172" t="s">
        <v>3334</v>
      </c>
      <c r="D1040" s="172" t="s">
        <v>3335</v>
      </c>
      <c r="E1040" s="172" t="s">
        <v>23</v>
      </c>
      <c r="F1040" s="172" t="s">
        <v>3336</v>
      </c>
      <c r="G1040" s="189" t="s">
        <v>3337</v>
      </c>
      <c r="H1040" s="174" t="s">
        <v>41</v>
      </c>
      <c r="I1040" s="180"/>
      <c r="J1040" s="180"/>
    </row>
    <row r="1041" spans="1:10" ht="120" customHeight="1">
      <c r="A1041" s="387"/>
      <c r="B1041" s="190" t="s">
        <v>3107</v>
      </c>
      <c r="C1041" s="172" t="s">
        <v>3338</v>
      </c>
      <c r="D1041" s="172" t="s">
        <v>3339</v>
      </c>
      <c r="E1041" s="172" t="s">
        <v>23</v>
      </c>
      <c r="F1041" s="172" t="s">
        <v>3340</v>
      </c>
      <c r="G1041" s="189" t="s">
        <v>3341</v>
      </c>
      <c r="H1041" s="174" t="s">
        <v>62</v>
      </c>
      <c r="I1041" s="180"/>
      <c r="J1041" s="180"/>
    </row>
    <row r="1042" spans="1:10" ht="120" customHeight="1">
      <c r="A1042" s="387"/>
      <c r="B1042" s="190" t="s">
        <v>3107</v>
      </c>
      <c r="C1042" s="172" t="s">
        <v>3342</v>
      </c>
      <c r="D1042" s="172" t="s">
        <v>3343</v>
      </c>
      <c r="E1042" s="172" t="s">
        <v>23</v>
      </c>
      <c r="F1042" s="172" t="s">
        <v>3344</v>
      </c>
      <c r="G1042" s="189" t="s">
        <v>3345</v>
      </c>
      <c r="H1042" s="174" t="s">
        <v>41</v>
      </c>
      <c r="I1042" s="180"/>
      <c r="J1042" s="180"/>
    </row>
    <row r="1043" spans="1:10" ht="120" customHeight="1">
      <c r="A1043" s="387"/>
      <c r="B1043" s="190" t="s">
        <v>3107</v>
      </c>
      <c r="C1043" s="172" t="s">
        <v>3346</v>
      </c>
      <c r="D1043" s="172" t="s">
        <v>3347</v>
      </c>
      <c r="E1043" s="172" t="s">
        <v>23</v>
      </c>
      <c r="F1043" s="172" t="s">
        <v>3348</v>
      </c>
      <c r="G1043" s="189" t="s">
        <v>3349</v>
      </c>
      <c r="H1043" s="174" t="s">
        <v>41</v>
      </c>
      <c r="I1043" s="180"/>
      <c r="J1043" s="180"/>
    </row>
    <row r="1044" spans="1:10" ht="120" customHeight="1">
      <c r="A1044" s="387"/>
      <c r="B1044" s="190" t="s">
        <v>3107</v>
      </c>
      <c r="C1044" s="172" t="s">
        <v>3350</v>
      </c>
      <c r="D1044" s="172" t="s">
        <v>3351</v>
      </c>
      <c r="E1044" s="172" t="s">
        <v>23</v>
      </c>
      <c r="F1044" s="172" t="s">
        <v>3352</v>
      </c>
      <c r="G1044" s="189" t="s">
        <v>3353</v>
      </c>
      <c r="H1044" s="174" t="s">
        <v>62</v>
      </c>
      <c r="I1044" s="180"/>
      <c r="J1044" s="180"/>
    </row>
    <row r="1045" spans="1:10" ht="120" customHeight="1">
      <c r="A1045" s="387"/>
      <c r="B1045" s="190" t="s">
        <v>3107</v>
      </c>
      <c r="C1045" s="172" t="s">
        <v>3354</v>
      </c>
      <c r="D1045" s="172" t="s">
        <v>3355</v>
      </c>
      <c r="E1045" s="172" t="s">
        <v>23</v>
      </c>
      <c r="F1045" s="172" t="s">
        <v>3356</v>
      </c>
      <c r="G1045" s="189" t="s">
        <v>3345</v>
      </c>
      <c r="H1045" s="174" t="s">
        <v>41</v>
      </c>
      <c r="I1045" s="180"/>
      <c r="J1045" s="180"/>
    </row>
    <row r="1046" spans="1:10" ht="120" customHeight="1">
      <c r="A1046" s="387"/>
      <c r="B1046" s="190" t="s">
        <v>3107</v>
      </c>
      <c r="C1046" s="172" t="s">
        <v>3357</v>
      </c>
      <c r="D1046" s="172" t="s">
        <v>3358</v>
      </c>
      <c r="E1046" s="172" t="s">
        <v>23</v>
      </c>
      <c r="F1046" s="172" t="s">
        <v>3359</v>
      </c>
      <c r="G1046" s="189" t="s">
        <v>3349</v>
      </c>
      <c r="H1046" s="174" t="s">
        <v>41</v>
      </c>
      <c r="I1046" s="180"/>
      <c r="J1046" s="180"/>
    </row>
    <row r="1047" spans="1:10" ht="120" customHeight="1">
      <c r="A1047" s="387"/>
      <c r="B1047" s="190" t="s">
        <v>11530</v>
      </c>
      <c r="C1047" s="210" t="s">
        <v>11531</v>
      </c>
      <c r="D1047" s="177" t="s">
        <v>11532</v>
      </c>
      <c r="E1047" s="177" t="s">
        <v>10791</v>
      </c>
      <c r="F1047" s="177" t="s">
        <v>11533</v>
      </c>
      <c r="G1047" s="203" t="s">
        <v>3353</v>
      </c>
      <c r="H1047" s="181" t="s">
        <v>62</v>
      </c>
      <c r="I1047" s="180"/>
      <c r="J1047" s="180"/>
    </row>
    <row r="1048" spans="1:10" ht="120" customHeight="1">
      <c r="A1048" s="387"/>
      <c r="B1048" s="190" t="s">
        <v>3107</v>
      </c>
      <c r="C1048" s="172" t="s">
        <v>11534</v>
      </c>
      <c r="D1048" s="172" t="s">
        <v>3362</v>
      </c>
      <c r="E1048" s="172" t="s">
        <v>3363</v>
      </c>
      <c r="F1048" s="172" t="s">
        <v>11535</v>
      </c>
      <c r="G1048" s="189" t="s">
        <v>3365</v>
      </c>
      <c r="H1048" s="174" t="s">
        <v>41</v>
      </c>
      <c r="I1048" s="180"/>
      <c r="J1048" s="180"/>
    </row>
    <row r="1049" spans="1:10" ht="120" customHeight="1">
      <c r="A1049" s="387"/>
      <c r="B1049" s="190" t="s">
        <v>3107</v>
      </c>
      <c r="C1049" s="172" t="s">
        <v>11536</v>
      </c>
      <c r="D1049" s="172" t="s">
        <v>3366</v>
      </c>
      <c r="E1049" s="172" t="s">
        <v>3363</v>
      </c>
      <c r="F1049" s="172" t="s">
        <v>3367</v>
      </c>
      <c r="G1049" s="189" t="s">
        <v>3368</v>
      </c>
      <c r="H1049" s="174" t="s">
        <v>41</v>
      </c>
      <c r="I1049" s="180"/>
      <c r="J1049" s="180"/>
    </row>
    <row r="1050" spans="1:10" ht="120" customHeight="1">
      <c r="A1050" s="387"/>
      <c r="B1050" s="190" t="s">
        <v>3107</v>
      </c>
      <c r="C1050" s="172" t="s">
        <v>3369</v>
      </c>
      <c r="D1050" s="172" t="s">
        <v>3370</v>
      </c>
      <c r="E1050" s="172" t="s">
        <v>3363</v>
      </c>
      <c r="F1050" s="172" t="s">
        <v>3371</v>
      </c>
      <c r="G1050" s="189" t="s">
        <v>3372</v>
      </c>
      <c r="H1050" s="174" t="s">
        <v>41</v>
      </c>
      <c r="I1050" s="180"/>
      <c r="J1050" s="180"/>
    </row>
    <row r="1051" spans="1:10" ht="120" customHeight="1">
      <c r="A1051" s="387"/>
      <c r="B1051" s="190" t="s">
        <v>3107</v>
      </c>
      <c r="C1051" s="172" t="s">
        <v>3373</v>
      </c>
      <c r="D1051" s="172" t="s">
        <v>3374</v>
      </c>
      <c r="E1051" s="172" t="s">
        <v>3363</v>
      </c>
      <c r="F1051" s="172" t="s">
        <v>3375</v>
      </c>
      <c r="G1051" s="189" t="s">
        <v>3376</v>
      </c>
      <c r="H1051" s="174" t="s">
        <v>24</v>
      </c>
      <c r="I1051" s="180"/>
      <c r="J1051" s="180"/>
    </row>
    <row r="1052" spans="1:10" ht="120" customHeight="1">
      <c r="A1052" s="387"/>
      <c r="B1052" s="190" t="s">
        <v>3107</v>
      </c>
      <c r="C1052" s="172" t="s">
        <v>3377</v>
      </c>
      <c r="D1052" s="172" t="s">
        <v>11537</v>
      </c>
      <c r="E1052" s="172" t="s">
        <v>3363</v>
      </c>
      <c r="F1052" s="172" t="s">
        <v>3379</v>
      </c>
      <c r="G1052" s="189" t="s">
        <v>3380</v>
      </c>
      <c r="H1052" s="174" t="s">
        <v>24</v>
      </c>
      <c r="I1052" s="180"/>
      <c r="J1052" s="180"/>
    </row>
    <row r="1053" spans="1:10" ht="120" customHeight="1">
      <c r="A1053" s="387"/>
      <c r="B1053" s="190" t="s">
        <v>3107</v>
      </c>
      <c r="C1053" s="172" t="s">
        <v>3381</v>
      </c>
      <c r="D1053" s="172" t="s">
        <v>3382</v>
      </c>
      <c r="E1053" s="172" t="s">
        <v>3363</v>
      </c>
      <c r="F1053" s="172" t="s">
        <v>3383</v>
      </c>
      <c r="G1053" s="189" t="s">
        <v>3384</v>
      </c>
      <c r="H1053" s="174" t="s">
        <v>41</v>
      </c>
      <c r="I1053" s="180"/>
      <c r="J1053" s="180"/>
    </row>
    <row r="1054" spans="1:10" ht="120" customHeight="1">
      <c r="A1054" s="387"/>
      <c r="B1054" s="190" t="s">
        <v>3107</v>
      </c>
      <c r="C1054" s="172" t="s">
        <v>3385</v>
      </c>
      <c r="D1054" s="172" t="s">
        <v>11538</v>
      </c>
      <c r="E1054" s="172" t="s">
        <v>3363</v>
      </c>
      <c r="F1054" s="172" t="s">
        <v>3387</v>
      </c>
      <c r="G1054" s="189" t="s">
        <v>3388</v>
      </c>
      <c r="H1054" s="174" t="s">
        <v>24</v>
      </c>
      <c r="I1054" s="180"/>
      <c r="J1054" s="180"/>
    </row>
    <row r="1055" spans="1:10" ht="120" customHeight="1">
      <c r="A1055" s="387"/>
      <c r="B1055" s="190" t="s">
        <v>3107</v>
      </c>
      <c r="C1055" s="172" t="s">
        <v>11539</v>
      </c>
      <c r="D1055" s="172" t="s">
        <v>3389</v>
      </c>
      <c r="E1055" s="172" t="s">
        <v>3390</v>
      </c>
      <c r="F1055" s="172" t="s">
        <v>3391</v>
      </c>
      <c r="G1055" s="189" t="s">
        <v>3392</v>
      </c>
      <c r="H1055" s="174" t="s">
        <v>24</v>
      </c>
      <c r="I1055" s="180"/>
      <c r="J1055" s="180"/>
    </row>
    <row r="1056" spans="1:10" ht="120" customHeight="1">
      <c r="A1056" s="387"/>
      <c r="B1056" s="190" t="s">
        <v>3107</v>
      </c>
      <c r="C1056" s="172" t="s">
        <v>3393</v>
      </c>
      <c r="D1056" s="172" t="s">
        <v>3394</v>
      </c>
      <c r="E1056" s="172" t="s">
        <v>3390</v>
      </c>
      <c r="F1056" s="172" t="s">
        <v>3395</v>
      </c>
      <c r="G1056" s="189" t="s">
        <v>3396</v>
      </c>
      <c r="H1056" s="174" t="s">
        <v>24</v>
      </c>
      <c r="I1056" s="180"/>
      <c r="J1056" s="180"/>
    </row>
    <row r="1057" spans="1:10" ht="120" customHeight="1">
      <c r="A1057" s="387"/>
      <c r="B1057" s="190" t="s">
        <v>3107</v>
      </c>
      <c r="C1057" s="172" t="s">
        <v>11540</v>
      </c>
      <c r="D1057" s="172" t="s">
        <v>11541</v>
      </c>
      <c r="E1057" s="172" t="s">
        <v>3398</v>
      </c>
      <c r="F1057" s="172" t="s">
        <v>11542</v>
      </c>
      <c r="G1057" s="189" t="s">
        <v>11543</v>
      </c>
      <c r="H1057" s="174" t="s">
        <v>41</v>
      </c>
      <c r="I1057" s="180"/>
      <c r="J1057" s="180"/>
    </row>
    <row r="1058" spans="1:10" ht="120" customHeight="1">
      <c r="A1058" s="387"/>
      <c r="B1058" s="190" t="s">
        <v>3107</v>
      </c>
      <c r="C1058" s="172" t="s">
        <v>11544</v>
      </c>
      <c r="D1058" s="172" t="s">
        <v>11545</v>
      </c>
      <c r="E1058" s="172" t="s">
        <v>3398</v>
      </c>
      <c r="F1058" s="172" t="s">
        <v>11546</v>
      </c>
      <c r="G1058" s="189" t="s">
        <v>3403</v>
      </c>
      <c r="H1058" s="174" t="s">
        <v>24</v>
      </c>
      <c r="I1058" s="180"/>
      <c r="J1058" s="180"/>
    </row>
    <row r="1059" spans="1:10" ht="120" customHeight="1">
      <c r="A1059" s="387"/>
      <c r="B1059" s="190" t="s">
        <v>3107</v>
      </c>
      <c r="C1059" s="172" t="s">
        <v>11547</v>
      </c>
      <c r="D1059" s="172" t="s">
        <v>3404</v>
      </c>
      <c r="E1059" s="172" t="s">
        <v>3405</v>
      </c>
      <c r="F1059" s="172" t="s">
        <v>11548</v>
      </c>
      <c r="G1059" s="189" t="s">
        <v>11549</v>
      </c>
      <c r="H1059" s="174" t="s">
        <v>184</v>
      </c>
      <c r="I1059" s="180"/>
      <c r="J1059" s="180"/>
    </row>
    <row r="1060" spans="1:10" ht="120" customHeight="1">
      <c r="A1060" s="387"/>
      <c r="B1060" s="190" t="s">
        <v>3107</v>
      </c>
      <c r="C1060" s="172" t="s">
        <v>3408</v>
      </c>
      <c r="D1060" s="172" t="s">
        <v>3409</v>
      </c>
      <c r="E1060" s="172" t="s">
        <v>3405</v>
      </c>
      <c r="F1060" s="172" t="s">
        <v>3410</v>
      </c>
      <c r="G1060" s="189" t="s">
        <v>3411</v>
      </c>
      <c r="H1060" s="174" t="s">
        <v>24</v>
      </c>
      <c r="I1060" s="180"/>
      <c r="J1060" s="180"/>
    </row>
    <row r="1061" spans="1:10" ht="120" customHeight="1">
      <c r="A1061" s="387"/>
      <c r="B1061" s="328" t="s">
        <v>3107</v>
      </c>
      <c r="C1061" s="242" t="s">
        <v>3412</v>
      </c>
      <c r="D1061" s="242" t="s">
        <v>3413</v>
      </c>
      <c r="E1061" s="242" t="s">
        <v>11550</v>
      </c>
      <c r="F1061" s="242" t="s">
        <v>11551</v>
      </c>
      <c r="G1061" s="305" t="s">
        <v>3407</v>
      </c>
      <c r="H1061" s="406" t="s">
        <v>184</v>
      </c>
      <c r="I1061" s="180"/>
      <c r="J1061" s="180"/>
    </row>
    <row r="1062" spans="1:10" ht="120" customHeight="1">
      <c r="A1062" s="381"/>
      <c r="B1062" s="190" t="s">
        <v>3107</v>
      </c>
      <c r="C1062" s="172" t="s">
        <v>11552</v>
      </c>
      <c r="D1062" s="172" t="s">
        <v>11553</v>
      </c>
      <c r="E1062" s="172" t="s">
        <v>11554</v>
      </c>
      <c r="F1062" s="172" t="s">
        <v>11555</v>
      </c>
      <c r="G1062" s="189" t="s">
        <v>11556</v>
      </c>
      <c r="H1062" s="174" t="s">
        <v>86</v>
      </c>
      <c r="I1062" s="326"/>
      <c r="J1062" s="180"/>
    </row>
    <row r="1063" spans="1:10" ht="120" customHeight="1">
      <c r="A1063" s="379" t="s">
        <v>3416</v>
      </c>
      <c r="B1063" s="327" t="s">
        <v>3416</v>
      </c>
      <c r="C1063" s="310" t="s">
        <v>3417</v>
      </c>
      <c r="D1063" s="301" t="s">
        <v>11557</v>
      </c>
      <c r="E1063" s="301" t="s">
        <v>3419</v>
      </c>
      <c r="F1063" s="301" t="s">
        <v>11558</v>
      </c>
      <c r="G1063" s="302" t="s">
        <v>12538</v>
      </c>
      <c r="H1063" s="405" t="s">
        <v>30</v>
      </c>
      <c r="I1063" s="180"/>
      <c r="J1063" s="180"/>
    </row>
    <row r="1064" spans="1:10" ht="120" customHeight="1">
      <c r="A1064" s="379"/>
      <c r="B1064" s="191" t="s">
        <v>3416</v>
      </c>
      <c r="C1064" s="210" t="s">
        <v>3422</v>
      </c>
      <c r="D1064" s="172" t="s">
        <v>3423</v>
      </c>
      <c r="E1064" s="172" t="s">
        <v>3419</v>
      </c>
      <c r="F1064" s="172" t="s">
        <v>11559</v>
      </c>
      <c r="G1064" s="189" t="s">
        <v>3424</v>
      </c>
      <c r="H1064" s="174" t="s">
        <v>41</v>
      </c>
      <c r="I1064" s="180"/>
      <c r="J1064" s="180"/>
    </row>
    <row r="1065" spans="1:10" ht="120" customHeight="1">
      <c r="A1065" s="379"/>
      <c r="B1065" s="191" t="s">
        <v>3416</v>
      </c>
      <c r="C1065" s="210" t="s">
        <v>11560</v>
      </c>
      <c r="D1065" s="172" t="s">
        <v>3425</v>
      </c>
      <c r="E1065" s="172" t="s">
        <v>11561</v>
      </c>
      <c r="F1065" s="172" t="s">
        <v>11562</v>
      </c>
      <c r="G1065" s="189" t="s">
        <v>3424</v>
      </c>
      <c r="H1065" s="174" t="s">
        <v>41</v>
      </c>
      <c r="I1065" s="180"/>
      <c r="J1065" s="180"/>
    </row>
    <row r="1066" spans="1:10" ht="120" customHeight="1">
      <c r="A1066" s="379"/>
      <c r="B1066" s="191" t="s">
        <v>3416</v>
      </c>
      <c r="C1066" s="210" t="s">
        <v>3426</v>
      </c>
      <c r="D1066" s="172" t="s">
        <v>3427</v>
      </c>
      <c r="E1066" s="172" t="s">
        <v>3419</v>
      </c>
      <c r="F1066" s="172" t="s">
        <v>3428</v>
      </c>
      <c r="G1066" s="189" t="s">
        <v>3424</v>
      </c>
      <c r="H1066" s="174" t="s">
        <v>41</v>
      </c>
      <c r="I1066" s="180"/>
      <c r="J1066" s="180"/>
    </row>
    <row r="1067" spans="1:10" ht="120" customHeight="1">
      <c r="A1067" s="379"/>
      <c r="B1067" s="191" t="s">
        <v>3416</v>
      </c>
      <c r="C1067" s="210" t="s">
        <v>3429</v>
      </c>
      <c r="D1067" s="172" t="s">
        <v>3430</v>
      </c>
      <c r="E1067" s="172" t="s">
        <v>3419</v>
      </c>
      <c r="F1067" s="172" t="s">
        <v>3431</v>
      </c>
      <c r="G1067" s="189" t="s">
        <v>3424</v>
      </c>
      <c r="H1067" s="174" t="s">
        <v>41</v>
      </c>
      <c r="I1067" s="180"/>
      <c r="J1067" s="180"/>
    </row>
    <row r="1068" spans="1:10" ht="120" customHeight="1">
      <c r="A1068" s="379"/>
      <c r="B1068" s="191" t="s">
        <v>3416</v>
      </c>
      <c r="C1068" s="210" t="s">
        <v>3432</v>
      </c>
      <c r="D1068" s="172" t="s">
        <v>3433</v>
      </c>
      <c r="E1068" s="172" t="s">
        <v>3419</v>
      </c>
      <c r="F1068" s="172" t="s">
        <v>11563</v>
      </c>
      <c r="G1068" s="189" t="s">
        <v>3424</v>
      </c>
      <c r="H1068" s="174" t="s">
        <v>41</v>
      </c>
      <c r="I1068" s="180"/>
      <c r="J1068" s="180"/>
    </row>
    <row r="1069" spans="1:10" ht="120" customHeight="1">
      <c r="A1069" s="379"/>
      <c r="B1069" s="191" t="s">
        <v>3416</v>
      </c>
      <c r="C1069" s="210" t="s">
        <v>3434</v>
      </c>
      <c r="D1069" s="172" t="s">
        <v>11564</v>
      </c>
      <c r="E1069" s="172" t="s">
        <v>3419</v>
      </c>
      <c r="F1069" s="172" t="s">
        <v>3435</v>
      </c>
      <c r="G1069" s="189" t="s">
        <v>3424</v>
      </c>
      <c r="H1069" s="174" t="s">
        <v>41</v>
      </c>
      <c r="I1069" s="180"/>
      <c r="J1069" s="180"/>
    </row>
    <row r="1070" spans="1:10" ht="120" customHeight="1">
      <c r="A1070" s="379"/>
      <c r="B1070" s="191" t="s">
        <v>3416</v>
      </c>
      <c r="C1070" s="210" t="s">
        <v>3436</v>
      </c>
      <c r="D1070" s="172" t="s">
        <v>3437</v>
      </c>
      <c r="E1070" s="172" t="s">
        <v>23</v>
      </c>
      <c r="F1070" s="172" t="s">
        <v>3438</v>
      </c>
      <c r="G1070" s="189" t="s">
        <v>3439</v>
      </c>
      <c r="H1070" s="174" t="s">
        <v>36</v>
      </c>
      <c r="I1070" s="180"/>
      <c r="J1070" s="180"/>
    </row>
    <row r="1071" spans="1:10" ht="120" customHeight="1">
      <c r="A1071" s="379"/>
      <c r="B1071" s="191" t="s">
        <v>3416</v>
      </c>
      <c r="C1071" s="210" t="s">
        <v>3440</v>
      </c>
      <c r="D1071" s="172" t="s">
        <v>3441</v>
      </c>
      <c r="E1071" s="172" t="s">
        <v>23</v>
      </c>
      <c r="F1071" s="172" t="s">
        <v>3442</v>
      </c>
      <c r="G1071" s="189" t="s">
        <v>3443</v>
      </c>
      <c r="H1071" s="174" t="s">
        <v>24</v>
      </c>
      <c r="I1071" s="180"/>
      <c r="J1071" s="180"/>
    </row>
    <row r="1072" spans="1:10" ht="120" customHeight="1">
      <c r="A1072" s="379"/>
      <c r="B1072" s="191" t="s">
        <v>3416</v>
      </c>
      <c r="C1072" s="210" t="s">
        <v>11565</v>
      </c>
      <c r="D1072" s="172" t="s">
        <v>3445</v>
      </c>
      <c r="E1072" s="172" t="s">
        <v>10791</v>
      </c>
      <c r="F1072" s="172" t="s">
        <v>11566</v>
      </c>
      <c r="G1072" s="189" t="s">
        <v>3447</v>
      </c>
      <c r="H1072" s="174" t="s">
        <v>30</v>
      </c>
      <c r="I1072" s="180"/>
      <c r="J1072" s="180"/>
    </row>
    <row r="1073" spans="1:10" ht="120" customHeight="1">
      <c r="A1073" s="379"/>
      <c r="B1073" s="191" t="s">
        <v>3416</v>
      </c>
      <c r="C1073" s="210" t="s">
        <v>3448</v>
      </c>
      <c r="D1073" s="172" t="s">
        <v>3449</v>
      </c>
      <c r="E1073" s="172" t="s">
        <v>23</v>
      </c>
      <c r="F1073" s="172" t="s">
        <v>3450</v>
      </c>
      <c r="G1073" s="189" t="s">
        <v>3447</v>
      </c>
      <c r="H1073" s="174" t="s">
        <v>24</v>
      </c>
      <c r="I1073" s="180"/>
      <c r="J1073" s="180"/>
    </row>
    <row r="1074" spans="1:10" ht="120" customHeight="1">
      <c r="A1074" s="379"/>
      <c r="B1074" s="191" t="s">
        <v>3416</v>
      </c>
      <c r="C1074" s="210" t="s">
        <v>3451</v>
      </c>
      <c r="D1074" s="172" t="s">
        <v>3452</v>
      </c>
      <c r="E1074" s="172" t="s">
        <v>23</v>
      </c>
      <c r="F1074" s="172" t="s">
        <v>3453</v>
      </c>
      <c r="G1074" s="189" t="s">
        <v>3447</v>
      </c>
      <c r="H1074" s="174" t="s">
        <v>24</v>
      </c>
      <c r="I1074" s="180"/>
      <c r="J1074" s="180"/>
    </row>
    <row r="1075" spans="1:10" ht="120" customHeight="1">
      <c r="A1075" s="379"/>
      <c r="B1075" s="191" t="s">
        <v>3416</v>
      </c>
      <c r="C1075" s="210" t="s">
        <v>3454</v>
      </c>
      <c r="D1075" s="172" t="s">
        <v>3455</v>
      </c>
      <c r="E1075" s="172" t="s">
        <v>23</v>
      </c>
      <c r="F1075" s="172" t="s">
        <v>3456</v>
      </c>
      <c r="G1075" s="189" t="s">
        <v>3457</v>
      </c>
      <c r="H1075" s="174" t="s">
        <v>62</v>
      </c>
      <c r="I1075" s="180"/>
      <c r="J1075" s="180"/>
    </row>
    <row r="1076" spans="1:10" ht="120" customHeight="1">
      <c r="A1076" s="379"/>
      <c r="B1076" s="191" t="s">
        <v>3416</v>
      </c>
      <c r="C1076" s="210" t="s">
        <v>3458</v>
      </c>
      <c r="D1076" s="172" t="s">
        <v>3459</v>
      </c>
      <c r="E1076" s="172" t="s">
        <v>23</v>
      </c>
      <c r="F1076" s="172" t="s">
        <v>3460</v>
      </c>
      <c r="G1076" s="189" t="s">
        <v>3460</v>
      </c>
      <c r="H1076" s="174" t="s">
        <v>184</v>
      </c>
      <c r="I1076" s="180"/>
      <c r="J1076" s="180"/>
    </row>
    <row r="1077" spans="1:10" ht="120" customHeight="1">
      <c r="A1077" s="379"/>
      <c r="B1077" s="191" t="s">
        <v>3416</v>
      </c>
      <c r="C1077" s="210" t="s">
        <v>3461</v>
      </c>
      <c r="D1077" s="172" t="s">
        <v>3343</v>
      </c>
      <c r="E1077" s="172" t="s">
        <v>3419</v>
      </c>
      <c r="F1077" s="172" t="s">
        <v>3462</v>
      </c>
      <c r="G1077" s="189" t="s">
        <v>3463</v>
      </c>
      <c r="H1077" s="174" t="s">
        <v>36</v>
      </c>
      <c r="I1077" s="180"/>
      <c r="J1077" s="180"/>
    </row>
    <row r="1078" spans="1:10" ht="120" customHeight="1">
      <c r="A1078" s="379"/>
      <c r="B1078" s="191" t="s">
        <v>3416</v>
      </c>
      <c r="C1078" s="210" t="s">
        <v>3464</v>
      </c>
      <c r="D1078" s="172" t="s">
        <v>3465</v>
      </c>
      <c r="E1078" s="172" t="s">
        <v>3419</v>
      </c>
      <c r="F1078" s="172" t="s">
        <v>3466</v>
      </c>
      <c r="G1078" s="189" t="s">
        <v>3467</v>
      </c>
      <c r="H1078" s="174" t="s">
        <v>36</v>
      </c>
      <c r="I1078" s="180"/>
      <c r="J1078" s="180"/>
    </row>
    <row r="1079" spans="1:10" ht="120" customHeight="1">
      <c r="A1079" s="379"/>
      <c r="B1079" s="191" t="s">
        <v>3416</v>
      </c>
      <c r="C1079" s="210" t="s">
        <v>3468</v>
      </c>
      <c r="D1079" s="172" t="s">
        <v>3469</v>
      </c>
      <c r="E1079" s="172" t="s">
        <v>3470</v>
      </c>
      <c r="F1079" s="172" t="s">
        <v>11567</v>
      </c>
      <c r="G1079" s="189" t="s">
        <v>11568</v>
      </c>
      <c r="H1079" s="174" t="s">
        <v>41</v>
      </c>
      <c r="I1079" s="180"/>
      <c r="J1079" s="180"/>
    </row>
    <row r="1080" spans="1:10" ht="120" customHeight="1">
      <c r="A1080" s="379"/>
      <c r="B1080" s="191" t="s">
        <v>3416</v>
      </c>
      <c r="C1080" s="210" t="s">
        <v>3473</v>
      </c>
      <c r="D1080" s="172" t="s">
        <v>3474</v>
      </c>
      <c r="E1080" s="172" t="s">
        <v>3475</v>
      </c>
      <c r="F1080" s="172" t="s">
        <v>3476</v>
      </c>
      <c r="G1080" s="189" t="s">
        <v>3477</v>
      </c>
      <c r="H1080" s="174" t="s">
        <v>41</v>
      </c>
      <c r="I1080" s="180"/>
      <c r="J1080" s="180" t="s">
        <v>11569</v>
      </c>
    </row>
    <row r="1081" spans="1:10" ht="120" customHeight="1">
      <c r="A1081" s="379"/>
      <c r="B1081" s="191" t="s">
        <v>3416</v>
      </c>
      <c r="C1081" s="210" t="s">
        <v>11570</v>
      </c>
      <c r="D1081" s="172" t="s">
        <v>11571</v>
      </c>
      <c r="E1081" s="172" t="s">
        <v>3419</v>
      </c>
      <c r="F1081" s="172" t="s">
        <v>11572</v>
      </c>
      <c r="G1081" s="189" t="s">
        <v>11573</v>
      </c>
      <c r="H1081" s="174" t="s">
        <v>41</v>
      </c>
      <c r="I1081" s="180"/>
      <c r="J1081" s="180"/>
    </row>
    <row r="1082" spans="1:10" ht="120" customHeight="1">
      <c r="A1082" s="379"/>
      <c r="B1082" s="191" t="s">
        <v>3416</v>
      </c>
      <c r="C1082" s="210" t="s">
        <v>11574</v>
      </c>
      <c r="D1082" s="210" t="s">
        <v>11575</v>
      </c>
      <c r="E1082" s="172" t="s">
        <v>3419</v>
      </c>
      <c r="F1082" s="172" t="s">
        <v>11576</v>
      </c>
      <c r="G1082" s="189" t="s">
        <v>11573</v>
      </c>
      <c r="H1082" s="174" t="s">
        <v>41</v>
      </c>
      <c r="I1082" s="180"/>
      <c r="J1082" s="180"/>
    </row>
    <row r="1083" spans="1:10" ht="120" customHeight="1">
      <c r="A1083" s="379"/>
      <c r="B1083" s="191" t="s">
        <v>3416</v>
      </c>
      <c r="C1083" s="210" t="s">
        <v>11577</v>
      </c>
      <c r="D1083" s="172" t="s">
        <v>11578</v>
      </c>
      <c r="E1083" s="172" t="s">
        <v>3419</v>
      </c>
      <c r="F1083" s="172" t="s">
        <v>11579</v>
      </c>
      <c r="G1083" s="189" t="s">
        <v>11573</v>
      </c>
      <c r="H1083" s="174" t="s">
        <v>41</v>
      </c>
      <c r="I1083" s="180"/>
      <c r="J1083" s="180"/>
    </row>
    <row r="1084" spans="1:10" ht="120" customHeight="1">
      <c r="A1084" s="379"/>
      <c r="B1084" s="325" t="s">
        <v>3416</v>
      </c>
      <c r="C1084" s="311" t="s">
        <v>11580</v>
      </c>
      <c r="D1084" s="242" t="s">
        <v>11581</v>
      </c>
      <c r="E1084" s="242" t="s">
        <v>11561</v>
      </c>
      <c r="F1084" s="311" t="s">
        <v>12539</v>
      </c>
      <c r="G1084" s="305" t="s">
        <v>11582</v>
      </c>
      <c r="H1084" s="406" t="s">
        <v>24</v>
      </c>
      <c r="I1084" s="180"/>
      <c r="J1084" s="180"/>
    </row>
    <row r="1085" spans="1:10" ht="120" customHeight="1">
      <c r="A1085" s="380"/>
      <c r="B1085" s="284" t="s">
        <v>3416</v>
      </c>
      <c r="C1085" s="172" t="s">
        <v>11583</v>
      </c>
      <c r="D1085" s="172" t="s">
        <v>11564</v>
      </c>
      <c r="E1085" s="172" t="s">
        <v>3419</v>
      </c>
      <c r="F1085" s="172" t="s">
        <v>11584</v>
      </c>
      <c r="G1085" s="189" t="s">
        <v>11585</v>
      </c>
      <c r="H1085" s="174" t="s">
        <v>24</v>
      </c>
      <c r="I1085" s="326"/>
      <c r="J1085" s="180"/>
    </row>
    <row r="1086" spans="1:10" ht="120" customHeight="1">
      <c r="A1086" s="315" t="s">
        <v>11586</v>
      </c>
      <c r="B1086" s="329" t="s">
        <v>3478</v>
      </c>
      <c r="C1086" s="301" t="s">
        <v>11587</v>
      </c>
      <c r="D1086" s="301" t="s">
        <v>3479</v>
      </c>
      <c r="E1086" s="301" t="s">
        <v>11473</v>
      </c>
      <c r="F1086" s="301" t="s">
        <v>11588</v>
      </c>
      <c r="G1086" s="302" t="s">
        <v>3480</v>
      </c>
      <c r="H1086" s="405" t="s">
        <v>41</v>
      </c>
      <c r="I1086" s="180"/>
      <c r="J1086" s="180"/>
    </row>
    <row r="1087" spans="1:10" ht="120" customHeight="1">
      <c r="A1087" s="184"/>
      <c r="B1087" s="190" t="s">
        <v>11586</v>
      </c>
      <c r="C1087" s="172" t="s">
        <v>3481</v>
      </c>
      <c r="D1087" s="172" t="s">
        <v>3482</v>
      </c>
      <c r="E1087" s="172" t="s">
        <v>2984</v>
      </c>
      <c r="F1087" s="172" t="s">
        <v>3483</v>
      </c>
      <c r="G1087" s="189" t="s">
        <v>3484</v>
      </c>
      <c r="H1087" s="174" t="s">
        <v>30</v>
      </c>
      <c r="I1087" s="180"/>
      <c r="J1087" s="180"/>
    </row>
    <row r="1088" spans="1:10" ht="120" customHeight="1">
      <c r="A1088" s="184"/>
      <c r="B1088" s="190" t="s">
        <v>3478</v>
      </c>
      <c r="C1088" s="172" t="s">
        <v>3485</v>
      </c>
      <c r="D1088" s="172" t="s">
        <v>3486</v>
      </c>
      <c r="E1088" s="172" t="s">
        <v>2984</v>
      </c>
      <c r="F1088" s="172" t="s">
        <v>3487</v>
      </c>
      <c r="G1088" s="189" t="s">
        <v>3488</v>
      </c>
      <c r="H1088" s="174" t="s">
        <v>41</v>
      </c>
      <c r="I1088" s="180"/>
      <c r="J1088" s="180"/>
    </row>
    <row r="1089" spans="1:10" ht="120" customHeight="1">
      <c r="A1089" s="184"/>
      <c r="B1089" s="190" t="s">
        <v>3478</v>
      </c>
      <c r="C1089" s="172" t="s">
        <v>3489</v>
      </c>
      <c r="D1089" s="172" t="s">
        <v>3490</v>
      </c>
      <c r="E1089" s="172" t="s">
        <v>2984</v>
      </c>
      <c r="F1089" s="172" t="s">
        <v>11589</v>
      </c>
      <c r="G1089" s="189" t="s">
        <v>11590</v>
      </c>
      <c r="H1089" s="174" t="s">
        <v>24</v>
      </c>
      <c r="I1089" s="180"/>
      <c r="J1089" s="180"/>
    </row>
    <row r="1090" spans="1:10" ht="120" customHeight="1">
      <c r="A1090" s="184"/>
      <c r="B1090" s="190" t="s">
        <v>3478</v>
      </c>
      <c r="C1090" s="172" t="s">
        <v>3492</v>
      </c>
      <c r="D1090" s="172" t="s">
        <v>3493</v>
      </c>
      <c r="E1090" s="172" t="s">
        <v>2984</v>
      </c>
      <c r="F1090" s="172" t="s">
        <v>3494</v>
      </c>
      <c r="G1090" s="189" t="s">
        <v>3495</v>
      </c>
      <c r="H1090" s="174" t="s">
        <v>24</v>
      </c>
      <c r="I1090" s="180"/>
      <c r="J1090" s="180"/>
    </row>
    <row r="1091" spans="1:10" ht="120" customHeight="1">
      <c r="A1091" s="184"/>
      <c r="B1091" s="190" t="s">
        <v>3478</v>
      </c>
      <c r="C1091" s="172" t="s">
        <v>3496</v>
      </c>
      <c r="D1091" s="172" t="s">
        <v>3497</v>
      </c>
      <c r="E1091" s="172" t="s">
        <v>2984</v>
      </c>
      <c r="F1091" s="172" t="s">
        <v>3498</v>
      </c>
      <c r="G1091" s="189" t="s">
        <v>3499</v>
      </c>
      <c r="H1091" s="174" t="s">
        <v>24</v>
      </c>
      <c r="I1091" s="180"/>
      <c r="J1091" s="180"/>
    </row>
    <row r="1092" spans="1:10" ht="120" customHeight="1">
      <c r="A1092" s="184"/>
      <c r="B1092" s="190" t="s">
        <v>3478</v>
      </c>
      <c r="C1092" s="172" t="s">
        <v>3500</v>
      </c>
      <c r="D1092" s="177" t="s">
        <v>3501</v>
      </c>
      <c r="E1092" s="172" t="s">
        <v>11473</v>
      </c>
      <c r="F1092" s="172" t="s">
        <v>3502</v>
      </c>
      <c r="G1092" s="189" t="s">
        <v>3499</v>
      </c>
      <c r="H1092" s="174" t="s">
        <v>30</v>
      </c>
      <c r="I1092" s="180"/>
      <c r="J1092" s="180"/>
    </row>
    <row r="1093" spans="1:10" ht="120" customHeight="1">
      <c r="A1093" s="184"/>
      <c r="B1093" s="190" t="s">
        <v>3478</v>
      </c>
      <c r="C1093" s="172" t="s">
        <v>3503</v>
      </c>
      <c r="D1093" s="177" t="s">
        <v>3504</v>
      </c>
      <c r="E1093" s="172" t="s">
        <v>2984</v>
      </c>
      <c r="F1093" s="172" t="s">
        <v>11591</v>
      </c>
      <c r="G1093" s="189" t="s">
        <v>3506</v>
      </c>
      <c r="H1093" s="174" t="s">
        <v>24</v>
      </c>
      <c r="I1093" s="180"/>
      <c r="J1093" s="180"/>
    </row>
    <row r="1094" spans="1:10" ht="120" customHeight="1">
      <c r="A1094" s="184"/>
      <c r="B1094" s="190" t="s">
        <v>3478</v>
      </c>
      <c r="C1094" s="172" t="s">
        <v>11592</v>
      </c>
      <c r="D1094" s="172" t="s">
        <v>3507</v>
      </c>
      <c r="E1094" s="172" t="s">
        <v>11473</v>
      </c>
      <c r="F1094" s="172" t="s">
        <v>11593</v>
      </c>
      <c r="G1094" s="189" t="s">
        <v>3506</v>
      </c>
      <c r="H1094" s="174" t="s">
        <v>24</v>
      </c>
      <c r="I1094" s="180"/>
      <c r="J1094" s="180"/>
    </row>
    <row r="1095" spans="1:10" ht="120" customHeight="1">
      <c r="A1095" s="184"/>
      <c r="B1095" s="190" t="s">
        <v>3478</v>
      </c>
      <c r="C1095" s="172" t="s">
        <v>3509</v>
      </c>
      <c r="D1095" s="172" t="s">
        <v>3510</v>
      </c>
      <c r="E1095" s="172" t="s">
        <v>2984</v>
      </c>
      <c r="F1095" s="172" t="s">
        <v>3511</v>
      </c>
      <c r="G1095" s="189" t="s">
        <v>3506</v>
      </c>
      <c r="H1095" s="174" t="s">
        <v>24</v>
      </c>
      <c r="I1095" s="180"/>
      <c r="J1095" s="180"/>
    </row>
    <row r="1096" spans="1:10" ht="120" customHeight="1">
      <c r="A1096" s="184"/>
      <c r="B1096" s="190" t="s">
        <v>3478</v>
      </c>
      <c r="C1096" s="172" t="s">
        <v>3512</v>
      </c>
      <c r="D1096" s="172" t="s">
        <v>3513</v>
      </c>
      <c r="E1096" s="172" t="s">
        <v>2984</v>
      </c>
      <c r="F1096" s="172" t="s">
        <v>11594</v>
      </c>
      <c r="G1096" s="189" t="s">
        <v>3506</v>
      </c>
      <c r="H1096" s="174" t="s">
        <v>24</v>
      </c>
      <c r="I1096" s="180"/>
      <c r="J1096" s="180"/>
    </row>
    <row r="1097" spans="1:10" ht="120" customHeight="1">
      <c r="A1097" s="184"/>
      <c r="B1097" s="190" t="s">
        <v>3478</v>
      </c>
      <c r="C1097" s="172" t="s">
        <v>3514</v>
      </c>
      <c r="D1097" s="172" t="s">
        <v>3515</v>
      </c>
      <c r="E1097" s="172" t="s">
        <v>2984</v>
      </c>
      <c r="F1097" s="172" t="s">
        <v>3516</v>
      </c>
      <c r="G1097" s="189" t="s">
        <v>3517</v>
      </c>
      <c r="H1097" s="174" t="s">
        <v>36</v>
      </c>
      <c r="I1097" s="180"/>
      <c r="J1097" s="180"/>
    </row>
    <row r="1098" spans="1:10" ht="120" customHeight="1">
      <c r="A1098" s="184"/>
      <c r="B1098" s="190" t="s">
        <v>3478</v>
      </c>
      <c r="C1098" s="172" t="s">
        <v>3518</v>
      </c>
      <c r="D1098" s="172" t="s">
        <v>3519</v>
      </c>
      <c r="E1098" s="172" t="s">
        <v>2984</v>
      </c>
      <c r="F1098" s="172" t="s">
        <v>3520</v>
      </c>
      <c r="G1098" s="189" t="s">
        <v>3521</v>
      </c>
      <c r="H1098" s="174" t="s">
        <v>36</v>
      </c>
      <c r="I1098" s="180"/>
      <c r="J1098" s="180"/>
    </row>
    <row r="1099" spans="1:10" ht="120" customHeight="1">
      <c r="A1099" s="297"/>
      <c r="B1099" s="328" t="s">
        <v>3478</v>
      </c>
      <c r="C1099" s="242" t="s">
        <v>11595</v>
      </c>
      <c r="D1099" s="242" t="s">
        <v>11596</v>
      </c>
      <c r="E1099" s="242" t="s">
        <v>11473</v>
      </c>
      <c r="F1099" s="242" t="s">
        <v>12540</v>
      </c>
      <c r="G1099" s="305" t="s">
        <v>11597</v>
      </c>
      <c r="H1099" s="406" t="s">
        <v>41</v>
      </c>
      <c r="I1099" s="180"/>
      <c r="J1099" s="180"/>
    </row>
    <row r="1100" spans="1:10" ht="120" customHeight="1">
      <c r="A1100" s="184"/>
      <c r="B1100" s="190" t="s">
        <v>3478</v>
      </c>
      <c r="C1100" s="172" t="s">
        <v>11598</v>
      </c>
      <c r="D1100" s="172" t="s">
        <v>11599</v>
      </c>
      <c r="E1100" s="172" t="s">
        <v>11473</v>
      </c>
      <c r="F1100" s="172" t="s">
        <v>11600</v>
      </c>
      <c r="G1100" s="189" t="s">
        <v>11597</v>
      </c>
      <c r="H1100" s="174" t="s">
        <v>117</v>
      </c>
      <c r="I1100" s="330" t="s">
        <v>11601</v>
      </c>
      <c r="J1100" s="331" t="s">
        <v>10268</v>
      </c>
    </row>
    <row r="1101" spans="1:10" ht="120" customHeight="1">
      <c r="A1101" s="184"/>
      <c r="B1101" s="190" t="s">
        <v>3478</v>
      </c>
      <c r="C1101" s="172" t="s">
        <v>11602</v>
      </c>
      <c r="D1101" s="172" t="s">
        <v>11603</v>
      </c>
      <c r="E1101" s="172" t="s">
        <v>11473</v>
      </c>
      <c r="F1101" s="172" t="s">
        <v>11604</v>
      </c>
      <c r="G1101" s="189" t="s">
        <v>11597</v>
      </c>
      <c r="H1101" s="174" t="s">
        <v>117</v>
      </c>
      <c r="I1101" s="330"/>
      <c r="J1101" s="331"/>
    </row>
    <row r="1102" spans="1:10" ht="120" customHeight="1">
      <c r="A1102" s="184"/>
      <c r="B1102" s="190" t="s">
        <v>3478</v>
      </c>
      <c r="C1102" s="172" t="s">
        <v>11605</v>
      </c>
      <c r="D1102" s="172" t="s">
        <v>11606</v>
      </c>
      <c r="E1102" s="172" t="s">
        <v>11473</v>
      </c>
      <c r="F1102" s="172" t="s">
        <v>11607</v>
      </c>
      <c r="G1102" s="189" t="s">
        <v>11597</v>
      </c>
      <c r="H1102" s="174" t="s">
        <v>117</v>
      </c>
      <c r="I1102" s="330" t="s">
        <v>11608</v>
      </c>
      <c r="J1102" s="331"/>
    </row>
    <row r="1103" spans="1:10" ht="120" customHeight="1">
      <c r="A1103" s="184"/>
      <c r="B1103" s="190" t="s">
        <v>3478</v>
      </c>
      <c r="C1103" s="172" t="s">
        <v>11609</v>
      </c>
      <c r="D1103" s="172" t="s">
        <v>11610</v>
      </c>
      <c r="E1103" s="172" t="s">
        <v>11473</v>
      </c>
      <c r="F1103" s="172" t="s">
        <v>11611</v>
      </c>
      <c r="G1103" s="189" t="s">
        <v>3523</v>
      </c>
      <c r="H1103" s="174" t="s">
        <v>117</v>
      </c>
      <c r="I1103" s="330"/>
      <c r="J1103" s="331"/>
    </row>
    <row r="1104" spans="1:10" ht="120" customHeight="1">
      <c r="A1104" s="184"/>
      <c r="B1104" s="190" t="s">
        <v>3478</v>
      </c>
      <c r="C1104" s="172" t="s">
        <v>11612</v>
      </c>
      <c r="D1104" s="172" t="s">
        <v>11613</v>
      </c>
      <c r="E1104" s="172" t="s">
        <v>11614</v>
      </c>
      <c r="F1104" s="172" t="s">
        <v>11615</v>
      </c>
      <c r="G1104" s="189" t="s">
        <v>11616</v>
      </c>
      <c r="H1104" s="174" t="s">
        <v>86</v>
      </c>
      <c r="I1104" s="330"/>
      <c r="J1104" s="331"/>
    </row>
    <row r="1105" spans="1:10" ht="120" customHeight="1">
      <c r="A1105" s="315"/>
      <c r="B1105" s="329" t="s">
        <v>3478</v>
      </c>
      <c r="C1105" s="301" t="s">
        <v>3524</v>
      </c>
      <c r="D1105" s="301" t="s">
        <v>3525</v>
      </c>
      <c r="E1105" s="301" t="s">
        <v>3526</v>
      </c>
      <c r="F1105" s="301" t="s">
        <v>3527</v>
      </c>
      <c r="G1105" s="302" t="s">
        <v>3528</v>
      </c>
      <c r="H1105" s="405" t="s">
        <v>41</v>
      </c>
      <c r="I1105" s="180"/>
      <c r="J1105" s="180"/>
    </row>
    <row r="1106" spans="1:10" ht="120" customHeight="1">
      <c r="A1106" s="184"/>
      <c r="B1106" s="190" t="s">
        <v>3478</v>
      </c>
      <c r="C1106" s="172" t="s">
        <v>3529</v>
      </c>
      <c r="D1106" s="172" t="s">
        <v>3530</v>
      </c>
      <c r="E1106" s="172" t="s">
        <v>3531</v>
      </c>
      <c r="F1106" s="172" t="s">
        <v>3532</v>
      </c>
      <c r="G1106" s="189" t="s">
        <v>3528</v>
      </c>
      <c r="H1106" s="174" t="s">
        <v>41</v>
      </c>
      <c r="I1106" s="180"/>
      <c r="J1106" s="180"/>
    </row>
    <row r="1107" spans="1:10" ht="120" customHeight="1">
      <c r="A1107" s="184"/>
      <c r="B1107" s="190" t="s">
        <v>3478</v>
      </c>
      <c r="C1107" s="172" t="s">
        <v>3533</v>
      </c>
      <c r="D1107" s="172" t="s">
        <v>3534</v>
      </c>
      <c r="E1107" s="172" t="s">
        <v>2984</v>
      </c>
      <c r="F1107" s="172" t="s">
        <v>3535</v>
      </c>
      <c r="G1107" s="189" t="s">
        <v>3536</v>
      </c>
      <c r="H1107" s="174" t="s">
        <v>36</v>
      </c>
      <c r="I1107" s="180"/>
      <c r="J1107" s="180"/>
    </row>
    <row r="1108" spans="1:10" ht="120" customHeight="1">
      <c r="A1108" s="184"/>
      <c r="B1108" s="190" t="s">
        <v>3478</v>
      </c>
      <c r="C1108" s="172" t="s">
        <v>3537</v>
      </c>
      <c r="D1108" s="172" t="s">
        <v>3538</v>
      </c>
      <c r="E1108" s="172" t="s">
        <v>2984</v>
      </c>
      <c r="F1108" s="172" t="s">
        <v>3539</v>
      </c>
      <c r="G1108" s="189" t="s">
        <v>3536</v>
      </c>
      <c r="H1108" s="174" t="s">
        <v>36</v>
      </c>
      <c r="I1108" s="180"/>
      <c r="J1108" s="180"/>
    </row>
    <row r="1109" spans="1:10" ht="120" customHeight="1">
      <c r="A1109" s="184"/>
      <c r="B1109" s="190" t="s">
        <v>3478</v>
      </c>
      <c r="C1109" s="172" t="s">
        <v>3540</v>
      </c>
      <c r="D1109" s="172" t="s">
        <v>3541</v>
      </c>
      <c r="E1109" s="172" t="s">
        <v>2984</v>
      </c>
      <c r="F1109" s="172" t="s">
        <v>11617</v>
      </c>
      <c r="G1109" s="189" t="s">
        <v>3517</v>
      </c>
      <c r="H1109" s="174" t="s">
        <v>62</v>
      </c>
      <c r="I1109" s="180"/>
      <c r="J1109" s="180"/>
    </row>
    <row r="1110" spans="1:10" ht="120" customHeight="1">
      <c r="A1110" s="184"/>
      <c r="B1110" s="190" t="s">
        <v>3478</v>
      </c>
      <c r="C1110" s="172" t="s">
        <v>11618</v>
      </c>
      <c r="D1110" s="172" t="s">
        <v>3542</v>
      </c>
      <c r="E1110" s="172" t="s">
        <v>2984</v>
      </c>
      <c r="F1110" s="172" t="s">
        <v>3543</v>
      </c>
      <c r="G1110" s="189" t="s">
        <v>3544</v>
      </c>
      <c r="H1110" s="174" t="s">
        <v>36</v>
      </c>
      <c r="I1110" s="180"/>
      <c r="J1110" s="180"/>
    </row>
    <row r="1111" spans="1:10" ht="120" customHeight="1">
      <c r="A1111" s="184"/>
      <c r="B1111" s="190" t="s">
        <v>3478</v>
      </c>
      <c r="C1111" s="172" t="s">
        <v>3545</v>
      </c>
      <c r="D1111" s="172" t="s">
        <v>3546</v>
      </c>
      <c r="E1111" s="172" t="s">
        <v>2984</v>
      </c>
      <c r="F1111" s="172" t="s">
        <v>3547</v>
      </c>
      <c r="G1111" s="189" t="s">
        <v>3548</v>
      </c>
      <c r="H1111" s="174" t="s">
        <v>36</v>
      </c>
      <c r="I1111" s="180"/>
      <c r="J1111" s="180"/>
    </row>
    <row r="1112" spans="1:10" ht="120" customHeight="1">
      <c r="A1112" s="184"/>
      <c r="B1112" s="190" t="s">
        <v>3478</v>
      </c>
      <c r="C1112" s="172" t="s">
        <v>3549</v>
      </c>
      <c r="D1112" s="172" t="s">
        <v>3550</v>
      </c>
      <c r="E1112" s="172" t="s">
        <v>2984</v>
      </c>
      <c r="F1112" s="172" t="s">
        <v>3551</v>
      </c>
      <c r="G1112" s="189" t="s">
        <v>3552</v>
      </c>
      <c r="H1112" s="174" t="s">
        <v>36</v>
      </c>
      <c r="I1112" s="180"/>
      <c r="J1112" s="180"/>
    </row>
    <row r="1113" spans="1:10" ht="120" customHeight="1">
      <c r="A1113" s="184"/>
      <c r="B1113" s="190" t="s">
        <v>3478</v>
      </c>
      <c r="C1113" s="172" t="s">
        <v>3553</v>
      </c>
      <c r="D1113" s="172" t="s">
        <v>3554</v>
      </c>
      <c r="E1113" s="172" t="s">
        <v>2984</v>
      </c>
      <c r="F1113" s="172" t="s">
        <v>3555</v>
      </c>
      <c r="G1113" s="189" t="s">
        <v>3556</v>
      </c>
      <c r="H1113" s="174" t="s">
        <v>36</v>
      </c>
      <c r="I1113" s="180"/>
      <c r="J1113" s="180"/>
    </row>
    <row r="1114" spans="1:10" ht="120" customHeight="1">
      <c r="A1114" s="184"/>
      <c r="B1114" s="190" t="s">
        <v>3478</v>
      </c>
      <c r="C1114" s="172" t="s">
        <v>3557</v>
      </c>
      <c r="D1114" s="172" t="s">
        <v>3558</v>
      </c>
      <c r="E1114" s="172" t="s">
        <v>2984</v>
      </c>
      <c r="F1114" s="172" t="s">
        <v>3559</v>
      </c>
      <c r="G1114" s="189" t="s">
        <v>3556</v>
      </c>
      <c r="H1114" s="174" t="s">
        <v>36</v>
      </c>
      <c r="I1114" s="180"/>
      <c r="J1114" s="180"/>
    </row>
    <row r="1115" spans="1:10" ht="120" customHeight="1">
      <c r="A1115" s="184"/>
      <c r="B1115" s="190" t="s">
        <v>3478</v>
      </c>
      <c r="C1115" s="172" t="s">
        <v>3560</v>
      </c>
      <c r="D1115" s="172" t="s">
        <v>3561</v>
      </c>
      <c r="E1115" s="172" t="s">
        <v>3053</v>
      </c>
      <c r="F1115" s="172" t="s">
        <v>3562</v>
      </c>
      <c r="G1115" s="189" t="s">
        <v>3563</v>
      </c>
      <c r="H1115" s="174" t="s">
        <v>24</v>
      </c>
      <c r="I1115" s="180"/>
      <c r="J1115" s="180"/>
    </row>
    <row r="1116" spans="1:10" ht="120" customHeight="1">
      <c r="A1116" s="184"/>
      <c r="B1116" s="190" t="s">
        <v>3478</v>
      </c>
      <c r="C1116" s="172" t="s">
        <v>3564</v>
      </c>
      <c r="D1116" s="172" t="s">
        <v>3565</v>
      </c>
      <c r="E1116" s="172" t="s">
        <v>3053</v>
      </c>
      <c r="F1116" s="172" t="s">
        <v>3566</v>
      </c>
      <c r="G1116" s="189" t="s">
        <v>3563</v>
      </c>
      <c r="H1116" s="174" t="s">
        <v>24</v>
      </c>
      <c r="I1116" s="180"/>
      <c r="J1116" s="180"/>
    </row>
    <row r="1117" spans="1:10" ht="120" customHeight="1">
      <c r="A1117" s="184"/>
      <c r="B1117" s="190" t="s">
        <v>3478</v>
      </c>
      <c r="C1117" s="172" t="s">
        <v>3567</v>
      </c>
      <c r="D1117" s="172" t="s">
        <v>3568</v>
      </c>
      <c r="E1117" s="172" t="s">
        <v>3053</v>
      </c>
      <c r="F1117" s="172" t="s">
        <v>3569</v>
      </c>
      <c r="G1117" s="189" t="s">
        <v>3570</v>
      </c>
      <c r="H1117" s="174" t="s">
        <v>24</v>
      </c>
      <c r="I1117" s="180"/>
      <c r="J1117" s="180"/>
    </row>
    <row r="1118" spans="1:10" ht="120" customHeight="1">
      <c r="A1118" s="184"/>
      <c r="B1118" s="190" t="s">
        <v>3478</v>
      </c>
      <c r="C1118" s="172" t="s">
        <v>11619</v>
      </c>
      <c r="D1118" s="16" t="s">
        <v>9758</v>
      </c>
      <c r="E1118" s="172" t="s">
        <v>3571</v>
      </c>
      <c r="F1118" s="172" t="s">
        <v>3572</v>
      </c>
      <c r="G1118" s="189" t="s">
        <v>11620</v>
      </c>
      <c r="H1118" s="174" t="s">
        <v>117</v>
      </c>
      <c r="I1118" s="180"/>
      <c r="J1118" s="180"/>
    </row>
    <row r="1119" spans="1:10" ht="120" customHeight="1">
      <c r="A1119" s="184"/>
      <c r="B1119" s="190" t="s">
        <v>3478</v>
      </c>
      <c r="C1119" s="172" t="s">
        <v>3573</v>
      </c>
      <c r="D1119" s="16" t="s">
        <v>3574</v>
      </c>
      <c r="E1119" s="172" t="s">
        <v>3571</v>
      </c>
      <c r="F1119" s="172" t="s">
        <v>3575</v>
      </c>
      <c r="G1119" s="189" t="s">
        <v>11621</v>
      </c>
      <c r="H1119" s="174" t="s">
        <v>117</v>
      </c>
      <c r="I1119" s="180"/>
      <c r="J1119" s="180"/>
    </row>
    <row r="1120" spans="1:10" ht="120" customHeight="1">
      <c r="A1120" s="184"/>
      <c r="B1120" s="190" t="s">
        <v>3478</v>
      </c>
      <c r="C1120" s="172" t="s">
        <v>3577</v>
      </c>
      <c r="D1120" s="16" t="s">
        <v>3578</v>
      </c>
      <c r="E1120" s="172" t="s">
        <v>3571</v>
      </c>
      <c r="F1120" s="172" t="s">
        <v>3579</v>
      </c>
      <c r="G1120" s="189" t="s">
        <v>3580</v>
      </c>
      <c r="H1120" s="174" t="s">
        <v>41</v>
      </c>
      <c r="I1120" s="180"/>
      <c r="J1120" s="180"/>
    </row>
    <row r="1121" spans="1:10" ht="120" customHeight="1">
      <c r="A1121" s="184"/>
      <c r="B1121" s="190" t="s">
        <v>3478</v>
      </c>
      <c r="C1121" s="172" t="s">
        <v>3581</v>
      </c>
      <c r="D1121" s="16" t="s">
        <v>11622</v>
      </c>
      <c r="E1121" s="172" t="s">
        <v>2984</v>
      </c>
      <c r="F1121" s="172" t="s">
        <v>3583</v>
      </c>
      <c r="G1121" s="189" t="s">
        <v>3584</v>
      </c>
      <c r="H1121" s="174" t="s">
        <v>24</v>
      </c>
      <c r="I1121" s="180"/>
      <c r="J1121" s="180"/>
    </row>
    <row r="1122" spans="1:10" ht="120" customHeight="1">
      <c r="A1122" s="184"/>
      <c r="B1122" s="190" t="s">
        <v>3478</v>
      </c>
      <c r="C1122" s="172" t="s">
        <v>3585</v>
      </c>
      <c r="D1122" s="16" t="s">
        <v>3586</v>
      </c>
      <c r="E1122" s="172" t="s">
        <v>2984</v>
      </c>
      <c r="F1122" s="172" t="s">
        <v>11623</v>
      </c>
      <c r="G1122" s="189" t="s">
        <v>3588</v>
      </c>
      <c r="H1122" s="174" t="s">
        <v>24</v>
      </c>
      <c r="I1122" s="180"/>
      <c r="J1122" s="180"/>
    </row>
    <row r="1123" spans="1:10" ht="120" customHeight="1">
      <c r="A1123" s="184"/>
      <c r="B1123" s="190" t="s">
        <v>11586</v>
      </c>
      <c r="C1123" s="172" t="s">
        <v>11624</v>
      </c>
      <c r="D1123" s="16" t="s">
        <v>3589</v>
      </c>
      <c r="E1123" s="172" t="s">
        <v>11473</v>
      </c>
      <c r="F1123" s="172" t="s">
        <v>3590</v>
      </c>
      <c r="G1123" s="189" t="s">
        <v>11625</v>
      </c>
      <c r="H1123" s="174" t="s">
        <v>36</v>
      </c>
      <c r="I1123" s="180"/>
      <c r="J1123" s="180"/>
    </row>
    <row r="1124" spans="1:10" ht="120" customHeight="1">
      <c r="A1124" s="184"/>
      <c r="B1124" s="190" t="s">
        <v>3478</v>
      </c>
      <c r="C1124" s="172" t="s">
        <v>3591</v>
      </c>
      <c r="D1124" s="16" t="s">
        <v>3592</v>
      </c>
      <c r="E1124" s="172" t="s">
        <v>2984</v>
      </c>
      <c r="F1124" s="172" t="s">
        <v>3593</v>
      </c>
      <c r="G1124" s="189" t="s">
        <v>11626</v>
      </c>
      <c r="H1124" s="174" t="s">
        <v>41</v>
      </c>
      <c r="I1124" s="180"/>
      <c r="J1124" s="180"/>
    </row>
    <row r="1125" spans="1:10" ht="120" customHeight="1">
      <c r="A1125" s="184"/>
      <c r="B1125" s="190" t="s">
        <v>3478</v>
      </c>
      <c r="C1125" s="172" t="s">
        <v>3594</v>
      </c>
      <c r="D1125" s="16" t="s">
        <v>3595</v>
      </c>
      <c r="E1125" s="172" t="s">
        <v>2984</v>
      </c>
      <c r="F1125" s="172" t="s">
        <v>3596</v>
      </c>
      <c r="G1125" s="189" t="s">
        <v>3597</v>
      </c>
      <c r="H1125" s="174" t="s">
        <v>41</v>
      </c>
      <c r="I1125" s="180"/>
      <c r="J1125" s="180"/>
    </row>
    <row r="1126" spans="1:10" ht="120" customHeight="1">
      <c r="A1126" s="375" t="s">
        <v>11627</v>
      </c>
      <c r="B1126" s="191" t="s">
        <v>3599</v>
      </c>
      <c r="C1126" s="172" t="s">
        <v>11628</v>
      </c>
      <c r="D1126" s="172" t="s">
        <v>11629</v>
      </c>
      <c r="E1126" s="172" t="s">
        <v>3602</v>
      </c>
      <c r="F1126" s="172" t="s">
        <v>11630</v>
      </c>
      <c r="G1126" s="189" t="s">
        <v>11631</v>
      </c>
      <c r="H1126" s="174" t="s">
        <v>30</v>
      </c>
      <c r="I1126" s="180"/>
      <c r="J1126" s="180"/>
    </row>
    <row r="1127" spans="1:10" ht="120" customHeight="1">
      <c r="A1127" s="375"/>
      <c r="B1127" s="191" t="s">
        <v>3599</v>
      </c>
      <c r="C1127" s="172" t="s">
        <v>3605</v>
      </c>
      <c r="D1127" s="172" t="s">
        <v>3606</v>
      </c>
      <c r="E1127" s="172" t="s">
        <v>3602</v>
      </c>
      <c r="F1127" s="172" t="s">
        <v>3607</v>
      </c>
      <c r="G1127" s="189" t="s">
        <v>11632</v>
      </c>
      <c r="H1127" s="174" t="s">
        <v>41</v>
      </c>
      <c r="I1127" s="180"/>
      <c r="J1127" s="180"/>
    </row>
    <row r="1128" spans="1:10" ht="120" customHeight="1">
      <c r="A1128" s="375"/>
      <c r="B1128" s="191" t="s">
        <v>3599</v>
      </c>
      <c r="C1128" s="172" t="s">
        <v>3609</v>
      </c>
      <c r="D1128" s="172" t="s">
        <v>3610</v>
      </c>
      <c r="E1128" s="172" t="s">
        <v>3602</v>
      </c>
      <c r="F1128" s="172" t="s">
        <v>3611</v>
      </c>
      <c r="G1128" s="189" t="s">
        <v>11633</v>
      </c>
      <c r="H1128" s="174" t="s">
        <v>117</v>
      </c>
      <c r="I1128" s="180"/>
      <c r="J1128" s="180"/>
    </row>
    <row r="1129" spans="1:10" ht="120" customHeight="1">
      <c r="A1129" s="375"/>
      <c r="B1129" s="191" t="s">
        <v>3599</v>
      </c>
      <c r="C1129" s="172" t="s">
        <v>3613</v>
      </c>
      <c r="D1129" s="172" t="s">
        <v>3614</v>
      </c>
      <c r="E1129" s="172" t="s">
        <v>3602</v>
      </c>
      <c r="F1129" s="172" t="s">
        <v>3615</v>
      </c>
      <c r="G1129" s="189" t="s">
        <v>3616</v>
      </c>
      <c r="H1129" s="174" t="s">
        <v>36</v>
      </c>
      <c r="I1129" s="180"/>
      <c r="J1129" s="180"/>
    </row>
    <row r="1130" spans="1:10" ht="120" customHeight="1">
      <c r="A1130" s="375"/>
      <c r="B1130" s="191" t="s">
        <v>3599</v>
      </c>
      <c r="C1130" s="172" t="s">
        <v>3617</v>
      </c>
      <c r="D1130" s="172" t="s">
        <v>3618</v>
      </c>
      <c r="E1130" s="172" t="s">
        <v>3602</v>
      </c>
      <c r="F1130" s="172" t="s">
        <v>3619</v>
      </c>
      <c r="G1130" s="189" t="s">
        <v>3620</v>
      </c>
      <c r="H1130" s="174" t="s">
        <v>36</v>
      </c>
      <c r="I1130" s="180"/>
      <c r="J1130" s="180"/>
    </row>
    <row r="1131" spans="1:10" ht="120" customHeight="1">
      <c r="A1131" s="375"/>
      <c r="B1131" s="191" t="s">
        <v>3599</v>
      </c>
      <c r="C1131" s="172" t="s">
        <v>3621</v>
      </c>
      <c r="D1131" s="172" t="s">
        <v>3622</v>
      </c>
      <c r="E1131" s="172" t="s">
        <v>3602</v>
      </c>
      <c r="F1131" s="172" t="s">
        <v>3623</v>
      </c>
      <c r="G1131" s="189" t="s">
        <v>3624</v>
      </c>
      <c r="H1131" s="174" t="s">
        <v>36</v>
      </c>
      <c r="I1131" s="180"/>
      <c r="J1131" s="180"/>
    </row>
    <row r="1132" spans="1:10" ht="120" customHeight="1">
      <c r="A1132" s="375"/>
      <c r="B1132" s="191" t="s">
        <v>3599</v>
      </c>
      <c r="C1132" s="172" t="s">
        <v>3625</v>
      </c>
      <c r="D1132" s="172" t="s">
        <v>3626</v>
      </c>
      <c r="E1132" s="172" t="s">
        <v>3602</v>
      </c>
      <c r="F1132" s="172" t="s">
        <v>3627</v>
      </c>
      <c r="G1132" s="189" t="s">
        <v>3628</v>
      </c>
      <c r="H1132" s="174" t="s">
        <v>36</v>
      </c>
      <c r="I1132" s="180"/>
      <c r="J1132" s="180"/>
    </row>
    <row r="1133" spans="1:10" ht="120" customHeight="1">
      <c r="A1133" s="375"/>
      <c r="B1133" s="191" t="s">
        <v>3599</v>
      </c>
      <c r="C1133" s="172" t="s">
        <v>3629</v>
      </c>
      <c r="D1133" s="172" t="s">
        <v>3630</v>
      </c>
      <c r="E1133" s="172" t="s">
        <v>3602</v>
      </c>
      <c r="F1133" s="172" t="s">
        <v>11634</v>
      </c>
      <c r="G1133" s="189" t="s">
        <v>11635</v>
      </c>
      <c r="H1133" s="174" t="s">
        <v>62</v>
      </c>
      <c r="I1133" s="180"/>
      <c r="J1133" s="180"/>
    </row>
    <row r="1134" spans="1:10" ht="120" customHeight="1">
      <c r="A1134" s="375"/>
      <c r="B1134" s="191" t="s">
        <v>3599</v>
      </c>
      <c r="C1134" s="172" t="s">
        <v>3632</v>
      </c>
      <c r="D1134" s="177" t="s">
        <v>3633</v>
      </c>
      <c r="E1134" s="172" t="s">
        <v>3602</v>
      </c>
      <c r="F1134" s="172" t="s">
        <v>3634</v>
      </c>
      <c r="G1134" s="189" t="s">
        <v>3635</v>
      </c>
      <c r="H1134" s="174" t="s">
        <v>36</v>
      </c>
      <c r="I1134" s="180"/>
      <c r="J1134" s="180"/>
    </row>
    <row r="1135" spans="1:10" ht="120" customHeight="1">
      <c r="A1135" s="375"/>
      <c r="B1135" s="191" t="s">
        <v>3599</v>
      </c>
      <c r="C1135" s="172" t="s">
        <v>3636</v>
      </c>
      <c r="D1135" s="177" t="s">
        <v>3637</v>
      </c>
      <c r="E1135" s="172" t="s">
        <v>3602</v>
      </c>
      <c r="F1135" s="172" t="s">
        <v>11636</v>
      </c>
      <c r="G1135" s="189" t="s">
        <v>11637</v>
      </c>
      <c r="H1135" s="174" t="s">
        <v>24</v>
      </c>
      <c r="I1135" s="180"/>
      <c r="J1135" s="180"/>
    </row>
    <row r="1136" spans="1:10" ht="120" customHeight="1">
      <c r="A1136" s="375"/>
      <c r="B1136" s="191" t="s">
        <v>3599</v>
      </c>
      <c r="C1136" s="172" t="s">
        <v>3639</v>
      </c>
      <c r="D1136" s="172" t="s">
        <v>3640</v>
      </c>
      <c r="E1136" s="172" t="s">
        <v>3602</v>
      </c>
      <c r="F1136" s="172" t="s">
        <v>3641</v>
      </c>
      <c r="G1136" s="189" t="s">
        <v>3642</v>
      </c>
      <c r="H1136" s="174" t="s">
        <v>24</v>
      </c>
      <c r="I1136" s="180"/>
      <c r="J1136" s="180"/>
    </row>
    <row r="1137" spans="1:10" ht="120" customHeight="1">
      <c r="A1137" s="375"/>
      <c r="B1137" s="191" t="s">
        <v>3599</v>
      </c>
      <c r="C1137" s="172" t="s">
        <v>3643</v>
      </c>
      <c r="D1137" s="172" t="s">
        <v>3644</v>
      </c>
      <c r="E1137" s="172" t="s">
        <v>3602</v>
      </c>
      <c r="F1137" s="172" t="s">
        <v>3645</v>
      </c>
      <c r="G1137" s="189" t="s">
        <v>3646</v>
      </c>
      <c r="H1137" s="174" t="s">
        <v>24</v>
      </c>
      <c r="I1137" s="180"/>
      <c r="J1137" s="180"/>
    </row>
    <row r="1138" spans="1:10" ht="120" customHeight="1">
      <c r="A1138" s="375"/>
      <c r="B1138" s="191" t="s">
        <v>3599</v>
      </c>
      <c r="C1138" s="172" t="s">
        <v>3647</v>
      </c>
      <c r="D1138" s="172" t="s">
        <v>3648</v>
      </c>
      <c r="E1138" s="172" t="s">
        <v>3602</v>
      </c>
      <c r="F1138" s="172" t="s">
        <v>3649</v>
      </c>
      <c r="G1138" s="189" t="s">
        <v>3650</v>
      </c>
      <c r="H1138" s="174" t="s">
        <v>41</v>
      </c>
      <c r="I1138" s="180"/>
      <c r="J1138" s="180"/>
    </row>
    <row r="1139" spans="1:10" ht="120" customHeight="1">
      <c r="A1139" s="375"/>
      <c r="B1139" s="284" t="s">
        <v>3599</v>
      </c>
      <c r="C1139" s="210" t="s">
        <v>11638</v>
      </c>
      <c r="D1139" s="172" t="s">
        <v>3651</v>
      </c>
      <c r="E1139" s="172" t="s">
        <v>11639</v>
      </c>
      <c r="F1139" s="172" t="s">
        <v>11640</v>
      </c>
      <c r="G1139" s="189" t="s">
        <v>3652</v>
      </c>
      <c r="H1139" s="201" t="s">
        <v>24</v>
      </c>
      <c r="I1139" s="180"/>
      <c r="J1139" s="180"/>
    </row>
    <row r="1140" spans="1:10" ht="120" customHeight="1">
      <c r="A1140" s="375"/>
      <c r="B1140" s="191" t="s">
        <v>3599</v>
      </c>
      <c r="C1140" s="172" t="s">
        <v>11641</v>
      </c>
      <c r="D1140" s="172" t="s">
        <v>11642</v>
      </c>
      <c r="E1140" s="172" t="s">
        <v>11639</v>
      </c>
      <c r="F1140" s="172" t="s">
        <v>11643</v>
      </c>
      <c r="G1140" s="189" t="s">
        <v>11644</v>
      </c>
      <c r="H1140" s="201" t="s">
        <v>24</v>
      </c>
      <c r="I1140" s="180"/>
      <c r="J1140" s="180"/>
    </row>
    <row r="1141" spans="1:10" ht="120" customHeight="1">
      <c r="A1141" s="375"/>
      <c r="B1141" s="191" t="s">
        <v>3599</v>
      </c>
      <c r="C1141" s="172" t="s">
        <v>3653</v>
      </c>
      <c r="D1141" s="172" t="s">
        <v>3654</v>
      </c>
      <c r="E1141" s="172" t="s">
        <v>3602</v>
      </c>
      <c r="F1141" s="172" t="s">
        <v>3655</v>
      </c>
      <c r="G1141" s="189" t="s">
        <v>3656</v>
      </c>
      <c r="H1141" s="201" t="s">
        <v>24</v>
      </c>
      <c r="I1141" s="180"/>
      <c r="J1141" s="180"/>
    </row>
    <row r="1142" spans="1:10" ht="120" customHeight="1">
      <c r="A1142" s="375"/>
      <c r="B1142" s="191" t="s">
        <v>3599</v>
      </c>
      <c r="C1142" s="172" t="s">
        <v>3657</v>
      </c>
      <c r="D1142" s="172" t="s">
        <v>3658</v>
      </c>
      <c r="E1142" s="172" t="s">
        <v>3602</v>
      </c>
      <c r="F1142" s="172" t="s">
        <v>3659</v>
      </c>
      <c r="G1142" s="189" t="s">
        <v>3660</v>
      </c>
      <c r="H1142" s="201" t="s">
        <v>24</v>
      </c>
      <c r="I1142" s="180"/>
      <c r="J1142" s="180"/>
    </row>
    <row r="1143" spans="1:10" ht="120" customHeight="1">
      <c r="A1143" s="375"/>
      <c r="B1143" s="191" t="s">
        <v>3599</v>
      </c>
      <c r="C1143" s="172" t="s">
        <v>3661</v>
      </c>
      <c r="D1143" s="172" t="s">
        <v>11645</v>
      </c>
      <c r="E1143" s="172" t="s">
        <v>3602</v>
      </c>
      <c r="F1143" s="172" t="s">
        <v>11646</v>
      </c>
      <c r="G1143" s="189" t="s">
        <v>12541</v>
      </c>
      <c r="H1143" s="201" t="s">
        <v>24</v>
      </c>
      <c r="I1143" s="180"/>
      <c r="J1143" s="180"/>
    </row>
    <row r="1144" spans="1:10" ht="120" customHeight="1">
      <c r="A1144" s="375"/>
      <c r="B1144" s="191" t="s">
        <v>3599</v>
      </c>
      <c r="C1144" s="172" t="s">
        <v>11647</v>
      </c>
      <c r="D1144" s="172" t="s">
        <v>11648</v>
      </c>
      <c r="E1144" s="172" t="s">
        <v>11639</v>
      </c>
      <c r="F1144" s="172" t="s">
        <v>11649</v>
      </c>
      <c r="G1144" s="189" t="s">
        <v>11650</v>
      </c>
      <c r="H1144" s="201" t="s">
        <v>24</v>
      </c>
      <c r="I1144" s="180"/>
      <c r="J1144" s="180"/>
    </row>
    <row r="1145" spans="1:10" ht="120" customHeight="1">
      <c r="A1145" s="375"/>
      <c r="B1145" s="191" t="s">
        <v>3599</v>
      </c>
      <c r="C1145" s="172" t="s">
        <v>3663</v>
      </c>
      <c r="D1145" s="172" t="s">
        <v>3664</v>
      </c>
      <c r="E1145" s="172" t="s">
        <v>3602</v>
      </c>
      <c r="F1145" s="172" t="s">
        <v>3665</v>
      </c>
      <c r="G1145" s="189" t="s">
        <v>3666</v>
      </c>
      <c r="H1145" s="174" t="s">
        <v>24</v>
      </c>
      <c r="I1145" s="180"/>
      <c r="J1145" s="180"/>
    </row>
    <row r="1146" spans="1:10" ht="120" customHeight="1">
      <c r="A1146" s="375"/>
      <c r="B1146" s="191" t="s">
        <v>3599</v>
      </c>
      <c r="C1146" s="172" t="s">
        <v>3667</v>
      </c>
      <c r="D1146" s="172" t="s">
        <v>3668</v>
      </c>
      <c r="E1146" s="172" t="s">
        <v>3602</v>
      </c>
      <c r="F1146" s="172" t="s">
        <v>11636</v>
      </c>
      <c r="G1146" s="189" t="s">
        <v>11637</v>
      </c>
      <c r="H1146" s="174" t="s">
        <v>24</v>
      </c>
      <c r="I1146" s="180"/>
      <c r="J1146" s="180"/>
    </row>
    <row r="1147" spans="1:10" ht="120" customHeight="1">
      <c r="A1147" s="375"/>
      <c r="B1147" s="191" t="s">
        <v>3599</v>
      </c>
      <c r="C1147" s="172" t="s">
        <v>3669</v>
      </c>
      <c r="D1147" s="172" t="s">
        <v>3670</v>
      </c>
      <c r="E1147" s="172" t="s">
        <v>3602</v>
      </c>
      <c r="F1147" s="172" t="s">
        <v>3671</v>
      </c>
      <c r="G1147" s="189" t="s">
        <v>3672</v>
      </c>
      <c r="H1147" s="174" t="s">
        <v>117</v>
      </c>
      <c r="I1147" s="180"/>
      <c r="J1147" s="180"/>
    </row>
    <row r="1148" spans="1:10" ht="120" customHeight="1">
      <c r="A1148" s="375"/>
      <c r="B1148" s="191" t="s">
        <v>3599</v>
      </c>
      <c r="C1148" s="172" t="s">
        <v>3673</v>
      </c>
      <c r="D1148" s="172" t="s">
        <v>3674</v>
      </c>
      <c r="E1148" s="172" t="s">
        <v>3602</v>
      </c>
      <c r="F1148" s="172" t="s">
        <v>3675</v>
      </c>
      <c r="G1148" s="189" t="s">
        <v>3676</v>
      </c>
      <c r="H1148" s="174" t="s">
        <v>41</v>
      </c>
      <c r="I1148" s="180"/>
      <c r="J1148" s="180"/>
    </row>
    <row r="1149" spans="1:10" ht="120" customHeight="1">
      <c r="A1149" s="375"/>
      <c r="B1149" s="191" t="s">
        <v>3599</v>
      </c>
      <c r="C1149" s="172" t="s">
        <v>3677</v>
      </c>
      <c r="D1149" s="172" t="s">
        <v>3678</v>
      </c>
      <c r="E1149" s="172" t="s">
        <v>3602</v>
      </c>
      <c r="F1149" s="172" t="s">
        <v>3679</v>
      </c>
      <c r="G1149" s="189" t="s">
        <v>3650</v>
      </c>
      <c r="H1149" s="174" t="s">
        <v>41</v>
      </c>
      <c r="I1149" s="180"/>
      <c r="J1149" s="180"/>
    </row>
    <row r="1150" spans="1:10" ht="120" customHeight="1">
      <c r="A1150" s="375"/>
      <c r="B1150" s="191" t="s">
        <v>3599</v>
      </c>
      <c r="C1150" s="172" t="s">
        <v>3680</v>
      </c>
      <c r="D1150" s="172" t="s">
        <v>3681</v>
      </c>
      <c r="E1150" s="172" t="s">
        <v>3602</v>
      </c>
      <c r="F1150" s="172" t="s">
        <v>3682</v>
      </c>
      <c r="G1150" s="189" t="s">
        <v>3683</v>
      </c>
      <c r="H1150" s="174" t="s">
        <v>41</v>
      </c>
      <c r="I1150" s="180"/>
      <c r="J1150" s="180"/>
    </row>
    <row r="1151" spans="1:10" ht="120" customHeight="1">
      <c r="A1151" s="375"/>
      <c r="B1151" s="191" t="s">
        <v>3599</v>
      </c>
      <c r="C1151" s="172" t="s">
        <v>3684</v>
      </c>
      <c r="D1151" s="172" t="s">
        <v>3685</v>
      </c>
      <c r="E1151" s="172" t="s">
        <v>3602</v>
      </c>
      <c r="F1151" s="172" t="s">
        <v>3686</v>
      </c>
      <c r="G1151" s="189" t="s">
        <v>3687</v>
      </c>
      <c r="H1151" s="174" t="s">
        <v>36</v>
      </c>
      <c r="I1151" s="180"/>
      <c r="J1151" s="180"/>
    </row>
    <row r="1152" spans="1:10" ht="120" customHeight="1">
      <c r="A1152" s="375"/>
      <c r="B1152" s="191" t="s">
        <v>3599</v>
      </c>
      <c r="C1152" s="172" t="s">
        <v>11651</v>
      </c>
      <c r="D1152" s="172" t="s">
        <v>3688</v>
      </c>
      <c r="E1152" s="172" t="s">
        <v>11639</v>
      </c>
      <c r="F1152" s="172" t="s">
        <v>11652</v>
      </c>
      <c r="G1152" s="189" t="s">
        <v>3690</v>
      </c>
      <c r="H1152" s="174" t="s">
        <v>36</v>
      </c>
      <c r="I1152" s="180"/>
      <c r="J1152" s="180"/>
    </row>
    <row r="1153" spans="1:10" ht="120" customHeight="1">
      <c r="A1153" s="375"/>
      <c r="B1153" s="191" t="s">
        <v>3599</v>
      </c>
      <c r="C1153" s="172" t="s">
        <v>3691</v>
      </c>
      <c r="D1153" s="172" t="s">
        <v>3692</v>
      </c>
      <c r="E1153" s="172" t="s">
        <v>3602</v>
      </c>
      <c r="F1153" s="172" t="s">
        <v>3693</v>
      </c>
      <c r="G1153" s="189" t="s">
        <v>3694</v>
      </c>
      <c r="H1153" s="174" t="s">
        <v>36</v>
      </c>
      <c r="I1153" s="180"/>
      <c r="J1153" s="180"/>
    </row>
    <row r="1154" spans="1:10" ht="120" customHeight="1">
      <c r="A1154" s="375"/>
      <c r="B1154" s="191" t="s">
        <v>3599</v>
      </c>
      <c r="C1154" s="172" t="s">
        <v>3695</v>
      </c>
      <c r="D1154" s="172" t="s">
        <v>3696</v>
      </c>
      <c r="E1154" s="172" t="s">
        <v>3602</v>
      </c>
      <c r="F1154" s="172" t="s">
        <v>3697</v>
      </c>
      <c r="G1154" s="189" t="s">
        <v>3698</v>
      </c>
      <c r="H1154" s="174" t="s">
        <v>36</v>
      </c>
      <c r="I1154" s="180"/>
      <c r="J1154" s="180"/>
    </row>
    <row r="1155" spans="1:10" ht="120" customHeight="1">
      <c r="A1155" s="375"/>
      <c r="B1155" s="191" t="s">
        <v>3599</v>
      </c>
      <c r="C1155" s="172" t="s">
        <v>11653</v>
      </c>
      <c r="D1155" s="172" t="s">
        <v>3699</v>
      </c>
      <c r="E1155" s="172" t="s">
        <v>11639</v>
      </c>
      <c r="F1155" s="172" t="s">
        <v>11654</v>
      </c>
      <c r="G1155" s="189" t="s">
        <v>3700</v>
      </c>
      <c r="H1155" s="201" t="s">
        <v>24</v>
      </c>
      <c r="I1155" s="180"/>
      <c r="J1155" s="180"/>
    </row>
    <row r="1156" spans="1:10" ht="120" customHeight="1">
      <c r="A1156" s="375"/>
      <c r="B1156" s="191" t="s">
        <v>3599</v>
      </c>
      <c r="C1156" s="172" t="s">
        <v>11655</v>
      </c>
      <c r="D1156" s="172" t="s">
        <v>3701</v>
      </c>
      <c r="E1156" s="172" t="s">
        <v>11639</v>
      </c>
      <c r="F1156" s="172" t="s">
        <v>11656</v>
      </c>
      <c r="G1156" s="189" t="s">
        <v>11657</v>
      </c>
      <c r="H1156" s="201" t="s">
        <v>24</v>
      </c>
      <c r="I1156" s="180"/>
      <c r="J1156" s="180"/>
    </row>
    <row r="1157" spans="1:10" ht="120" customHeight="1">
      <c r="A1157" s="375"/>
      <c r="B1157" s="191" t="s">
        <v>3599</v>
      </c>
      <c r="C1157" s="172" t="s">
        <v>3702</v>
      </c>
      <c r="D1157" s="172" t="s">
        <v>3703</v>
      </c>
      <c r="E1157" s="172" t="s">
        <v>3602</v>
      </c>
      <c r="F1157" s="172" t="s">
        <v>11658</v>
      </c>
      <c r="G1157" s="189" t="s">
        <v>3656</v>
      </c>
      <c r="H1157" s="201" t="s">
        <v>24</v>
      </c>
      <c r="I1157" s="180"/>
      <c r="J1157" s="180"/>
    </row>
    <row r="1158" spans="1:10" ht="120" customHeight="1">
      <c r="A1158" s="375"/>
      <c r="B1158" s="191" t="s">
        <v>3599</v>
      </c>
      <c r="C1158" s="172" t="s">
        <v>3704</v>
      </c>
      <c r="D1158" s="172" t="s">
        <v>3705</v>
      </c>
      <c r="E1158" s="172" t="s">
        <v>3602</v>
      </c>
      <c r="F1158" s="172" t="s">
        <v>3706</v>
      </c>
      <c r="G1158" s="189" t="s">
        <v>3660</v>
      </c>
      <c r="H1158" s="201" t="s">
        <v>24</v>
      </c>
      <c r="I1158" s="180"/>
      <c r="J1158" s="180"/>
    </row>
    <row r="1159" spans="1:10" ht="120" customHeight="1">
      <c r="A1159" s="375"/>
      <c r="B1159" s="191" t="s">
        <v>3599</v>
      </c>
      <c r="C1159" s="172" t="s">
        <v>3707</v>
      </c>
      <c r="D1159" s="172" t="s">
        <v>3708</v>
      </c>
      <c r="E1159" s="172" t="s">
        <v>3602</v>
      </c>
      <c r="F1159" s="172" t="s">
        <v>3709</v>
      </c>
      <c r="G1159" s="189" t="s">
        <v>3662</v>
      </c>
      <c r="H1159" s="201" t="s">
        <v>24</v>
      </c>
      <c r="I1159" s="180"/>
      <c r="J1159" s="180"/>
    </row>
    <row r="1160" spans="1:10" ht="120" customHeight="1">
      <c r="A1160" s="375"/>
      <c r="B1160" s="191" t="s">
        <v>3599</v>
      </c>
      <c r="C1160" s="172" t="s">
        <v>3710</v>
      </c>
      <c r="D1160" s="172" t="s">
        <v>3711</v>
      </c>
      <c r="E1160" s="172" t="s">
        <v>3602</v>
      </c>
      <c r="F1160" s="172" t="s">
        <v>11659</v>
      </c>
      <c r="G1160" s="189" t="s">
        <v>3713</v>
      </c>
      <c r="H1160" s="174" t="s">
        <v>41</v>
      </c>
      <c r="I1160" s="180"/>
      <c r="J1160" s="180"/>
    </row>
    <row r="1161" spans="1:10" ht="120" customHeight="1">
      <c r="A1161" s="375"/>
      <c r="B1161" s="191" t="s">
        <v>3599</v>
      </c>
      <c r="C1161" s="172" t="s">
        <v>3714</v>
      </c>
      <c r="D1161" s="172" t="s">
        <v>3715</v>
      </c>
      <c r="E1161" s="172" t="s">
        <v>3602</v>
      </c>
      <c r="F1161" s="172" t="s">
        <v>11660</v>
      </c>
      <c r="G1161" s="189" t="s">
        <v>11661</v>
      </c>
      <c r="H1161" s="174" t="s">
        <v>41</v>
      </c>
      <c r="I1161" s="180"/>
      <c r="J1161" s="180"/>
    </row>
    <row r="1162" spans="1:10" ht="120" customHeight="1">
      <c r="A1162" s="375"/>
      <c r="B1162" s="191" t="s">
        <v>3599</v>
      </c>
      <c r="C1162" s="172" t="s">
        <v>3718</v>
      </c>
      <c r="D1162" s="172" t="s">
        <v>3719</v>
      </c>
      <c r="E1162" s="172" t="s">
        <v>3602</v>
      </c>
      <c r="F1162" s="172" t="s">
        <v>3720</v>
      </c>
      <c r="G1162" s="189" t="s">
        <v>3721</v>
      </c>
      <c r="H1162" s="174" t="s">
        <v>41</v>
      </c>
      <c r="I1162" s="180"/>
      <c r="J1162" s="180"/>
    </row>
    <row r="1163" spans="1:10" ht="120" customHeight="1">
      <c r="A1163" s="375"/>
      <c r="B1163" s="191" t="s">
        <v>3599</v>
      </c>
      <c r="C1163" s="172" t="s">
        <v>3722</v>
      </c>
      <c r="D1163" s="172" t="s">
        <v>3723</v>
      </c>
      <c r="E1163" s="172" t="s">
        <v>3602</v>
      </c>
      <c r="F1163" s="172" t="s">
        <v>3724</v>
      </c>
      <c r="G1163" s="189" t="s">
        <v>3725</v>
      </c>
      <c r="H1163" s="174" t="s">
        <v>41</v>
      </c>
      <c r="I1163" s="180"/>
      <c r="J1163" s="180"/>
    </row>
    <row r="1164" spans="1:10" ht="120" customHeight="1">
      <c r="A1164" s="375"/>
      <c r="B1164" s="191" t="s">
        <v>3599</v>
      </c>
      <c r="C1164" s="172" t="s">
        <v>3726</v>
      </c>
      <c r="D1164" s="172" t="s">
        <v>3727</v>
      </c>
      <c r="E1164" s="172" t="s">
        <v>3602</v>
      </c>
      <c r="F1164" s="172" t="s">
        <v>3728</v>
      </c>
      <c r="G1164" s="189" t="s">
        <v>3729</v>
      </c>
      <c r="H1164" s="174" t="s">
        <v>24</v>
      </c>
      <c r="I1164" s="180"/>
      <c r="J1164" s="180"/>
    </row>
    <row r="1165" spans="1:10" ht="120" customHeight="1">
      <c r="A1165" s="375"/>
      <c r="B1165" s="191" t="s">
        <v>3599</v>
      </c>
      <c r="C1165" s="172" t="s">
        <v>3730</v>
      </c>
      <c r="D1165" s="172" t="s">
        <v>3731</v>
      </c>
      <c r="E1165" s="172" t="s">
        <v>3602</v>
      </c>
      <c r="F1165" s="172" t="s">
        <v>3732</v>
      </c>
      <c r="G1165" s="189" t="s">
        <v>3733</v>
      </c>
      <c r="H1165" s="174" t="s">
        <v>24</v>
      </c>
      <c r="I1165" s="180"/>
      <c r="J1165" s="180"/>
    </row>
    <row r="1166" spans="1:10" ht="120" customHeight="1">
      <c r="A1166" s="375"/>
      <c r="B1166" s="191" t="s">
        <v>3599</v>
      </c>
      <c r="C1166" s="172" t="s">
        <v>3734</v>
      </c>
      <c r="D1166" s="172" t="s">
        <v>3735</v>
      </c>
      <c r="E1166" s="172" t="s">
        <v>3602</v>
      </c>
      <c r="F1166" s="172" t="s">
        <v>3736</v>
      </c>
      <c r="G1166" s="189" t="s">
        <v>3737</v>
      </c>
      <c r="H1166" s="174" t="s">
        <v>24</v>
      </c>
      <c r="I1166" s="180"/>
      <c r="J1166" s="180"/>
    </row>
    <row r="1167" spans="1:10" ht="120" customHeight="1">
      <c r="A1167" s="375"/>
      <c r="B1167" s="191" t="s">
        <v>3599</v>
      </c>
      <c r="C1167" s="172" t="s">
        <v>3738</v>
      </c>
      <c r="D1167" s="172" t="s">
        <v>3739</v>
      </c>
      <c r="E1167" s="172" t="s">
        <v>11639</v>
      </c>
      <c r="F1167" s="172" t="s">
        <v>3740</v>
      </c>
      <c r="G1167" s="189" t="s">
        <v>3725</v>
      </c>
      <c r="H1167" s="174" t="s">
        <v>24</v>
      </c>
      <c r="I1167" s="180"/>
      <c r="J1167" s="180"/>
    </row>
    <row r="1168" spans="1:10" ht="120" customHeight="1">
      <c r="A1168" s="375"/>
      <c r="B1168" s="191" t="s">
        <v>3741</v>
      </c>
      <c r="C1168" s="172" t="s">
        <v>3742</v>
      </c>
      <c r="D1168" s="172" t="s">
        <v>11662</v>
      </c>
      <c r="E1168" s="172" t="s">
        <v>2984</v>
      </c>
      <c r="F1168" s="172" t="s">
        <v>11663</v>
      </c>
      <c r="G1168" s="189" t="s">
        <v>3745</v>
      </c>
      <c r="H1168" s="174" t="s">
        <v>24</v>
      </c>
      <c r="I1168" s="180"/>
      <c r="J1168" s="180"/>
    </row>
    <row r="1169" spans="1:10" ht="120" customHeight="1">
      <c r="A1169" s="375"/>
      <c r="B1169" s="191" t="s">
        <v>3741</v>
      </c>
      <c r="C1169" s="172" t="s">
        <v>11664</v>
      </c>
      <c r="D1169" s="172" t="s">
        <v>11665</v>
      </c>
      <c r="E1169" s="172" t="s">
        <v>11473</v>
      </c>
      <c r="F1169" s="172" t="s">
        <v>11666</v>
      </c>
      <c r="G1169" s="189" t="s">
        <v>11667</v>
      </c>
      <c r="H1169" s="174" t="s">
        <v>62</v>
      </c>
      <c r="I1169" s="180"/>
      <c r="J1169" s="180"/>
    </row>
    <row r="1170" spans="1:10" ht="120" customHeight="1">
      <c r="A1170" s="375"/>
      <c r="B1170" s="191" t="s">
        <v>3741</v>
      </c>
      <c r="C1170" s="172" t="s">
        <v>3749</v>
      </c>
      <c r="D1170" s="172" t="s">
        <v>3750</v>
      </c>
      <c r="E1170" s="172" t="s">
        <v>11473</v>
      </c>
      <c r="F1170" s="172" t="s">
        <v>11668</v>
      </c>
      <c r="G1170" s="189" t="s">
        <v>11669</v>
      </c>
      <c r="H1170" s="174" t="s">
        <v>24</v>
      </c>
      <c r="I1170" s="180"/>
      <c r="J1170" s="180"/>
    </row>
    <row r="1171" spans="1:10" ht="120" customHeight="1">
      <c r="A1171" s="375"/>
      <c r="B1171" s="191" t="s">
        <v>3741</v>
      </c>
      <c r="C1171" s="172" t="s">
        <v>11670</v>
      </c>
      <c r="D1171" s="172" t="s">
        <v>11671</v>
      </c>
      <c r="E1171" s="172" t="s">
        <v>11473</v>
      </c>
      <c r="F1171" s="172" t="s">
        <v>11672</v>
      </c>
      <c r="G1171" s="189" t="s">
        <v>3755</v>
      </c>
      <c r="H1171" s="174" t="s">
        <v>62</v>
      </c>
      <c r="I1171" s="180"/>
      <c r="J1171" s="180"/>
    </row>
    <row r="1172" spans="1:10" ht="120" customHeight="1">
      <c r="A1172" s="375"/>
      <c r="B1172" s="191" t="s">
        <v>3741</v>
      </c>
      <c r="C1172" s="172" t="s">
        <v>3756</v>
      </c>
      <c r="D1172" s="172" t="s">
        <v>3757</v>
      </c>
      <c r="E1172" s="172" t="s">
        <v>2984</v>
      </c>
      <c r="F1172" s="172" t="s">
        <v>11673</v>
      </c>
      <c r="G1172" s="189" t="s">
        <v>3759</v>
      </c>
      <c r="H1172" s="174" t="s">
        <v>24</v>
      </c>
      <c r="I1172" s="180"/>
      <c r="J1172" s="180"/>
    </row>
    <row r="1173" spans="1:10" ht="120" customHeight="1">
      <c r="A1173" s="375"/>
      <c r="B1173" s="191" t="s">
        <v>3741</v>
      </c>
      <c r="C1173" s="172" t="s">
        <v>11674</v>
      </c>
      <c r="D1173" s="172" t="s">
        <v>3760</v>
      </c>
      <c r="E1173" s="172" t="s">
        <v>11473</v>
      </c>
      <c r="F1173" s="172" t="s">
        <v>11675</v>
      </c>
      <c r="G1173" s="189" t="s">
        <v>3762</v>
      </c>
      <c r="H1173" s="174" t="s">
        <v>62</v>
      </c>
      <c r="I1173" s="180"/>
      <c r="J1173" s="180"/>
    </row>
    <row r="1174" spans="1:10" ht="120" customHeight="1">
      <c r="A1174" s="375"/>
      <c r="B1174" s="191" t="s">
        <v>3741</v>
      </c>
      <c r="C1174" s="172" t="s">
        <v>3763</v>
      </c>
      <c r="D1174" s="172" t="s">
        <v>3764</v>
      </c>
      <c r="E1174" s="172" t="s">
        <v>2984</v>
      </c>
      <c r="F1174" s="172" t="s">
        <v>3765</v>
      </c>
      <c r="G1174" s="189" t="s">
        <v>3766</v>
      </c>
      <c r="H1174" s="174" t="s">
        <v>24</v>
      </c>
      <c r="I1174" s="180"/>
      <c r="J1174" s="180"/>
    </row>
    <row r="1175" spans="1:10" ht="120" customHeight="1">
      <c r="A1175" s="375"/>
      <c r="B1175" s="191" t="s">
        <v>3741</v>
      </c>
      <c r="C1175" s="172" t="s">
        <v>3767</v>
      </c>
      <c r="D1175" s="172" t="s">
        <v>3768</v>
      </c>
      <c r="E1175" s="172" t="s">
        <v>2984</v>
      </c>
      <c r="F1175" s="172" t="s">
        <v>3769</v>
      </c>
      <c r="G1175" s="189" t="s">
        <v>3770</v>
      </c>
      <c r="H1175" s="174" t="s">
        <v>24</v>
      </c>
      <c r="I1175" s="180"/>
      <c r="J1175" s="180"/>
    </row>
    <row r="1176" spans="1:10" ht="120" customHeight="1">
      <c r="A1176" s="375"/>
      <c r="B1176" s="191" t="s">
        <v>3741</v>
      </c>
      <c r="C1176" s="172" t="s">
        <v>3771</v>
      </c>
      <c r="D1176" s="172" t="s">
        <v>3772</v>
      </c>
      <c r="E1176" s="172" t="s">
        <v>2984</v>
      </c>
      <c r="F1176" s="172" t="s">
        <v>3773</v>
      </c>
      <c r="G1176" s="189" t="s">
        <v>3774</v>
      </c>
      <c r="H1176" s="174" t="s">
        <v>30</v>
      </c>
      <c r="I1176" s="180"/>
      <c r="J1176" s="180"/>
    </row>
    <row r="1177" spans="1:10" ht="120" customHeight="1">
      <c r="A1177" s="375"/>
      <c r="B1177" s="191" t="s">
        <v>3741</v>
      </c>
      <c r="C1177" s="172" t="s">
        <v>11676</v>
      </c>
      <c r="D1177" s="172" t="s">
        <v>3775</v>
      </c>
      <c r="E1177" s="172" t="s">
        <v>11473</v>
      </c>
      <c r="F1177" s="172" t="s">
        <v>11677</v>
      </c>
      <c r="G1177" s="189" t="s">
        <v>3777</v>
      </c>
      <c r="H1177" s="174" t="s">
        <v>24</v>
      </c>
      <c r="I1177" s="180"/>
      <c r="J1177" s="180"/>
    </row>
    <row r="1178" spans="1:10" ht="120" customHeight="1">
      <c r="A1178" s="375"/>
      <c r="B1178" s="191" t="s">
        <v>3741</v>
      </c>
      <c r="C1178" s="172" t="s">
        <v>3778</v>
      </c>
      <c r="D1178" s="172" t="s">
        <v>3779</v>
      </c>
      <c r="E1178" s="172" t="s">
        <v>2984</v>
      </c>
      <c r="F1178" s="172" t="s">
        <v>3780</v>
      </c>
      <c r="G1178" s="189" t="s">
        <v>3781</v>
      </c>
      <c r="H1178" s="174" t="s">
        <v>24</v>
      </c>
      <c r="I1178" s="180"/>
      <c r="J1178" s="180"/>
    </row>
    <row r="1179" spans="1:10" ht="120" customHeight="1">
      <c r="A1179" s="375"/>
      <c r="B1179" s="191" t="s">
        <v>3741</v>
      </c>
      <c r="C1179" s="172" t="s">
        <v>3782</v>
      </c>
      <c r="D1179" s="172" t="s">
        <v>3783</v>
      </c>
      <c r="E1179" s="172" t="s">
        <v>2984</v>
      </c>
      <c r="F1179" s="172" t="s">
        <v>3784</v>
      </c>
      <c r="G1179" s="189" t="s">
        <v>3785</v>
      </c>
      <c r="H1179" s="174" t="s">
        <v>24</v>
      </c>
      <c r="I1179" s="180"/>
      <c r="J1179" s="180"/>
    </row>
    <row r="1180" spans="1:10" ht="120" customHeight="1">
      <c r="A1180" s="375"/>
      <c r="B1180" s="191" t="s">
        <v>3741</v>
      </c>
      <c r="C1180" s="172" t="s">
        <v>3786</v>
      </c>
      <c r="D1180" s="172" t="s">
        <v>3787</v>
      </c>
      <c r="E1180" s="172" t="s">
        <v>2984</v>
      </c>
      <c r="F1180" s="172" t="s">
        <v>3788</v>
      </c>
      <c r="G1180" s="189" t="s">
        <v>3789</v>
      </c>
      <c r="H1180" s="174" t="s">
        <v>24</v>
      </c>
      <c r="I1180" s="180"/>
      <c r="J1180" s="180"/>
    </row>
    <row r="1181" spans="1:10" ht="120" customHeight="1">
      <c r="A1181" s="375"/>
      <c r="B1181" s="191" t="s">
        <v>3741</v>
      </c>
      <c r="C1181" s="172" t="s">
        <v>3790</v>
      </c>
      <c r="D1181" s="172" t="s">
        <v>3791</v>
      </c>
      <c r="E1181" s="172" t="s">
        <v>2984</v>
      </c>
      <c r="F1181" s="172" t="s">
        <v>3792</v>
      </c>
      <c r="G1181" s="189" t="s">
        <v>12542</v>
      </c>
      <c r="H1181" s="174" t="s">
        <v>41</v>
      </c>
      <c r="I1181" s="180"/>
      <c r="J1181" s="180"/>
    </row>
    <row r="1182" spans="1:10" ht="120" customHeight="1">
      <c r="A1182" s="375"/>
      <c r="B1182" s="191" t="s">
        <v>3741</v>
      </c>
      <c r="C1182" s="172" t="s">
        <v>11678</v>
      </c>
      <c r="D1182" s="177" t="s">
        <v>3794</v>
      </c>
      <c r="E1182" s="172" t="s">
        <v>11473</v>
      </c>
      <c r="F1182" s="172" t="s">
        <v>11679</v>
      </c>
      <c r="G1182" s="189" t="s">
        <v>11680</v>
      </c>
      <c r="H1182" s="174" t="s">
        <v>41</v>
      </c>
      <c r="I1182" s="180"/>
      <c r="J1182" s="180"/>
    </row>
    <row r="1183" spans="1:10" ht="120" customHeight="1">
      <c r="A1183" s="375"/>
      <c r="B1183" s="191" t="s">
        <v>3741</v>
      </c>
      <c r="C1183" s="172" t="s">
        <v>11681</v>
      </c>
      <c r="D1183" s="172" t="s">
        <v>3797</v>
      </c>
      <c r="E1183" s="172" t="s">
        <v>2984</v>
      </c>
      <c r="F1183" s="172" t="s">
        <v>11682</v>
      </c>
      <c r="G1183" s="189" t="s">
        <v>3799</v>
      </c>
      <c r="H1183" s="174" t="s">
        <v>41</v>
      </c>
      <c r="I1183" s="180"/>
      <c r="J1183" s="180"/>
    </row>
    <row r="1184" spans="1:10" ht="120" customHeight="1">
      <c r="A1184" s="375"/>
      <c r="B1184" s="191" t="s">
        <v>3741</v>
      </c>
      <c r="C1184" s="172" t="s">
        <v>3800</v>
      </c>
      <c r="D1184" s="177" t="s">
        <v>3801</v>
      </c>
      <c r="E1184" s="172" t="s">
        <v>2984</v>
      </c>
      <c r="F1184" s="172" t="s">
        <v>3802</v>
      </c>
      <c r="G1184" s="189" t="s">
        <v>3803</v>
      </c>
      <c r="H1184" s="174" t="s">
        <v>41</v>
      </c>
      <c r="I1184" s="180"/>
      <c r="J1184" s="180"/>
    </row>
    <row r="1185" spans="1:10" ht="120" customHeight="1">
      <c r="A1185" s="375"/>
      <c r="B1185" s="325" t="s">
        <v>3741</v>
      </c>
      <c r="C1185" s="242" t="s">
        <v>3804</v>
      </c>
      <c r="D1185" s="242" t="s">
        <v>3805</v>
      </c>
      <c r="E1185" s="242" t="s">
        <v>2984</v>
      </c>
      <c r="F1185" s="242" t="s">
        <v>3806</v>
      </c>
      <c r="G1185" s="305" t="s">
        <v>3807</v>
      </c>
      <c r="H1185" s="406" t="s">
        <v>24</v>
      </c>
      <c r="I1185" s="180"/>
      <c r="J1185" s="180"/>
    </row>
    <row r="1186" spans="1:10" ht="120" customHeight="1">
      <c r="A1186" s="381"/>
      <c r="B1186" s="191" t="s">
        <v>3741</v>
      </c>
      <c r="C1186" s="172" t="s">
        <v>11683</v>
      </c>
      <c r="D1186" s="172" t="s">
        <v>11684</v>
      </c>
      <c r="E1186" s="172" t="s">
        <v>11473</v>
      </c>
      <c r="F1186" s="172" t="s">
        <v>11685</v>
      </c>
      <c r="G1186" s="189" t="s">
        <v>11686</v>
      </c>
      <c r="H1186" s="21"/>
      <c r="I1186" s="10"/>
      <c r="J1186" s="10"/>
    </row>
    <row r="1187" spans="1:10" ht="120" customHeight="1">
      <c r="A1187" s="376" t="s">
        <v>3808</v>
      </c>
      <c r="B1187" s="329" t="s">
        <v>3809</v>
      </c>
      <c r="C1187" s="301" t="s">
        <v>3810</v>
      </c>
      <c r="D1187" s="314" t="s">
        <v>3811</v>
      </c>
      <c r="E1187" s="301" t="s">
        <v>3812</v>
      </c>
      <c r="F1187" s="301" t="s">
        <v>12543</v>
      </c>
      <c r="G1187" s="302" t="s">
        <v>3814</v>
      </c>
      <c r="H1187" s="405" t="s">
        <v>30</v>
      </c>
      <c r="I1187" s="180"/>
      <c r="J1187" s="180"/>
    </row>
    <row r="1188" spans="1:10" ht="120" customHeight="1">
      <c r="A1188" s="381"/>
      <c r="B1188" s="190" t="s">
        <v>3809</v>
      </c>
      <c r="C1188" s="172" t="s">
        <v>3815</v>
      </c>
      <c r="D1188" s="177" t="s">
        <v>3816</v>
      </c>
      <c r="E1188" s="172" t="s">
        <v>11687</v>
      </c>
      <c r="F1188" s="172" t="s">
        <v>12544</v>
      </c>
      <c r="G1188" s="189" t="s">
        <v>11688</v>
      </c>
      <c r="H1188" s="174" t="s">
        <v>30</v>
      </c>
      <c r="I1188" s="180"/>
      <c r="J1188" s="180"/>
    </row>
    <row r="1189" spans="1:10" ht="120" customHeight="1">
      <c r="A1189" s="381"/>
      <c r="B1189" s="190" t="s">
        <v>3809</v>
      </c>
      <c r="C1189" s="172" t="s">
        <v>3818</v>
      </c>
      <c r="D1189" s="177" t="s">
        <v>3819</v>
      </c>
      <c r="E1189" s="172" t="s">
        <v>11687</v>
      </c>
      <c r="F1189" s="172" t="s">
        <v>12545</v>
      </c>
      <c r="G1189" s="189" t="s">
        <v>3814</v>
      </c>
      <c r="H1189" s="174" t="s">
        <v>30</v>
      </c>
      <c r="I1189" s="180"/>
      <c r="J1189" s="180"/>
    </row>
    <row r="1190" spans="1:10" ht="120" customHeight="1">
      <c r="A1190" s="381"/>
      <c r="B1190" s="190" t="s">
        <v>3809</v>
      </c>
      <c r="C1190" s="172" t="s">
        <v>3821</v>
      </c>
      <c r="D1190" s="172" t="s">
        <v>3822</v>
      </c>
      <c r="E1190" s="172" t="s">
        <v>3823</v>
      </c>
      <c r="F1190" s="172" t="s">
        <v>3824</v>
      </c>
      <c r="G1190" s="189" t="s">
        <v>3825</v>
      </c>
      <c r="H1190" s="174" t="s">
        <v>30</v>
      </c>
      <c r="I1190" s="180"/>
      <c r="J1190" s="180"/>
    </row>
    <row r="1191" spans="1:10" ht="120" customHeight="1">
      <c r="A1191" s="381"/>
      <c r="B1191" s="190" t="s">
        <v>3809</v>
      </c>
      <c r="C1191" s="172" t="s">
        <v>3826</v>
      </c>
      <c r="D1191" s="172" t="s">
        <v>3827</v>
      </c>
      <c r="E1191" s="172" t="s">
        <v>11689</v>
      </c>
      <c r="F1191" s="172" t="s">
        <v>3828</v>
      </c>
      <c r="G1191" s="189" t="s">
        <v>3829</v>
      </c>
      <c r="H1191" s="174" t="s">
        <v>36</v>
      </c>
      <c r="I1191" s="180"/>
      <c r="J1191" s="180"/>
    </row>
    <row r="1192" spans="1:10" ht="120" customHeight="1">
      <c r="A1192" s="381"/>
      <c r="B1192" s="190" t="s">
        <v>3809</v>
      </c>
      <c r="C1192" s="172" t="s">
        <v>3830</v>
      </c>
      <c r="D1192" s="172" t="s">
        <v>3831</v>
      </c>
      <c r="E1192" s="172" t="s">
        <v>3823</v>
      </c>
      <c r="F1192" s="172" t="s">
        <v>3832</v>
      </c>
      <c r="G1192" s="189" t="s">
        <v>11690</v>
      </c>
      <c r="H1192" s="174" t="s">
        <v>62</v>
      </c>
      <c r="I1192" s="180"/>
      <c r="J1192" s="180"/>
    </row>
    <row r="1193" spans="1:10" ht="120" customHeight="1">
      <c r="A1193" s="382" t="s">
        <v>3874</v>
      </c>
      <c r="B1193" s="191" t="s">
        <v>3874</v>
      </c>
      <c r="C1193" s="210" t="s">
        <v>3834</v>
      </c>
      <c r="D1193" s="177" t="s">
        <v>11691</v>
      </c>
      <c r="E1193" s="172" t="s">
        <v>23</v>
      </c>
      <c r="F1193" s="172" t="s">
        <v>3835</v>
      </c>
      <c r="G1193" s="189" t="s">
        <v>3836</v>
      </c>
      <c r="H1193" s="174" t="s">
        <v>24</v>
      </c>
      <c r="I1193" s="180"/>
      <c r="J1193" s="180"/>
    </row>
    <row r="1194" spans="1:10" ht="120" customHeight="1">
      <c r="A1194" s="379"/>
      <c r="B1194" s="191" t="s">
        <v>3833</v>
      </c>
      <c r="C1194" s="210" t="s">
        <v>11692</v>
      </c>
      <c r="D1194" s="177" t="s">
        <v>11693</v>
      </c>
      <c r="E1194" s="172" t="s">
        <v>23</v>
      </c>
      <c r="F1194" s="172" t="s">
        <v>11694</v>
      </c>
      <c r="G1194" s="189" t="s">
        <v>3836</v>
      </c>
      <c r="H1194" s="174" t="s">
        <v>24</v>
      </c>
      <c r="I1194" s="180"/>
      <c r="J1194" s="180"/>
    </row>
    <row r="1195" spans="1:10" ht="120" customHeight="1">
      <c r="A1195" s="379"/>
      <c r="B1195" s="191" t="s">
        <v>3833</v>
      </c>
      <c r="C1195" s="210" t="s">
        <v>3837</v>
      </c>
      <c r="D1195" s="177" t="s">
        <v>3838</v>
      </c>
      <c r="E1195" s="172" t="s">
        <v>23</v>
      </c>
      <c r="F1195" s="172" t="s">
        <v>3839</v>
      </c>
      <c r="G1195" s="189" t="s">
        <v>3836</v>
      </c>
      <c r="H1195" s="174" t="s">
        <v>24</v>
      </c>
      <c r="I1195" s="180"/>
      <c r="J1195" s="180"/>
    </row>
    <row r="1196" spans="1:10" ht="120" customHeight="1">
      <c r="A1196" s="379"/>
      <c r="B1196" s="191" t="s">
        <v>3833</v>
      </c>
      <c r="C1196" s="210" t="s">
        <v>3840</v>
      </c>
      <c r="D1196" s="177" t="s">
        <v>3841</v>
      </c>
      <c r="E1196" s="172" t="s">
        <v>23</v>
      </c>
      <c r="F1196" s="172" t="s">
        <v>3842</v>
      </c>
      <c r="G1196" s="189" t="s">
        <v>3836</v>
      </c>
      <c r="H1196" s="174" t="s">
        <v>24</v>
      </c>
      <c r="I1196" s="180"/>
      <c r="J1196" s="180"/>
    </row>
    <row r="1197" spans="1:10" ht="120" customHeight="1">
      <c r="A1197" s="379"/>
      <c r="B1197" s="191" t="s">
        <v>3833</v>
      </c>
      <c r="C1197" s="210" t="s">
        <v>3843</v>
      </c>
      <c r="D1197" s="177" t="s">
        <v>3844</v>
      </c>
      <c r="E1197" s="172" t="s">
        <v>23</v>
      </c>
      <c r="F1197" s="172" t="s">
        <v>3845</v>
      </c>
      <c r="G1197" s="189" t="s">
        <v>3836</v>
      </c>
      <c r="H1197" s="174" t="s">
        <v>24</v>
      </c>
      <c r="I1197" s="180"/>
      <c r="J1197" s="180"/>
    </row>
    <row r="1198" spans="1:10" ht="120" customHeight="1">
      <c r="A1198" s="379"/>
      <c r="B1198" s="191" t="s">
        <v>3874</v>
      </c>
      <c r="C1198" s="210" t="s">
        <v>11695</v>
      </c>
      <c r="D1198" s="177" t="s">
        <v>11696</v>
      </c>
      <c r="E1198" s="172" t="s">
        <v>10791</v>
      </c>
      <c r="F1198" s="172" t="s">
        <v>11697</v>
      </c>
      <c r="G1198" s="189" t="s">
        <v>11698</v>
      </c>
      <c r="H1198" s="174" t="s">
        <v>24</v>
      </c>
      <c r="I1198" s="180"/>
      <c r="J1198" s="180"/>
    </row>
    <row r="1199" spans="1:10" ht="120" customHeight="1">
      <c r="A1199" s="379"/>
      <c r="B1199" s="191" t="s">
        <v>3833</v>
      </c>
      <c r="C1199" s="210" t="s">
        <v>3846</v>
      </c>
      <c r="D1199" s="177" t="s">
        <v>3847</v>
      </c>
      <c r="E1199" s="172" t="s">
        <v>23</v>
      </c>
      <c r="F1199" s="172" t="s">
        <v>3848</v>
      </c>
      <c r="G1199" s="189" t="s">
        <v>11698</v>
      </c>
      <c r="H1199" s="174" t="s">
        <v>24</v>
      </c>
      <c r="I1199" s="180"/>
      <c r="J1199" s="180"/>
    </row>
    <row r="1200" spans="1:10" ht="120" customHeight="1">
      <c r="A1200" s="379"/>
      <c r="B1200" s="191" t="s">
        <v>3833</v>
      </c>
      <c r="C1200" s="210" t="s">
        <v>3849</v>
      </c>
      <c r="D1200" s="177" t="s">
        <v>3850</v>
      </c>
      <c r="E1200" s="172" t="s">
        <v>23</v>
      </c>
      <c r="F1200" s="172" t="s">
        <v>3851</v>
      </c>
      <c r="G1200" s="189" t="s">
        <v>3852</v>
      </c>
      <c r="H1200" s="174" t="s">
        <v>117</v>
      </c>
      <c r="I1200" s="180"/>
      <c r="J1200" s="180"/>
    </row>
    <row r="1201" spans="1:10" ht="120" customHeight="1">
      <c r="A1201" s="379"/>
      <c r="B1201" s="191" t="s">
        <v>3833</v>
      </c>
      <c r="C1201" s="210" t="s">
        <v>3853</v>
      </c>
      <c r="D1201" s="177" t="s">
        <v>3854</v>
      </c>
      <c r="E1201" s="172" t="s">
        <v>23</v>
      </c>
      <c r="F1201" s="172" t="s">
        <v>3855</v>
      </c>
      <c r="G1201" s="189" t="s">
        <v>3852</v>
      </c>
      <c r="H1201" s="174" t="s">
        <v>117</v>
      </c>
      <c r="I1201" s="180"/>
      <c r="J1201" s="180"/>
    </row>
    <row r="1202" spans="1:10" ht="120" customHeight="1">
      <c r="A1202" s="379"/>
      <c r="B1202" s="191" t="s">
        <v>3833</v>
      </c>
      <c r="C1202" s="210" t="s">
        <v>3856</v>
      </c>
      <c r="D1202" s="177" t="s">
        <v>3857</v>
      </c>
      <c r="E1202" s="172" t="s">
        <v>23</v>
      </c>
      <c r="F1202" s="172" t="s">
        <v>3858</v>
      </c>
      <c r="G1202" s="189" t="s">
        <v>3852</v>
      </c>
      <c r="H1202" s="174" t="s">
        <v>117</v>
      </c>
      <c r="I1202" s="180"/>
      <c r="J1202" s="180"/>
    </row>
    <row r="1203" spans="1:10" ht="120" customHeight="1">
      <c r="A1203" s="379"/>
      <c r="B1203" s="191" t="s">
        <v>3833</v>
      </c>
      <c r="C1203" s="210" t="s">
        <v>3859</v>
      </c>
      <c r="D1203" s="177" t="s">
        <v>3860</v>
      </c>
      <c r="E1203" s="172" t="s">
        <v>23</v>
      </c>
      <c r="F1203" s="172" t="s">
        <v>3861</v>
      </c>
      <c r="G1203" s="189" t="s">
        <v>3852</v>
      </c>
      <c r="H1203" s="174" t="s">
        <v>117</v>
      </c>
      <c r="I1203" s="180"/>
      <c r="J1203" s="180"/>
    </row>
    <row r="1204" spans="1:10" ht="120" customHeight="1">
      <c r="A1204" s="379"/>
      <c r="B1204" s="191" t="s">
        <v>3833</v>
      </c>
      <c r="C1204" s="210" t="s">
        <v>3862</v>
      </c>
      <c r="D1204" s="177" t="s">
        <v>3863</v>
      </c>
      <c r="E1204" s="172" t="s">
        <v>23</v>
      </c>
      <c r="F1204" s="172" t="s">
        <v>3864</v>
      </c>
      <c r="G1204" s="189" t="s">
        <v>3852</v>
      </c>
      <c r="H1204" s="174" t="s">
        <v>117</v>
      </c>
      <c r="I1204" s="180"/>
      <c r="J1204" s="180"/>
    </row>
    <row r="1205" spans="1:10" ht="120" customHeight="1">
      <c r="A1205" s="379"/>
      <c r="B1205" s="191" t="s">
        <v>3833</v>
      </c>
      <c r="C1205" s="210" t="s">
        <v>3865</v>
      </c>
      <c r="D1205" s="177" t="s">
        <v>3866</v>
      </c>
      <c r="E1205" s="172" t="s">
        <v>23</v>
      </c>
      <c r="F1205" s="172" t="s">
        <v>3867</v>
      </c>
      <c r="G1205" s="189" t="s">
        <v>3852</v>
      </c>
      <c r="H1205" s="174" t="s">
        <v>117</v>
      </c>
      <c r="I1205" s="180"/>
      <c r="J1205" s="180"/>
    </row>
    <row r="1206" spans="1:10" ht="120" customHeight="1">
      <c r="A1206" s="379"/>
      <c r="B1206" s="191" t="s">
        <v>3833</v>
      </c>
      <c r="C1206" s="210" t="s">
        <v>3868</v>
      </c>
      <c r="D1206" s="177" t="s">
        <v>3869</v>
      </c>
      <c r="E1206" s="210" t="s">
        <v>23</v>
      </c>
      <c r="F1206" s="172" t="s">
        <v>11699</v>
      </c>
      <c r="G1206" s="209" t="s">
        <v>3852</v>
      </c>
      <c r="H1206" s="201" t="s">
        <v>117</v>
      </c>
      <c r="I1206" s="180"/>
      <c r="J1206" s="180"/>
    </row>
    <row r="1207" spans="1:10" ht="120" customHeight="1">
      <c r="A1207" s="379"/>
      <c r="B1207" s="191" t="s">
        <v>3833</v>
      </c>
      <c r="C1207" s="210" t="s">
        <v>3870</v>
      </c>
      <c r="D1207" s="177" t="s">
        <v>3871</v>
      </c>
      <c r="E1207" s="210" t="s">
        <v>23</v>
      </c>
      <c r="F1207" s="172" t="s">
        <v>3872</v>
      </c>
      <c r="G1207" s="209" t="s">
        <v>11700</v>
      </c>
      <c r="H1207" s="201" t="s">
        <v>117</v>
      </c>
      <c r="I1207" s="180"/>
      <c r="J1207" s="180"/>
    </row>
    <row r="1208" spans="1:10" ht="120" customHeight="1">
      <c r="A1208" s="379"/>
      <c r="B1208" s="191" t="s">
        <v>3874</v>
      </c>
      <c r="C1208" s="210" t="s">
        <v>3875</v>
      </c>
      <c r="D1208" s="177" t="s">
        <v>3876</v>
      </c>
      <c r="E1208" s="210" t="s">
        <v>23</v>
      </c>
      <c r="F1208" s="210" t="s">
        <v>3877</v>
      </c>
      <c r="G1208" s="209" t="s">
        <v>3873</v>
      </c>
      <c r="H1208" s="201" t="s">
        <v>117</v>
      </c>
      <c r="I1208" s="282"/>
      <c r="J1208" s="282"/>
    </row>
    <row r="1209" spans="1:10" ht="120" customHeight="1">
      <c r="A1209" s="379"/>
      <c r="B1209" s="191" t="s">
        <v>3874</v>
      </c>
      <c r="C1209" s="210" t="s">
        <v>3878</v>
      </c>
      <c r="D1209" s="177" t="s">
        <v>3879</v>
      </c>
      <c r="E1209" s="210" t="s">
        <v>23</v>
      </c>
      <c r="F1209" s="210" t="s">
        <v>3880</v>
      </c>
      <c r="G1209" s="209" t="s">
        <v>3873</v>
      </c>
      <c r="H1209" s="201" t="s">
        <v>117</v>
      </c>
      <c r="I1209" s="282"/>
      <c r="J1209" s="282"/>
    </row>
    <row r="1210" spans="1:10" ht="120" customHeight="1">
      <c r="A1210" s="379"/>
      <c r="B1210" s="191" t="s">
        <v>3874</v>
      </c>
      <c r="C1210" s="210" t="s">
        <v>3881</v>
      </c>
      <c r="D1210" s="177" t="s">
        <v>3882</v>
      </c>
      <c r="E1210" s="210" t="s">
        <v>23</v>
      </c>
      <c r="F1210" s="210" t="s">
        <v>3883</v>
      </c>
      <c r="G1210" s="209" t="s">
        <v>3873</v>
      </c>
      <c r="H1210" s="201" t="s">
        <v>117</v>
      </c>
      <c r="I1210" s="282"/>
      <c r="J1210" s="282"/>
    </row>
    <row r="1211" spans="1:10" ht="120" customHeight="1">
      <c r="A1211" s="379"/>
      <c r="B1211" s="191" t="s">
        <v>3874</v>
      </c>
      <c r="C1211" s="210" t="s">
        <v>11701</v>
      </c>
      <c r="D1211" s="177" t="s">
        <v>3884</v>
      </c>
      <c r="E1211" s="210" t="s">
        <v>10791</v>
      </c>
      <c r="F1211" s="210" t="s">
        <v>3885</v>
      </c>
      <c r="G1211" s="209" t="s">
        <v>3886</v>
      </c>
      <c r="H1211" s="201" t="s">
        <v>117</v>
      </c>
      <c r="I1211" s="282"/>
      <c r="J1211" s="282"/>
    </row>
    <row r="1212" spans="1:10" ht="120" customHeight="1">
      <c r="A1212" s="379"/>
      <c r="B1212" s="191" t="s">
        <v>3874</v>
      </c>
      <c r="C1212" s="210" t="s">
        <v>3887</v>
      </c>
      <c r="D1212" s="177" t="s">
        <v>3888</v>
      </c>
      <c r="E1212" s="210" t="s">
        <v>23</v>
      </c>
      <c r="F1212" s="210" t="s">
        <v>3889</v>
      </c>
      <c r="G1212" s="209" t="s">
        <v>11702</v>
      </c>
      <c r="H1212" s="201" t="s">
        <v>233</v>
      </c>
      <c r="I1212" s="282"/>
      <c r="J1212" s="282"/>
    </row>
    <row r="1213" spans="1:10" ht="120" customHeight="1">
      <c r="A1213" s="379"/>
      <c r="B1213" s="284" t="s">
        <v>3874</v>
      </c>
      <c r="C1213" s="210" t="s">
        <v>11703</v>
      </c>
      <c r="D1213" s="283" t="s">
        <v>3891</v>
      </c>
      <c r="E1213" s="210" t="s">
        <v>10791</v>
      </c>
      <c r="F1213" s="210" t="s">
        <v>3892</v>
      </c>
      <c r="G1213" s="209" t="s">
        <v>3893</v>
      </c>
      <c r="H1213" s="201" t="s">
        <v>184</v>
      </c>
      <c r="I1213" s="282"/>
      <c r="J1213" s="282"/>
    </row>
    <row r="1214" spans="1:10" ht="120" customHeight="1">
      <c r="A1214" s="379"/>
      <c r="B1214" s="284" t="s">
        <v>3874</v>
      </c>
      <c r="C1214" s="210" t="s">
        <v>11704</v>
      </c>
      <c r="D1214" s="283" t="s">
        <v>3894</v>
      </c>
      <c r="E1214" s="210" t="s">
        <v>10791</v>
      </c>
      <c r="F1214" s="210" t="s">
        <v>3895</v>
      </c>
      <c r="G1214" s="209" t="s">
        <v>3896</v>
      </c>
      <c r="H1214" s="201" t="s">
        <v>184</v>
      </c>
      <c r="I1214" s="282"/>
      <c r="J1214" s="282"/>
    </row>
    <row r="1215" spans="1:10" ht="120" customHeight="1">
      <c r="A1215" s="379"/>
      <c r="B1215" s="284" t="s">
        <v>3874</v>
      </c>
      <c r="C1215" s="210" t="s">
        <v>3897</v>
      </c>
      <c r="D1215" s="283" t="s">
        <v>3898</v>
      </c>
      <c r="E1215" s="210" t="s">
        <v>10791</v>
      </c>
      <c r="F1215" s="210" t="s">
        <v>3899</v>
      </c>
      <c r="G1215" s="209" t="s">
        <v>3900</v>
      </c>
      <c r="H1215" s="201" t="s">
        <v>184</v>
      </c>
      <c r="I1215" s="282"/>
      <c r="J1215" s="282"/>
    </row>
    <row r="1216" spans="1:10" ht="120" customHeight="1">
      <c r="A1216" s="379"/>
      <c r="B1216" s="284" t="s">
        <v>3874</v>
      </c>
      <c r="C1216" s="210" t="s">
        <v>11705</v>
      </c>
      <c r="D1216" s="283" t="s">
        <v>3901</v>
      </c>
      <c r="E1216" s="210" t="s">
        <v>10791</v>
      </c>
      <c r="F1216" s="210" t="s">
        <v>3902</v>
      </c>
      <c r="G1216" s="209" t="s">
        <v>3903</v>
      </c>
      <c r="H1216" s="201" t="s">
        <v>184</v>
      </c>
      <c r="I1216" s="282"/>
      <c r="J1216" s="282"/>
    </row>
    <row r="1217" spans="1:10" ht="120" customHeight="1">
      <c r="A1217" s="379"/>
      <c r="B1217" s="284" t="s">
        <v>3874</v>
      </c>
      <c r="C1217" s="210" t="s">
        <v>3904</v>
      </c>
      <c r="D1217" s="283" t="s">
        <v>3905</v>
      </c>
      <c r="E1217" s="210" t="s">
        <v>23</v>
      </c>
      <c r="F1217" s="210" t="s">
        <v>3906</v>
      </c>
      <c r="G1217" s="209" t="s">
        <v>3907</v>
      </c>
      <c r="H1217" s="201" t="s">
        <v>184</v>
      </c>
      <c r="I1217" s="282"/>
      <c r="J1217" s="282"/>
    </row>
    <row r="1218" spans="1:10" ht="120" customHeight="1">
      <c r="A1218" s="379"/>
      <c r="B1218" s="284" t="s">
        <v>3874</v>
      </c>
      <c r="C1218" s="210" t="s">
        <v>11706</v>
      </c>
      <c r="D1218" s="283" t="s">
        <v>3908</v>
      </c>
      <c r="E1218" s="210" t="s">
        <v>23</v>
      </c>
      <c r="F1218" s="210" t="s">
        <v>11707</v>
      </c>
      <c r="G1218" s="209" t="s">
        <v>11708</v>
      </c>
      <c r="H1218" s="201" t="s">
        <v>184</v>
      </c>
      <c r="I1218" s="282"/>
      <c r="J1218" s="282"/>
    </row>
    <row r="1219" spans="1:10" ht="120" customHeight="1">
      <c r="A1219" s="379"/>
      <c r="B1219" s="284" t="s">
        <v>3874</v>
      </c>
      <c r="C1219" s="210" t="s">
        <v>3909</v>
      </c>
      <c r="D1219" s="283" t="s">
        <v>3910</v>
      </c>
      <c r="E1219" s="210" t="s">
        <v>23</v>
      </c>
      <c r="F1219" s="210" t="s">
        <v>11709</v>
      </c>
      <c r="G1219" s="209" t="s">
        <v>11710</v>
      </c>
      <c r="H1219" s="201" t="s">
        <v>184</v>
      </c>
      <c r="I1219" s="282"/>
      <c r="J1219" s="282"/>
    </row>
    <row r="1220" spans="1:10" ht="120" customHeight="1">
      <c r="A1220" s="379"/>
      <c r="B1220" s="284" t="s">
        <v>3874</v>
      </c>
      <c r="C1220" s="210" t="s">
        <v>11711</v>
      </c>
      <c r="D1220" s="283" t="s">
        <v>3911</v>
      </c>
      <c r="E1220" s="210" t="s">
        <v>23</v>
      </c>
      <c r="F1220" s="210" t="s">
        <v>3912</v>
      </c>
      <c r="G1220" s="209" t="s">
        <v>3896</v>
      </c>
      <c r="H1220" s="201" t="s">
        <v>184</v>
      </c>
      <c r="I1220" s="282"/>
      <c r="J1220" s="282"/>
    </row>
    <row r="1221" spans="1:10" ht="120" customHeight="1">
      <c r="A1221" s="379"/>
      <c r="B1221" s="284" t="s">
        <v>3874</v>
      </c>
      <c r="C1221" s="210" t="s">
        <v>3913</v>
      </c>
      <c r="D1221" s="283" t="s">
        <v>3914</v>
      </c>
      <c r="E1221" s="210" t="s">
        <v>23</v>
      </c>
      <c r="F1221" s="210" t="s">
        <v>3915</v>
      </c>
      <c r="G1221" s="209" t="s">
        <v>3900</v>
      </c>
      <c r="H1221" s="201" t="s">
        <v>184</v>
      </c>
      <c r="I1221" s="282"/>
      <c r="J1221" s="282"/>
    </row>
    <row r="1222" spans="1:10" ht="120" customHeight="1">
      <c r="A1222" s="379"/>
      <c r="B1222" s="284" t="s">
        <v>3874</v>
      </c>
      <c r="C1222" s="210" t="s">
        <v>3916</v>
      </c>
      <c r="D1222" s="283" t="s">
        <v>11712</v>
      </c>
      <c r="E1222" s="210" t="s">
        <v>23</v>
      </c>
      <c r="F1222" s="210" t="s">
        <v>3917</v>
      </c>
      <c r="G1222" s="209" t="s">
        <v>3903</v>
      </c>
      <c r="H1222" s="201" t="s">
        <v>184</v>
      </c>
      <c r="I1222" s="282"/>
      <c r="J1222" s="282"/>
    </row>
    <row r="1223" spans="1:10" ht="120" customHeight="1">
      <c r="A1223" s="379"/>
      <c r="B1223" s="284" t="s">
        <v>3874</v>
      </c>
      <c r="C1223" s="210" t="s">
        <v>3918</v>
      </c>
      <c r="D1223" s="283" t="s">
        <v>11713</v>
      </c>
      <c r="E1223" s="210" t="s">
        <v>23</v>
      </c>
      <c r="F1223" s="210" t="s">
        <v>3919</v>
      </c>
      <c r="G1223" s="209" t="s">
        <v>3907</v>
      </c>
      <c r="H1223" s="201" t="s">
        <v>184</v>
      </c>
      <c r="I1223" s="282"/>
      <c r="J1223" s="282"/>
    </row>
    <row r="1224" spans="1:10" ht="120" customHeight="1">
      <c r="A1224" s="379"/>
      <c r="B1224" s="284" t="s">
        <v>3874</v>
      </c>
      <c r="C1224" s="210" t="s">
        <v>3920</v>
      </c>
      <c r="D1224" s="283" t="s">
        <v>11714</v>
      </c>
      <c r="E1224" s="210" t="s">
        <v>23</v>
      </c>
      <c r="F1224" s="210" t="s">
        <v>11715</v>
      </c>
      <c r="G1224" s="209" t="s">
        <v>3921</v>
      </c>
      <c r="H1224" s="201" t="s">
        <v>86</v>
      </c>
      <c r="I1224" s="282"/>
      <c r="J1224" s="282"/>
    </row>
    <row r="1225" spans="1:10" ht="120" customHeight="1">
      <c r="A1225" s="379"/>
      <c r="B1225" s="191" t="s">
        <v>3833</v>
      </c>
      <c r="C1225" s="210" t="s">
        <v>3922</v>
      </c>
      <c r="D1225" s="177" t="s">
        <v>3923</v>
      </c>
      <c r="E1225" s="172" t="s">
        <v>23</v>
      </c>
      <c r="F1225" s="172" t="s">
        <v>3924</v>
      </c>
      <c r="G1225" s="189" t="s">
        <v>3951</v>
      </c>
      <c r="H1225" s="174" t="s">
        <v>24</v>
      </c>
      <c r="I1225" s="180"/>
      <c r="J1225" s="180"/>
    </row>
    <row r="1226" spans="1:10" ht="120" customHeight="1">
      <c r="A1226" s="379"/>
      <c r="B1226" s="191" t="s">
        <v>3833</v>
      </c>
      <c r="C1226" s="210" t="s">
        <v>11716</v>
      </c>
      <c r="D1226" s="177" t="s">
        <v>11717</v>
      </c>
      <c r="E1226" s="172" t="s">
        <v>10791</v>
      </c>
      <c r="F1226" s="172" t="s">
        <v>11718</v>
      </c>
      <c r="G1226" s="189" t="s">
        <v>3954</v>
      </c>
      <c r="H1226" s="174" t="s">
        <v>24</v>
      </c>
      <c r="I1226" s="180"/>
      <c r="J1226" s="180"/>
    </row>
    <row r="1227" spans="1:10" ht="120" customHeight="1">
      <c r="A1227" s="379"/>
      <c r="B1227" s="191" t="s">
        <v>3833</v>
      </c>
      <c r="C1227" s="210" t="s">
        <v>3927</v>
      </c>
      <c r="D1227" s="177" t="s">
        <v>3928</v>
      </c>
      <c r="E1227" s="172" t="s">
        <v>23</v>
      </c>
      <c r="F1227" s="172" t="s">
        <v>3929</v>
      </c>
      <c r="G1227" s="189" t="s">
        <v>3930</v>
      </c>
      <c r="H1227" s="174" t="s">
        <v>36</v>
      </c>
      <c r="I1227" s="180"/>
      <c r="J1227" s="180"/>
    </row>
    <row r="1228" spans="1:10" ht="120" customHeight="1">
      <c r="A1228" s="379"/>
      <c r="B1228" s="191" t="s">
        <v>3833</v>
      </c>
      <c r="C1228" s="210" t="s">
        <v>3931</v>
      </c>
      <c r="D1228" s="177" t="s">
        <v>3932</v>
      </c>
      <c r="E1228" s="172" t="s">
        <v>23</v>
      </c>
      <c r="F1228" s="172" t="s">
        <v>3933</v>
      </c>
      <c r="G1228" s="189" t="s">
        <v>3925</v>
      </c>
      <c r="H1228" s="174" t="s">
        <v>24</v>
      </c>
      <c r="I1228" s="180"/>
      <c r="J1228" s="180"/>
    </row>
    <row r="1229" spans="1:10" ht="120" customHeight="1">
      <c r="A1229" s="379"/>
      <c r="B1229" s="191" t="s">
        <v>3833</v>
      </c>
      <c r="C1229" s="210" t="s">
        <v>3934</v>
      </c>
      <c r="D1229" s="177" t="s">
        <v>3928</v>
      </c>
      <c r="E1229" s="172" t="s">
        <v>23</v>
      </c>
      <c r="F1229" s="172" t="s">
        <v>3935</v>
      </c>
      <c r="G1229" s="189" t="s">
        <v>3926</v>
      </c>
      <c r="H1229" s="174" t="s">
        <v>24</v>
      </c>
      <c r="I1229" s="180"/>
      <c r="J1229" s="180"/>
    </row>
    <row r="1230" spans="1:10" ht="120" customHeight="1">
      <c r="A1230" s="379"/>
      <c r="B1230" s="191" t="s">
        <v>3833</v>
      </c>
      <c r="C1230" s="210" t="s">
        <v>3936</v>
      </c>
      <c r="D1230" s="177" t="s">
        <v>3937</v>
      </c>
      <c r="E1230" s="172" t="s">
        <v>23</v>
      </c>
      <c r="F1230" s="172" t="s">
        <v>3938</v>
      </c>
      <c r="G1230" s="189" t="s">
        <v>3939</v>
      </c>
      <c r="H1230" s="174" t="s">
        <v>36</v>
      </c>
      <c r="I1230" s="180"/>
      <c r="J1230" s="180"/>
    </row>
    <row r="1231" spans="1:10" ht="120" customHeight="1">
      <c r="A1231" s="379"/>
      <c r="B1231" s="191" t="s">
        <v>3833</v>
      </c>
      <c r="C1231" s="210" t="s">
        <v>3940</v>
      </c>
      <c r="D1231" s="177" t="s">
        <v>3941</v>
      </c>
      <c r="E1231" s="172" t="s">
        <v>23</v>
      </c>
      <c r="F1231" s="172" t="s">
        <v>3942</v>
      </c>
      <c r="G1231" s="189" t="s">
        <v>3925</v>
      </c>
      <c r="H1231" s="174" t="s">
        <v>24</v>
      </c>
      <c r="I1231" s="180"/>
      <c r="J1231" s="180"/>
    </row>
    <row r="1232" spans="1:10" ht="120" customHeight="1">
      <c r="A1232" s="379"/>
      <c r="B1232" s="191" t="s">
        <v>3833</v>
      </c>
      <c r="C1232" s="210" t="s">
        <v>3943</v>
      </c>
      <c r="D1232" s="177" t="s">
        <v>3944</v>
      </c>
      <c r="E1232" s="172" t="s">
        <v>23</v>
      </c>
      <c r="F1232" s="172" t="s">
        <v>3945</v>
      </c>
      <c r="G1232" s="189" t="s">
        <v>3926</v>
      </c>
      <c r="H1232" s="174" t="s">
        <v>36</v>
      </c>
      <c r="I1232" s="180"/>
      <c r="J1232" s="180"/>
    </row>
    <row r="1233" spans="1:10" ht="120" customHeight="1">
      <c r="A1233" s="379"/>
      <c r="B1233" s="191" t="s">
        <v>3833</v>
      </c>
      <c r="C1233" s="210" t="s">
        <v>3946</v>
      </c>
      <c r="D1233" s="177" t="s">
        <v>3947</v>
      </c>
      <c r="E1233" s="172" t="s">
        <v>23</v>
      </c>
      <c r="F1233" s="172" t="s">
        <v>3948</v>
      </c>
      <c r="G1233" s="189" t="s">
        <v>3949</v>
      </c>
      <c r="H1233" s="174" t="s">
        <v>24</v>
      </c>
      <c r="I1233" s="180"/>
      <c r="J1233" s="180"/>
    </row>
    <row r="1234" spans="1:10" ht="120" customHeight="1">
      <c r="A1234" s="379"/>
      <c r="B1234" s="284" t="s">
        <v>3833</v>
      </c>
      <c r="C1234" s="210" t="s">
        <v>11719</v>
      </c>
      <c r="D1234" s="283" t="s">
        <v>3950</v>
      </c>
      <c r="E1234" s="210" t="s">
        <v>23</v>
      </c>
      <c r="F1234" s="210" t="s">
        <v>11720</v>
      </c>
      <c r="G1234" s="209" t="s">
        <v>3925</v>
      </c>
      <c r="H1234" s="201" t="s">
        <v>117</v>
      </c>
      <c r="I1234" s="180"/>
      <c r="J1234" s="180"/>
    </row>
    <row r="1235" spans="1:10" ht="120" customHeight="1">
      <c r="A1235" s="379"/>
      <c r="B1235" s="284" t="s">
        <v>3833</v>
      </c>
      <c r="C1235" s="210" t="s">
        <v>3952</v>
      </c>
      <c r="D1235" s="283" t="s">
        <v>3953</v>
      </c>
      <c r="E1235" s="210" t="s">
        <v>23</v>
      </c>
      <c r="F1235" s="210" t="s">
        <v>11721</v>
      </c>
      <c r="G1235" s="209" t="s">
        <v>3926</v>
      </c>
      <c r="H1235" s="201" t="s">
        <v>117</v>
      </c>
      <c r="I1235" s="180"/>
      <c r="J1235" s="180"/>
    </row>
    <row r="1236" spans="1:10" ht="120" customHeight="1">
      <c r="A1236" s="379"/>
      <c r="B1236" s="284" t="s">
        <v>3833</v>
      </c>
      <c r="C1236" s="210" t="s">
        <v>3955</v>
      </c>
      <c r="D1236" s="283" t="s">
        <v>3956</v>
      </c>
      <c r="E1236" s="210" t="s">
        <v>23</v>
      </c>
      <c r="F1236" s="210" t="s">
        <v>3957</v>
      </c>
      <c r="G1236" s="209" t="s">
        <v>3958</v>
      </c>
      <c r="H1236" s="201" t="s">
        <v>117</v>
      </c>
      <c r="I1236" s="180"/>
      <c r="J1236" s="180"/>
    </row>
    <row r="1237" spans="1:10" ht="120" customHeight="1">
      <c r="A1237" s="379"/>
      <c r="B1237" s="284" t="s">
        <v>3833</v>
      </c>
      <c r="C1237" s="210" t="s">
        <v>3959</v>
      </c>
      <c r="D1237" s="283" t="s">
        <v>3960</v>
      </c>
      <c r="E1237" s="210" t="s">
        <v>23</v>
      </c>
      <c r="F1237" s="210" t="s">
        <v>3961</v>
      </c>
      <c r="G1237" s="209" t="s">
        <v>3951</v>
      </c>
      <c r="H1237" s="201" t="s">
        <v>117</v>
      </c>
      <c r="I1237" s="282"/>
      <c r="J1237" s="282"/>
    </row>
    <row r="1238" spans="1:10" ht="120" customHeight="1">
      <c r="A1238" s="379"/>
      <c r="B1238" s="284" t="s">
        <v>3833</v>
      </c>
      <c r="C1238" s="210" t="s">
        <v>3962</v>
      </c>
      <c r="D1238" s="283" t="s">
        <v>3963</v>
      </c>
      <c r="E1238" s="210" t="s">
        <v>23</v>
      </c>
      <c r="F1238" s="210" t="s">
        <v>3964</v>
      </c>
      <c r="G1238" s="209" t="s">
        <v>3954</v>
      </c>
      <c r="H1238" s="201" t="s">
        <v>117</v>
      </c>
      <c r="I1238" s="282"/>
      <c r="J1238" s="282"/>
    </row>
    <row r="1239" spans="1:10" ht="120" customHeight="1">
      <c r="A1239" s="379"/>
      <c r="B1239" s="284" t="s">
        <v>3833</v>
      </c>
      <c r="C1239" s="210" t="s">
        <v>3965</v>
      </c>
      <c r="D1239" s="283" t="s">
        <v>3966</v>
      </c>
      <c r="E1239" s="210" t="s">
        <v>23</v>
      </c>
      <c r="F1239" s="210" t="s">
        <v>3967</v>
      </c>
      <c r="G1239" s="209" t="s">
        <v>11722</v>
      </c>
      <c r="H1239" s="201" t="s">
        <v>117</v>
      </c>
      <c r="I1239" s="282"/>
      <c r="J1239" s="282"/>
    </row>
    <row r="1240" spans="1:10" ht="120" customHeight="1">
      <c r="A1240" s="379"/>
      <c r="B1240" s="284" t="s">
        <v>3833</v>
      </c>
      <c r="C1240" s="210" t="s">
        <v>3968</v>
      </c>
      <c r="D1240" s="283" t="s">
        <v>3969</v>
      </c>
      <c r="E1240" s="210" t="s">
        <v>3823</v>
      </c>
      <c r="F1240" s="210" t="s">
        <v>11723</v>
      </c>
      <c r="G1240" s="209" t="s">
        <v>11724</v>
      </c>
      <c r="H1240" s="201" t="s">
        <v>41</v>
      </c>
      <c r="I1240" s="282"/>
      <c r="J1240" s="282"/>
    </row>
    <row r="1241" spans="1:10" ht="120" customHeight="1">
      <c r="A1241" s="379"/>
      <c r="B1241" s="191" t="s">
        <v>3833</v>
      </c>
      <c r="C1241" s="210" t="s">
        <v>3972</v>
      </c>
      <c r="D1241" s="177" t="s">
        <v>3973</v>
      </c>
      <c r="E1241" s="172" t="s">
        <v>3823</v>
      </c>
      <c r="F1241" s="172" t="s">
        <v>11725</v>
      </c>
      <c r="G1241" s="189" t="s">
        <v>3975</v>
      </c>
      <c r="H1241" s="174" t="s">
        <v>36</v>
      </c>
      <c r="I1241" s="180"/>
      <c r="J1241" s="180"/>
    </row>
    <row r="1242" spans="1:10" ht="120" customHeight="1">
      <c r="A1242" s="379"/>
      <c r="B1242" s="191" t="s">
        <v>3833</v>
      </c>
      <c r="C1242" s="210" t="s">
        <v>3976</v>
      </c>
      <c r="D1242" s="177" t="s">
        <v>3977</v>
      </c>
      <c r="E1242" s="172" t="s">
        <v>3823</v>
      </c>
      <c r="F1242" s="172" t="s">
        <v>11726</v>
      </c>
      <c r="G1242" s="189" t="s">
        <v>3978</v>
      </c>
      <c r="H1242" s="174" t="s">
        <v>41</v>
      </c>
      <c r="I1242" s="180"/>
      <c r="J1242" s="180"/>
    </row>
    <row r="1243" spans="1:10" ht="120" customHeight="1">
      <c r="A1243" s="379"/>
      <c r="B1243" s="191" t="s">
        <v>3833</v>
      </c>
      <c r="C1243" s="210" t="s">
        <v>3979</v>
      </c>
      <c r="D1243" s="177" t="s">
        <v>3980</v>
      </c>
      <c r="E1243" s="172" t="s">
        <v>3823</v>
      </c>
      <c r="F1243" s="172" t="s">
        <v>3981</v>
      </c>
      <c r="G1243" s="189" t="s">
        <v>3982</v>
      </c>
      <c r="H1243" s="174" t="s">
        <v>36</v>
      </c>
      <c r="I1243" s="180"/>
      <c r="J1243" s="180"/>
    </row>
    <row r="1244" spans="1:10" ht="120" customHeight="1">
      <c r="A1244" s="379"/>
      <c r="B1244" s="191" t="s">
        <v>3833</v>
      </c>
      <c r="C1244" s="210" t="s">
        <v>3983</v>
      </c>
      <c r="D1244" s="177" t="s">
        <v>3984</v>
      </c>
      <c r="E1244" s="172" t="s">
        <v>3823</v>
      </c>
      <c r="F1244" s="172" t="s">
        <v>11727</v>
      </c>
      <c r="G1244" s="189" t="s">
        <v>3986</v>
      </c>
      <c r="H1244" s="174" t="s">
        <v>36</v>
      </c>
      <c r="I1244" s="180"/>
      <c r="J1244" s="180"/>
    </row>
    <row r="1245" spans="1:10" ht="120" customHeight="1">
      <c r="A1245" s="379"/>
      <c r="B1245" s="191" t="s">
        <v>3833</v>
      </c>
      <c r="C1245" s="210" t="s">
        <v>3987</v>
      </c>
      <c r="D1245" s="177" t="s">
        <v>3988</v>
      </c>
      <c r="E1245" s="172" t="s">
        <v>2984</v>
      </c>
      <c r="F1245" s="172" t="s">
        <v>3989</v>
      </c>
      <c r="G1245" s="189" t="s">
        <v>3990</v>
      </c>
      <c r="H1245" s="174" t="s">
        <v>41</v>
      </c>
      <c r="I1245" s="180"/>
      <c r="J1245" s="180"/>
    </row>
    <row r="1246" spans="1:10" ht="120" customHeight="1">
      <c r="A1246" s="379"/>
      <c r="B1246" s="191" t="s">
        <v>3833</v>
      </c>
      <c r="C1246" s="210" t="s">
        <v>3991</v>
      </c>
      <c r="D1246" s="177" t="s">
        <v>11728</v>
      </c>
      <c r="E1246" s="172" t="s">
        <v>2984</v>
      </c>
      <c r="F1246" s="172" t="s">
        <v>12546</v>
      </c>
      <c r="G1246" s="189" t="s">
        <v>12547</v>
      </c>
      <c r="H1246" s="174" t="s">
        <v>24</v>
      </c>
      <c r="I1246" s="180"/>
      <c r="J1246" s="180"/>
    </row>
    <row r="1247" spans="1:10" ht="120" customHeight="1">
      <c r="A1247" s="379"/>
      <c r="B1247" s="191" t="s">
        <v>3833</v>
      </c>
      <c r="C1247" s="210" t="s">
        <v>3994</v>
      </c>
      <c r="D1247" s="177" t="s">
        <v>3995</v>
      </c>
      <c r="E1247" s="172" t="s">
        <v>2984</v>
      </c>
      <c r="F1247" s="172" t="s">
        <v>3996</v>
      </c>
      <c r="G1247" s="189" t="s">
        <v>3997</v>
      </c>
      <c r="H1247" s="174" t="s">
        <v>117</v>
      </c>
      <c r="I1247" s="180"/>
      <c r="J1247" s="180"/>
    </row>
    <row r="1248" spans="1:10" ht="120" customHeight="1">
      <c r="A1248" s="379"/>
      <c r="B1248" s="191" t="s">
        <v>3833</v>
      </c>
      <c r="C1248" s="210" t="s">
        <v>3998</v>
      </c>
      <c r="D1248" s="177" t="s">
        <v>3999</v>
      </c>
      <c r="E1248" s="172" t="s">
        <v>2984</v>
      </c>
      <c r="F1248" s="172" t="s">
        <v>4000</v>
      </c>
      <c r="G1248" s="189" t="s">
        <v>12548</v>
      </c>
      <c r="H1248" s="174" t="s">
        <v>36</v>
      </c>
      <c r="I1248" s="180"/>
      <c r="J1248" s="180"/>
    </row>
    <row r="1249" spans="1:10" ht="120" customHeight="1">
      <c r="A1249" s="379"/>
      <c r="B1249" s="191" t="s">
        <v>3833</v>
      </c>
      <c r="C1249" s="210" t="s">
        <v>4002</v>
      </c>
      <c r="D1249" s="177" t="s">
        <v>4003</v>
      </c>
      <c r="E1249" s="172" t="s">
        <v>2984</v>
      </c>
      <c r="F1249" s="172" t="s">
        <v>11729</v>
      </c>
      <c r="G1249" s="189" t="s">
        <v>4005</v>
      </c>
      <c r="H1249" s="174" t="s">
        <v>36</v>
      </c>
      <c r="I1249" s="180"/>
      <c r="J1249" s="180"/>
    </row>
    <row r="1250" spans="1:10" ht="120" customHeight="1">
      <c r="A1250" s="379"/>
      <c r="B1250" s="191" t="s">
        <v>3833</v>
      </c>
      <c r="C1250" s="210" t="s">
        <v>4006</v>
      </c>
      <c r="D1250" s="177" t="s">
        <v>4007</v>
      </c>
      <c r="E1250" s="172" t="s">
        <v>2984</v>
      </c>
      <c r="F1250" s="172" t="s">
        <v>4008</v>
      </c>
      <c r="G1250" s="189" t="s">
        <v>4009</v>
      </c>
      <c r="H1250" s="174" t="s">
        <v>36</v>
      </c>
      <c r="I1250" s="180"/>
      <c r="J1250" s="180"/>
    </row>
    <row r="1251" spans="1:10" ht="120" customHeight="1">
      <c r="A1251" s="379"/>
      <c r="B1251" s="191" t="s">
        <v>3833</v>
      </c>
      <c r="C1251" s="210" t="s">
        <v>4010</v>
      </c>
      <c r="D1251" s="177" t="s">
        <v>4011</v>
      </c>
      <c r="E1251" s="172" t="s">
        <v>2984</v>
      </c>
      <c r="F1251" s="172" t="s">
        <v>4012</v>
      </c>
      <c r="G1251" s="189" t="s">
        <v>4013</v>
      </c>
      <c r="H1251" s="174" t="s">
        <v>36</v>
      </c>
      <c r="I1251" s="180"/>
      <c r="J1251" s="180"/>
    </row>
    <row r="1252" spans="1:10" ht="120" customHeight="1">
      <c r="A1252" s="379"/>
      <c r="B1252" s="191" t="s">
        <v>3833</v>
      </c>
      <c r="C1252" s="210" t="s">
        <v>11730</v>
      </c>
      <c r="D1252" s="177" t="s">
        <v>4014</v>
      </c>
      <c r="E1252" s="172" t="s">
        <v>11473</v>
      </c>
      <c r="F1252" s="172" t="s">
        <v>4015</v>
      </c>
      <c r="G1252" s="189" t="s">
        <v>4016</v>
      </c>
      <c r="H1252" s="174" t="s">
        <v>36</v>
      </c>
      <c r="I1252" s="180"/>
      <c r="J1252" s="180"/>
    </row>
    <row r="1253" spans="1:10" ht="120" customHeight="1">
      <c r="A1253" s="379"/>
      <c r="B1253" s="191" t="s">
        <v>3833</v>
      </c>
      <c r="C1253" s="210" t="s">
        <v>4017</v>
      </c>
      <c r="D1253" s="177" t="s">
        <v>4018</v>
      </c>
      <c r="E1253" s="172" t="s">
        <v>2984</v>
      </c>
      <c r="F1253" s="172" t="s">
        <v>4019</v>
      </c>
      <c r="G1253" s="189" t="s">
        <v>4020</v>
      </c>
      <c r="H1253" s="174" t="s">
        <v>36</v>
      </c>
      <c r="I1253" s="180"/>
      <c r="J1253" s="180"/>
    </row>
    <row r="1254" spans="1:10" ht="120" customHeight="1">
      <c r="A1254" s="379"/>
      <c r="B1254" s="191" t="s">
        <v>3833</v>
      </c>
      <c r="C1254" s="210" t="s">
        <v>4021</v>
      </c>
      <c r="D1254" s="177" t="s">
        <v>4022</v>
      </c>
      <c r="E1254" s="172" t="s">
        <v>23</v>
      </c>
      <c r="F1254" s="172" t="s">
        <v>4023</v>
      </c>
      <c r="G1254" s="189" t="s">
        <v>4024</v>
      </c>
      <c r="H1254" s="174" t="s">
        <v>24</v>
      </c>
      <c r="I1254" s="180"/>
      <c r="J1254" s="180"/>
    </row>
    <row r="1255" spans="1:10" ht="120" customHeight="1">
      <c r="A1255" s="379"/>
      <c r="B1255" s="191" t="s">
        <v>3833</v>
      </c>
      <c r="C1255" s="210" t="s">
        <v>4025</v>
      </c>
      <c r="D1255" s="177" t="s">
        <v>4026</v>
      </c>
      <c r="E1255" s="172" t="s">
        <v>2984</v>
      </c>
      <c r="F1255" s="172" t="s">
        <v>4027</v>
      </c>
      <c r="G1255" s="189" t="s">
        <v>11731</v>
      </c>
      <c r="H1255" s="201" t="s">
        <v>117</v>
      </c>
      <c r="I1255" s="180"/>
      <c r="J1255" s="180"/>
    </row>
    <row r="1256" spans="1:10" ht="120" customHeight="1">
      <c r="A1256" s="379"/>
      <c r="B1256" s="191" t="s">
        <v>3833</v>
      </c>
      <c r="C1256" s="210" t="s">
        <v>11732</v>
      </c>
      <c r="D1256" s="172" t="s">
        <v>11733</v>
      </c>
      <c r="E1256" s="172" t="s">
        <v>11473</v>
      </c>
      <c r="F1256" s="172" t="s">
        <v>11734</v>
      </c>
      <c r="G1256" s="189" t="s">
        <v>11735</v>
      </c>
      <c r="H1256" s="174" t="s">
        <v>24</v>
      </c>
      <c r="I1256" s="180"/>
      <c r="J1256" s="180"/>
    </row>
    <row r="1257" spans="1:10" ht="120" customHeight="1">
      <c r="A1257" s="379"/>
      <c r="B1257" s="325" t="s">
        <v>3833</v>
      </c>
      <c r="C1257" s="311" t="s">
        <v>4030</v>
      </c>
      <c r="D1257" s="242" t="s">
        <v>4031</v>
      </c>
      <c r="E1257" s="242" t="s">
        <v>2984</v>
      </c>
      <c r="F1257" s="242" t="s">
        <v>4032</v>
      </c>
      <c r="G1257" s="305" t="s">
        <v>4033</v>
      </c>
      <c r="H1257" s="406" t="s">
        <v>36</v>
      </c>
      <c r="I1257" s="180"/>
      <c r="J1257" s="180"/>
    </row>
    <row r="1258" spans="1:10" ht="120" customHeight="1">
      <c r="A1258" s="380"/>
      <c r="B1258" s="191" t="s">
        <v>3833</v>
      </c>
      <c r="C1258" s="172" t="s">
        <v>11736</v>
      </c>
      <c r="D1258" s="172" t="s">
        <v>12549</v>
      </c>
      <c r="E1258" s="172" t="s">
        <v>2984</v>
      </c>
      <c r="F1258" s="172" t="s">
        <v>11737</v>
      </c>
      <c r="G1258" s="189" t="s">
        <v>11738</v>
      </c>
      <c r="H1258" s="174" t="s">
        <v>30</v>
      </c>
      <c r="I1258" s="326"/>
      <c r="J1258" s="180"/>
    </row>
    <row r="1259" spans="1:10" ht="120" customHeight="1">
      <c r="A1259" s="379"/>
      <c r="B1259" s="327" t="s">
        <v>3833</v>
      </c>
      <c r="C1259" s="310" t="s">
        <v>4038</v>
      </c>
      <c r="D1259" s="301" t="s">
        <v>4039</v>
      </c>
      <c r="E1259" s="301" t="s">
        <v>2984</v>
      </c>
      <c r="F1259" s="301" t="s">
        <v>4040</v>
      </c>
      <c r="G1259" s="302" t="s">
        <v>4041</v>
      </c>
      <c r="H1259" s="405" t="s">
        <v>62</v>
      </c>
      <c r="I1259" s="180"/>
      <c r="J1259" s="180"/>
    </row>
    <row r="1260" spans="1:10" ht="120" customHeight="1">
      <c r="A1260" s="379"/>
      <c r="B1260" s="191" t="s">
        <v>3833</v>
      </c>
      <c r="C1260" s="210" t="s">
        <v>4042</v>
      </c>
      <c r="D1260" s="177" t="s">
        <v>4043</v>
      </c>
      <c r="E1260" s="172" t="s">
        <v>2984</v>
      </c>
      <c r="F1260" s="172" t="s">
        <v>4044</v>
      </c>
      <c r="G1260" s="189" t="s">
        <v>4045</v>
      </c>
      <c r="H1260" s="174" t="s">
        <v>24</v>
      </c>
      <c r="I1260" s="180"/>
      <c r="J1260" s="180"/>
    </row>
    <row r="1261" spans="1:10" ht="120" customHeight="1">
      <c r="A1261" s="379"/>
      <c r="B1261" s="191" t="s">
        <v>3833</v>
      </c>
      <c r="C1261" s="210" t="s">
        <v>4046</v>
      </c>
      <c r="D1261" s="177" t="s">
        <v>4047</v>
      </c>
      <c r="E1261" s="172" t="s">
        <v>2984</v>
      </c>
      <c r="F1261" s="172" t="s">
        <v>11739</v>
      </c>
      <c r="G1261" s="189" t="s">
        <v>11740</v>
      </c>
      <c r="H1261" s="174" t="s">
        <v>24</v>
      </c>
      <c r="I1261" s="180"/>
      <c r="J1261" s="180"/>
    </row>
    <row r="1262" spans="1:10" ht="120" customHeight="1">
      <c r="A1262" s="379"/>
      <c r="B1262" s="191" t="s">
        <v>3833</v>
      </c>
      <c r="C1262" s="210" t="s">
        <v>4048</v>
      </c>
      <c r="D1262" s="177" t="s">
        <v>11741</v>
      </c>
      <c r="E1262" s="172" t="s">
        <v>2984</v>
      </c>
      <c r="F1262" s="172" t="s">
        <v>4049</v>
      </c>
      <c r="G1262" s="189" t="s">
        <v>11742</v>
      </c>
      <c r="H1262" s="174" t="s">
        <v>24</v>
      </c>
      <c r="I1262" s="180"/>
      <c r="J1262" s="180"/>
    </row>
    <row r="1263" spans="1:10" ht="120" customHeight="1">
      <c r="A1263" s="379"/>
      <c r="B1263" s="191" t="s">
        <v>3833</v>
      </c>
      <c r="C1263" s="210" t="s">
        <v>4050</v>
      </c>
      <c r="D1263" s="177" t="s">
        <v>4051</v>
      </c>
      <c r="E1263" s="172" t="s">
        <v>2984</v>
      </c>
      <c r="F1263" s="172" t="s">
        <v>11743</v>
      </c>
      <c r="G1263" s="189" t="s">
        <v>4052</v>
      </c>
      <c r="H1263" s="201" t="s">
        <v>184</v>
      </c>
      <c r="I1263" s="180"/>
      <c r="J1263" s="180"/>
    </row>
    <row r="1264" spans="1:10" ht="120" customHeight="1">
      <c r="A1264" s="379"/>
      <c r="B1264" s="191" t="s">
        <v>3833</v>
      </c>
      <c r="C1264" s="210" t="s">
        <v>4053</v>
      </c>
      <c r="D1264" s="177" t="s">
        <v>4054</v>
      </c>
      <c r="E1264" s="172" t="s">
        <v>2984</v>
      </c>
      <c r="F1264" s="172" t="s">
        <v>4055</v>
      </c>
      <c r="G1264" s="189" t="s">
        <v>4056</v>
      </c>
      <c r="H1264" s="174" t="s">
        <v>117</v>
      </c>
      <c r="I1264" s="180"/>
      <c r="J1264" s="180"/>
    </row>
    <row r="1265" spans="1:10" ht="120" customHeight="1">
      <c r="A1265" s="379"/>
      <c r="B1265" s="191" t="s">
        <v>3833</v>
      </c>
      <c r="C1265" s="210" t="s">
        <v>11744</v>
      </c>
      <c r="D1265" s="177" t="s">
        <v>11745</v>
      </c>
      <c r="E1265" s="172" t="s">
        <v>11473</v>
      </c>
      <c r="F1265" s="172" t="s">
        <v>11746</v>
      </c>
      <c r="G1265" s="189" t="s">
        <v>11747</v>
      </c>
      <c r="H1265" s="174" t="s">
        <v>24</v>
      </c>
      <c r="I1265" s="180"/>
      <c r="J1265" s="180"/>
    </row>
    <row r="1266" spans="1:10" ht="120" customHeight="1">
      <c r="A1266" s="379"/>
      <c r="B1266" s="191" t="s">
        <v>3833</v>
      </c>
      <c r="C1266" s="210" t="s">
        <v>4058</v>
      </c>
      <c r="D1266" s="177" t="s">
        <v>4059</v>
      </c>
      <c r="E1266" s="172" t="s">
        <v>2984</v>
      </c>
      <c r="F1266" s="172" t="s">
        <v>11748</v>
      </c>
      <c r="G1266" s="189" t="s">
        <v>4060</v>
      </c>
      <c r="H1266" s="174" t="s">
        <v>24</v>
      </c>
      <c r="I1266" s="180"/>
      <c r="J1266" s="180"/>
    </row>
    <row r="1267" spans="1:10" ht="120" customHeight="1">
      <c r="A1267" s="379"/>
      <c r="B1267" s="191" t="s">
        <v>3833</v>
      </c>
      <c r="C1267" s="210" t="s">
        <v>4061</v>
      </c>
      <c r="D1267" s="177" t="s">
        <v>4062</v>
      </c>
      <c r="E1267" s="172" t="s">
        <v>2984</v>
      </c>
      <c r="F1267" s="172" t="s">
        <v>11749</v>
      </c>
      <c r="G1267" s="189" t="s">
        <v>4063</v>
      </c>
      <c r="H1267" s="174" t="s">
        <v>24</v>
      </c>
      <c r="I1267" s="180"/>
      <c r="J1267" s="180"/>
    </row>
    <row r="1268" spans="1:10" ht="120" customHeight="1">
      <c r="A1268" s="379"/>
      <c r="B1268" s="191" t="s">
        <v>3833</v>
      </c>
      <c r="C1268" s="210" t="s">
        <v>4064</v>
      </c>
      <c r="D1268" s="177" t="s">
        <v>4065</v>
      </c>
      <c r="E1268" s="172" t="s">
        <v>2984</v>
      </c>
      <c r="F1268" s="172" t="s">
        <v>12550</v>
      </c>
      <c r="G1268" s="189" t="s">
        <v>4066</v>
      </c>
      <c r="H1268" s="174" t="s">
        <v>62</v>
      </c>
      <c r="I1268" s="180"/>
      <c r="J1268" s="180"/>
    </row>
    <row r="1269" spans="1:10" ht="120" customHeight="1">
      <c r="A1269" s="379"/>
      <c r="B1269" s="191" t="s">
        <v>3833</v>
      </c>
      <c r="C1269" s="210" t="s">
        <v>4067</v>
      </c>
      <c r="D1269" s="172" t="s">
        <v>11750</v>
      </c>
      <c r="E1269" s="172" t="s">
        <v>23</v>
      </c>
      <c r="F1269" s="172" t="s">
        <v>11751</v>
      </c>
      <c r="G1269" s="189" t="s">
        <v>11752</v>
      </c>
      <c r="H1269" s="174" t="s">
        <v>41</v>
      </c>
      <c r="I1269" s="180"/>
      <c r="J1269" s="180"/>
    </row>
    <row r="1270" spans="1:10" ht="120" customHeight="1">
      <c r="A1270" s="379"/>
      <c r="B1270" s="191" t="s">
        <v>3833</v>
      </c>
      <c r="C1270" s="210" t="s">
        <v>4069</v>
      </c>
      <c r="D1270" s="172" t="s">
        <v>4070</v>
      </c>
      <c r="E1270" s="172" t="s">
        <v>23</v>
      </c>
      <c r="F1270" s="172" t="s">
        <v>4071</v>
      </c>
      <c r="G1270" s="189" t="s">
        <v>4072</v>
      </c>
      <c r="H1270" s="174" t="s">
        <v>41</v>
      </c>
      <c r="I1270" s="180"/>
      <c r="J1270" s="180"/>
    </row>
    <row r="1271" spans="1:10" ht="120" customHeight="1">
      <c r="A1271" s="379"/>
      <c r="B1271" s="191" t="s">
        <v>3833</v>
      </c>
      <c r="C1271" s="210" t="s">
        <v>4073</v>
      </c>
      <c r="D1271" s="172" t="s">
        <v>4074</v>
      </c>
      <c r="E1271" s="172" t="s">
        <v>23</v>
      </c>
      <c r="F1271" s="172" t="s">
        <v>4075</v>
      </c>
      <c r="G1271" s="189" t="s">
        <v>4076</v>
      </c>
      <c r="H1271" s="174" t="s">
        <v>41</v>
      </c>
      <c r="I1271" s="180"/>
      <c r="J1271" s="180"/>
    </row>
    <row r="1272" spans="1:10" ht="120" customHeight="1">
      <c r="A1272" s="379"/>
      <c r="B1272" s="191" t="s">
        <v>3833</v>
      </c>
      <c r="C1272" s="210" t="s">
        <v>4077</v>
      </c>
      <c r="D1272" s="172" t="s">
        <v>4078</v>
      </c>
      <c r="E1272" s="172" t="s">
        <v>23</v>
      </c>
      <c r="F1272" s="172" t="s">
        <v>4079</v>
      </c>
      <c r="G1272" s="189" t="s">
        <v>4080</v>
      </c>
      <c r="H1272" s="174" t="s">
        <v>41</v>
      </c>
      <c r="I1272" s="180"/>
      <c r="J1272" s="180"/>
    </row>
    <row r="1273" spans="1:10" ht="120" customHeight="1">
      <c r="A1273" s="379"/>
      <c r="B1273" s="191" t="s">
        <v>3833</v>
      </c>
      <c r="C1273" s="210" t="s">
        <v>4081</v>
      </c>
      <c r="D1273" s="172" t="s">
        <v>4082</v>
      </c>
      <c r="E1273" s="172" t="s">
        <v>23</v>
      </c>
      <c r="F1273" s="172" t="s">
        <v>4083</v>
      </c>
      <c r="G1273" s="189" t="s">
        <v>11753</v>
      </c>
      <c r="H1273" s="174" t="s">
        <v>41</v>
      </c>
      <c r="I1273" s="180"/>
      <c r="J1273" s="180"/>
    </row>
    <row r="1274" spans="1:10" ht="120" customHeight="1">
      <c r="A1274" s="379"/>
      <c r="B1274" s="191" t="s">
        <v>3833</v>
      </c>
      <c r="C1274" s="210" t="s">
        <v>4084</v>
      </c>
      <c r="D1274" s="172" t="s">
        <v>4085</v>
      </c>
      <c r="E1274" s="172" t="s">
        <v>23</v>
      </c>
      <c r="F1274" s="172" t="s">
        <v>11754</v>
      </c>
      <c r="G1274" s="189" t="s">
        <v>4087</v>
      </c>
      <c r="H1274" s="174" t="s">
        <v>41</v>
      </c>
      <c r="I1274" s="180"/>
      <c r="J1274" s="180"/>
    </row>
    <row r="1275" spans="1:10" ht="120" customHeight="1">
      <c r="A1275" s="379"/>
      <c r="B1275" s="191" t="s">
        <v>3833</v>
      </c>
      <c r="C1275" s="210" t="s">
        <v>4088</v>
      </c>
      <c r="D1275" s="172" t="s">
        <v>4089</v>
      </c>
      <c r="E1275" s="172" t="s">
        <v>23</v>
      </c>
      <c r="F1275" s="172" t="s">
        <v>4090</v>
      </c>
      <c r="G1275" s="189" t="s">
        <v>4091</v>
      </c>
      <c r="H1275" s="174" t="s">
        <v>41</v>
      </c>
      <c r="I1275" s="180"/>
      <c r="J1275" s="180"/>
    </row>
    <row r="1276" spans="1:10" ht="120" customHeight="1">
      <c r="A1276" s="379"/>
      <c r="B1276" s="191" t="s">
        <v>3833</v>
      </c>
      <c r="C1276" s="210" t="s">
        <v>4092</v>
      </c>
      <c r="D1276" s="172" t="s">
        <v>4093</v>
      </c>
      <c r="E1276" s="172" t="s">
        <v>23</v>
      </c>
      <c r="F1276" s="172" t="s">
        <v>4094</v>
      </c>
      <c r="G1276" s="189" t="s">
        <v>4095</v>
      </c>
      <c r="H1276" s="174" t="s">
        <v>24</v>
      </c>
      <c r="I1276" s="180"/>
      <c r="J1276" s="180"/>
    </row>
    <row r="1277" spans="1:10" ht="120" customHeight="1">
      <c r="A1277" s="379"/>
      <c r="B1277" s="191" t="s">
        <v>3833</v>
      </c>
      <c r="C1277" s="210" t="s">
        <v>4096</v>
      </c>
      <c r="D1277" s="172" t="s">
        <v>4097</v>
      </c>
      <c r="E1277" s="172" t="s">
        <v>23</v>
      </c>
      <c r="F1277" s="172" t="s">
        <v>4098</v>
      </c>
      <c r="G1277" s="189" t="s">
        <v>4099</v>
      </c>
      <c r="H1277" s="174" t="s">
        <v>24</v>
      </c>
      <c r="I1277" s="180"/>
      <c r="J1277" s="180"/>
    </row>
    <row r="1278" spans="1:10" ht="120" customHeight="1">
      <c r="A1278" s="379"/>
      <c r="B1278" s="191" t="s">
        <v>3833</v>
      </c>
      <c r="C1278" s="210" t="s">
        <v>4100</v>
      </c>
      <c r="D1278" s="172" t="s">
        <v>11755</v>
      </c>
      <c r="E1278" s="172" t="s">
        <v>23</v>
      </c>
      <c r="F1278" s="172" t="s">
        <v>4102</v>
      </c>
      <c r="G1278" s="189" t="s">
        <v>11756</v>
      </c>
      <c r="H1278" s="174" t="s">
        <v>41</v>
      </c>
      <c r="I1278" s="180"/>
      <c r="J1278" s="180"/>
    </row>
    <row r="1279" spans="1:10" ht="120" customHeight="1">
      <c r="A1279" s="379"/>
      <c r="B1279" s="325" t="s">
        <v>3833</v>
      </c>
      <c r="C1279" s="311" t="s">
        <v>4104</v>
      </c>
      <c r="D1279" s="242" t="s">
        <v>4105</v>
      </c>
      <c r="E1279" s="242" t="s">
        <v>23</v>
      </c>
      <c r="F1279" s="242" t="s">
        <v>4106</v>
      </c>
      <c r="G1279" s="305" t="s">
        <v>4103</v>
      </c>
      <c r="H1279" s="406" t="s">
        <v>41</v>
      </c>
      <c r="I1279" s="180"/>
      <c r="J1279" s="180"/>
    </row>
    <row r="1280" spans="1:10" ht="120" customHeight="1">
      <c r="A1280" s="380"/>
      <c r="B1280" s="191" t="s">
        <v>3833</v>
      </c>
      <c r="C1280" s="210" t="s">
        <v>11757</v>
      </c>
      <c r="D1280" s="172" t="s">
        <v>11758</v>
      </c>
      <c r="E1280" s="172" t="s">
        <v>11759</v>
      </c>
      <c r="F1280" s="172" t="s">
        <v>11760</v>
      </c>
      <c r="G1280" s="189" t="s">
        <v>11761</v>
      </c>
      <c r="H1280" s="174"/>
      <c r="I1280" s="326"/>
      <c r="J1280" s="180"/>
    </row>
    <row r="1281" spans="1:10" ht="120" customHeight="1">
      <c r="A1281" s="380"/>
      <c r="B1281" s="191" t="s">
        <v>3833</v>
      </c>
      <c r="C1281" s="210" t="s">
        <v>11762</v>
      </c>
      <c r="D1281" s="210" t="s">
        <v>11763</v>
      </c>
      <c r="E1281" s="172" t="s">
        <v>11764</v>
      </c>
      <c r="F1281" s="172" t="s">
        <v>11765</v>
      </c>
      <c r="G1281" s="189" t="s">
        <v>11761</v>
      </c>
      <c r="H1281" s="174"/>
      <c r="I1281" s="326"/>
      <c r="J1281" s="180"/>
    </row>
    <row r="1282" spans="1:10" ht="120" customHeight="1">
      <c r="A1282" s="369" t="s">
        <v>4107</v>
      </c>
      <c r="B1282" s="332" t="s">
        <v>4107</v>
      </c>
      <c r="C1282" s="333" t="s">
        <v>4109</v>
      </c>
      <c r="D1282" s="333" t="s">
        <v>4110</v>
      </c>
      <c r="E1282" s="333" t="s">
        <v>23</v>
      </c>
      <c r="F1282" s="333" t="s">
        <v>4111</v>
      </c>
      <c r="G1282" s="334" t="s">
        <v>4112</v>
      </c>
      <c r="H1282" s="449" t="s">
        <v>30</v>
      </c>
      <c r="I1282" s="180"/>
      <c r="J1282" s="180"/>
    </row>
    <row r="1283" spans="1:10" ht="120" customHeight="1">
      <c r="A1283" s="371"/>
      <c r="B1283" s="190" t="s">
        <v>4107</v>
      </c>
      <c r="C1283" s="172" t="s">
        <v>11766</v>
      </c>
      <c r="D1283" s="172" t="s">
        <v>11767</v>
      </c>
      <c r="E1283" s="172" t="s">
        <v>23</v>
      </c>
      <c r="F1283" s="172" t="s">
        <v>11768</v>
      </c>
      <c r="G1283" s="189" t="s">
        <v>11769</v>
      </c>
      <c r="H1283" s="174"/>
      <c r="I1283" s="326"/>
      <c r="J1283" s="180"/>
    </row>
    <row r="1284" spans="1:10" ht="120" customHeight="1">
      <c r="A1284" s="370"/>
      <c r="B1284" s="329" t="s">
        <v>4108</v>
      </c>
      <c r="C1284" s="301" t="s">
        <v>11770</v>
      </c>
      <c r="D1284" s="301" t="s">
        <v>11771</v>
      </c>
      <c r="E1284" s="301" t="s">
        <v>10791</v>
      </c>
      <c r="F1284" s="301" t="s">
        <v>11772</v>
      </c>
      <c r="G1284" s="335" t="s">
        <v>11773</v>
      </c>
      <c r="H1284" s="405" t="s">
        <v>184</v>
      </c>
      <c r="I1284" s="180"/>
      <c r="J1284" s="180"/>
    </row>
    <row r="1285" spans="1:10" ht="120" customHeight="1">
      <c r="A1285" s="371"/>
      <c r="B1285" s="190" t="s">
        <v>4107</v>
      </c>
      <c r="C1285" s="172" t="s">
        <v>4115</v>
      </c>
      <c r="D1285" s="172" t="s">
        <v>4113</v>
      </c>
      <c r="E1285" s="172" t="s">
        <v>23</v>
      </c>
      <c r="F1285" s="172" t="s">
        <v>4116</v>
      </c>
      <c r="G1285" s="189" t="s">
        <v>4117</v>
      </c>
      <c r="H1285" s="174" t="s">
        <v>41</v>
      </c>
      <c r="I1285" s="180"/>
      <c r="J1285" s="186"/>
    </row>
    <row r="1286" spans="1:10" ht="120" customHeight="1">
      <c r="A1286" s="371"/>
      <c r="B1286" s="190" t="s">
        <v>4108</v>
      </c>
      <c r="C1286" s="172" t="s">
        <v>4118</v>
      </c>
      <c r="D1286" s="172" t="s">
        <v>4113</v>
      </c>
      <c r="E1286" s="172" t="s">
        <v>23</v>
      </c>
      <c r="F1286" s="172" t="s">
        <v>4119</v>
      </c>
      <c r="G1286" s="189" t="s">
        <v>4120</v>
      </c>
      <c r="H1286" s="174" t="s">
        <v>41</v>
      </c>
      <c r="I1286" s="180"/>
      <c r="J1286" s="186"/>
    </row>
    <row r="1287" spans="1:10" ht="120" customHeight="1">
      <c r="A1287" s="371"/>
      <c r="B1287" s="190" t="s">
        <v>4108</v>
      </c>
      <c r="C1287" s="172" t="s">
        <v>4121</v>
      </c>
      <c r="D1287" s="172" t="s">
        <v>4113</v>
      </c>
      <c r="E1287" s="172" t="s">
        <v>23</v>
      </c>
      <c r="F1287" s="172" t="s">
        <v>4122</v>
      </c>
      <c r="G1287" s="189" t="s">
        <v>4123</v>
      </c>
      <c r="H1287" s="174" t="s">
        <v>41</v>
      </c>
      <c r="I1287" s="180"/>
      <c r="J1287" s="186"/>
    </row>
    <row r="1288" spans="1:10" ht="120" customHeight="1">
      <c r="A1288" s="371"/>
      <c r="B1288" s="190" t="s">
        <v>4108</v>
      </c>
      <c r="C1288" s="172" t="s">
        <v>11774</v>
      </c>
      <c r="D1288" s="172" t="s">
        <v>4124</v>
      </c>
      <c r="E1288" s="172" t="s">
        <v>4125</v>
      </c>
      <c r="F1288" s="172" t="s">
        <v>11775</v>
      </c>
      <c r="G1288" s="189" t="s">
        <v>4112</v>
      </c>
      <c r="H1288" s="174" t="s">
        <v>41</v>
      </c>
      <c r="I1288" s="180"/>
      <c r="J1288" s="180"/>
    </row>
    <row r="1289" spans="1:10" ht="120" customHeight="1">
      <c r="A1289" s="371"/>
      <c r="B1289" s="190" t="s">
        <v>4108</v>
      </c>
      <c r="C1289" s="172" t="s">
        <v>4126</v>
      </c>
      <c r="D1289" s="172" t="s">
        <v>11776</v>
      </c>
      <c r="E1289" s="172" t="s">
        <v>23</v>
      </c>
      <c r="F1289" s="172" t="s">
        <v>11777</v>
      </c>
      <c r="G1289" s="189" t="s">
        <v>11778</v>
      </c>
      <c r="H1289" s="174" t="s">
        <v>233</v>
      </c>
      <c r="I1289" s="180"/>
      <c r="J1289" s="186"/>
    </row>
    <row r="1290" spans="1:10" ht="120" customHeight="1">
      <c r="A1290" s="371"/>
      <c r="B1290" s="190" t="s">
        <v>4108</v>
      </c>
      <c r="C1290" s="172" t="s">
        <v>4130</v>
      </c>
      <c r="D1290" s="172" t="s">
        <v>4127</v>
      </c>
      <c r="E1290" s="172" t="s">
        <v>23</v>
      </c>
      <c r="F1290" s="172" t="s">
        <v>4131</v>
      </c>
      <c r="G1290" s="189" t="s">
        <v>4132</v>
      </c>
      <c r="H1290" s="174" t="s">
        <v>41</v>
      </c>
      <c r="I1290" s="180"/>
      <c r="J1290" s="186"/>
    </row>
    <row r="1291" spans="1:10" ht="120" customHeight="1">
      <c r="A1291" s="371"/>
      <c r="B1291" s="190" t="s">
        <v>4108</v>
      </c>
      <c r="C1291" s="172" t="s">
        <v>4133</v>
      </c>
      <c r="D1291" s="172" t="s">
        <v>4127</v>
      </c>
      <c r="E1291" s="172" t="s">
        <v>23</v>
      </c>
      <c r="F1291" s="172" t="s">
        <v>4134</v>
      </c>
      <c r="G1291" s="189" t="s">
        <v>4135</v>
      </c>
      <c r="H1291" s="174" t="s">
        <v>41</v>
      </c>
      <c r="I1291" s="180"/>
      <c r="J1291" s="180"/>
    </row>
    <row r="1292" spans="1:10" ht="120" customHeight="1">
      <c r="A1292" s="371"/>
      <c r="B1292" s="190" t="s">
        <v>4108</v>
      </c>
      <c r="C1292" s="172" t="s">
        <v>4136</v>
      </c>
      <c r="D1292" s="172" t="s">
        <v>11779</v>
      </c>
      <c r="E1292" s="172" t="s">
        <v>2886</v>
      </c>
      <c r="F1292" s="172" t="s">
        <v>11780</v>
      </c>
      <c r="G1292" s="189" t="s">
        <v>4139</v>
      </c>
      <c r="H1292" s="174" t="s">
        <v>24</v>
      </c>
      <c r="I1292" s="180"/>
      <c r="J1292" s="180"/>
    </row>
    <row r="1293" spans="1:10" ht="120" customHeight="1">
      <c r="A1293" s="371"/>
      <c r="B1293" s="190" t="s">
        <v>4108</v>
      </c>
      <c r="C1293" s="172" t="s">
        <v>4140</v>
      </c>
      <c r="D1293" s="172" t="s">
        <v>4141</v>
      </c>
      <c r="E1293" s="172" t="s">
        <v>4142</v>
      </c>
      <c r="F1293" s="172" t="s">
        <v>4143</v>
      </c>
      <c r="G1293" s="189" t="s">
        <v>4144</v>
      </c>
      <c r="H1293" s="174" t="s">
        <v>24</v>
      </c>
      <c r="I1293" s="180"/>
      <c r="J1293" s="180"/>
    </row>
    <row r="1294" spans="1:10" ht="120" customHeight="1">
      <c r="A1294" s="371"/>
      <c r="B1294" s="190" t="s">
        <v>4108</v>
      </c>
      <c r="C1294" s="172" t="s">
        <v>4145</v>
      </c>
      <c r="D1294" s="172" t="s">
        <v>4146</v>
      </c>
      <c r="E1294" s="172" t="s">
        <v>4147</v>
      </c>
      <c r="F1294" s="172" t="s">
        <v>4148</v>
      </c>
      <c r="G1294" s="189" t="s">
        <v>4149</v>
      </c>
      <c r="H1294" s="174" t="s">
        <v>30</v>
      </c>
      <c r="I1294" s="180"/>
      <c r="J1294" s="180"/>
    </row>
    <row r="1295" spans="1:10" ht="120" customHeight="1">
      <c r="A1295" s="371"/>
      <c r="B1295" s="190" t="s">
        <v>4108</v>
      </c>
      <c r="C1295" s="172" t="s">
        <v>4150</v>
      </c>
      <c r="D1295" s="172" t="s">
        <v>4151</v>
      </c>
      <c r="E1295" s="172" t="s">
        <v>4152</v>
      </c>
      <c r="F1295" s="172" t="s">
        <v>4153</v>
      </c>
      <c r="G1295" s="189" t="s">
        <v>4154</v>
      </c>
      <c r="H1295" s="174" t="s">
        <v>24</v>
      </c>
      <c r="I1295" s="180"/>
      <c r="J1295" s="180"/>
    </row>
    <row r="1296" spans="1:10" ht="120" customHeight="1">
      <c r="A1296" s="371"/>
      <c r="B1296" s="190" t="s">
        <v>4108</v>
      </c>
      <c r="C1296" s="172" t="s">
        <v>4155</v>
      </c>
      <c r="D1296" s="172" t="s">
        <v>4156</v>
      </c>
      <c r="E1296" s="172" t="s">
        <v>4157</v>
      </c>
      <c r="F1296" s="172" t="s">
        <v>4158</v>
      </c>
      <c r="G1296" s="189" t="s">
        <v>4159</v>
      </c>
      <c r="H1296" s="174" t="s">
        <v>36</v>
      </c>
      <c r="I1296" s="180"/>
      <c r="J1296" s="180"/>
    </row>
    <row r="1297" spans="1:10" ht="120" customHeight="1">
      <c r="A1297" s="371"/>
      <c r="B1297" s="190" t="s">
        <v>4108</v>
      </c>
      <c r="C1297" s="172" t="s">
        <v>4160</v>
      </c>
      <c r="D1297" s="172" t="s">
        <v>4161</v>
      </c>
      <c r="E1297" s="172" t="s">
        <v>4162</v>
      </c>
      <c r="F1297" s="172" t="s">
        <v>4163</v>
      </c>
      <c r="G1297" s="189" t="s">
        <v>4164</v>
      </c>
      <c r="H1297" s="174" t="s">
        <v>36</v>
      </c>
      <c r="I1297" s="180"/>
      <c r="J1297" s="180"/>
    </row>
    <row r="1298" spans="1:10" ht="120" customHeight="1">
      <c r="A1298" s="371"/>
      <c r="B1298" s="190" t="s">
        <v>4108</v>
      </c>
      <c r="C1298" s="172" t="s">
        <v>4165</v>
      </c>
      <c r="D1298" s="172" t="s">
        <v>4166</v>
      </c>
      <c r="E1298" s="172" t="s">
        <v>4167</v>
      </c>
      <c r="F1298" s="172" t="s">
        <v>4168</v>
      </c>
      <c r="G1298" s="189" t="s">
        <v>4169</v>
      </c>
      <c r="H1298" s="174" t="s">
        <v>24</v>
      </c>
      <c r="I1298" s="180"/>
      <c r="J1298" s="180"/>
    </row>
    <row r="1299" spans="1:10" ht="120" customHeight="1">
      <c r="A1299" s="371"/>
      <c r="B1299" s="190" t="s">
        <v>4108</v>
      </c>
      <c r="C1299" s="172" t="s">
        <v>4170</v>
      </c>
      <c r="D1299" s="172" t="s">
        <v>4171</v>
      </c>
      <c r="E1299" s="172" t="s">
        <v>2928</v>
      </c>
      <c r="F1299" s="172" t="s">
        <v>4172</v>
      </c>
      <c r="G1299" s="189" t="s">
        <v>4173</v>
      </c>
      <c r="H1299" s="174" t="s">
        <v>41</v>
      </c>
      <c r="I1299" s="180"/>
      <c r="J1299" s="180"/>
    </row>
    <row r="1300" spans="1:10" ht="120" customHeight="1">
      <c r="A1300" s="371"/>
      <c r="B1300" s="190" t="s">
        <v>4108</v>
      </c>
      <c r="C1300" s="172" t="s">
        <v>4174</v>
      </c>
      <c r="D1300" s="172" t="s">
        <v>4175</v>
      </c>
      <c r="E1300" s="172" t="s">
        <v>2935</v>
      </c>
      <c r="F1300" s="172" t="s">
        <v>4176</v>
      </c>
      <c r="G1300" s="189" t="s">
        <v>4177</v>
      </c>
      <c r="H1300" s="174" t="s">
        <v>24</v>
      </c>
      <c r="I1300" s="180"/>
      <c r="J1300" s="180"/>
    </row>
    <row r="1301" spans="1:10" ht="120" customHeight="1">
      <c r="A1301" s="371"/>
      <c r="B1301" s="190" t="s">
        <v>4108</v>
      </c>
      <c r="C1301" s="172" t="s">
        <v>4178</v>
      </c>
      <c r="D1301" s="172" t="s">
        <v>4179</v>
      </c>
      <c r="E1301" s="172" t="s">
        <v>2940</v>
      </c>
      <c r="F1301" s="172" t="s">
        <v>4180</v>
      </c>
      <c r="G1301" s="189" t="s">
        <v>4181</v>
      </c>
      <c r="H1301" s="174" t="s">
        <v>36</v>
      </c>
      <c r="I1301" s="180"/>
      <c r="J1301" s="180"/>
    </row>
    <row r="1302" spans="1:10" ht="120" customHeight="1">
      <c r="A1302" s="371"/>
      <c r="B1302" s="190" t="s">
        <v>4108</v>
      </c>
      <c r="C1302" s="172" t="s">
        <v>4182</v>
      </c>
      <c r="D1302" s="172" t="s">
        <v>4183</v>
      </c>
      <c r="E1302" s="172" t="s">
        <v>4184</v>
      </c>
      <c r="F1302" s="172" t="s">
        <v>4185</v>
      </c>
      <c r="G1302" s="189" t="s">
        <v>4186</v>
      </c>
      <c r="H1302" s="174" t="s">
        <v>62</v>
      </c>
      <c r="I1302" s="180"/>
      <c r="J1302" s="180"/>
    </row>
    <row r="1303" spans="1:10" ht="120" customHeight="1">
      <c r="A1303" s="371"/>
      <c r="B1303" s="190" t="s">
        <v>4108</v>
      </c>
      <c r="C1303" s="172" t="s">
        <v>4187</v>
      </c>
      <c r="D1303" s="172" t="s">
        <v>4188</v>
      </c>
      <c r="E1303" s="172" t="s">
        <v>4189</v>
      </c>
      <c r="F1303" s="172" t="s">
        <v>4190</v>
      </c>
      <c r="G1303" s="189" t="s">
        <v>4191</v>
      </c>
      <c r="H1303" s="174" t="s">
        <v>24</v>
      </c>
      <c r="I1303" s="180"/>
      <c r="J1303" s="180"/>
    </row>
    <row r="1304" spans="1:10" ht="120" customHeight="1">
      <c r="A1304" s="371"/>
      <c r="B1304" s="193" t="s">
        <v>4192</v>
      </c>
      <c r="C1304" s="172" t="s">
        <v>4193</v>
      </c>
      <c r="D1304" s="21" t="s">
        <v>4194</v>
      </c>
      <c r="E1304" s="172" t="s">
        <v>10791</v>
      </c>
      <c r="F1304" s="172" t="s">
        <v>4195</v>
      </c>
      <c r="G1304" s="204" t="s">
        <v>4196</v>
      </c>
      <c r="H1304" s="174" t="s">
        <v>41</v>
      </c>
      <c r="I1304" s="182"/>
      <c r="J1304" s="182"/>
    </row>
    <row r="1305" spans="1:10" ht="120" customHeight="1">
      <c r="A1305" s="371"/>
      <c r="B1305" s="193" t="s">
        <v>4192</v>
      </c>
      <c r="C1305" s="172" t="s">
        <v>4197</v>
      </c>
      <c r="D1305" s="16" t="s">
        <v>12551</v>
      </c>
      <c r="E1305" s="172" t="s">
        <v>23</v>
      </c>
      <c r="F1305" s="172" t="s">
        <v>12552</v>
      </c>
      <c r="G1305" s="204" t="s">
        <v>4199</v>
      </c>
      <c r="H1305" s="174" t="s">
        <v>41</v>
      </c>
      <c r="I1305" s="182"/>
      <c r="J1305" s="182"/>
    </row>
    <row r="1306" spans="1:10" ht="120" customHeight="1">
      <c r="A1306" s="371"/>
      <c r="B1306" s="193" t="s">
        <v>4192</v>
      </c>
      <c r="C1306" s="172" t="s">
        <v>4200</v>
      </c>
      <c r="D1306" s="16" t="s">
        <v>4201</v>
      </c>
      <c r="E1306" s="172" t="s">
        <v>23</v>
      </c>
      <c r="F1306" s="172" t="s">
        <v>4202</v>
      </c>
      <c r="G1306" s="204" t="s">
        <v>4199</v>
      </c>
      <c r="H1306" s="174" t="s">
        <v>41</v>
      </c>
      <c r="I1306" s="182"/>
      <c r="J1306" s="182"/>
    </row>
    <row r="1307" spans="1:10" ht="120" customHeight="1">
      <c r="A1307" s="371"/>
      <c r="B1307" s="193" t="s">
        <v>4192</v>
      </c>
      <c r="C1307" s="172" t="s">
        <v>11781</v>
      </c>
      <c r="D1307" s="16" t="s">
        <v>4203</v>
      </c>
      <c r="E1307" s="172" t="s">
        <v>23</v>
      </c>
      <c r="F1307" s="172" t="s">
        <v>4204</v>
      </c>
      <c r="G1307" s="204" t="s">
        <v>4199</v>
      </c>
      <c r="H1307" s="174" t="s">
        <v>41</v>
      </c>
      <c r="I1307" s="182"/>
      <c r="J1307" s="182"/>
    </row>
    <row r="1308" spans="1:10" ht="120" customHeight="1">
      <c r="A1308" s="371"/>
      <c r="B1308" s="193" t="s">
        <v>4192</v>
      </c>
      <c r="C1308" s="172" t="s">
        <v>4205</v>
      </c>
      <c r="D1308" s="16" t="s">
        <v>4206</v>
      </c>
      <c r="E1308" s="172" t="s">
        <v>23</v>
      </c>
      <c r="F1308" s="172" t="s">
        <v>4207</v>
      </c>
      <c r="G1308" s="204" t="s">
        <v>4199</v>
      </c>
      <c r="H1308" s="174" t="s">
        <v>41</v>
      </c>
      <c r="I1308" s="182"/>
      <c r="J1308" s="182"/>
    </row>
    <row r="1309" spans="1:10" ht="120" customHeight="1">
      <c r="A1309" s="371"/>
      <c r="B1309" s="193" t="s">
        <v>4192</v>
      </c>
      <c r="C1309" s="172" t="s">
        <v>4208</v>
      </c>
      <c r="D1309" s="16" t="s">
        <v>4209</v>
      </c>
      <c r="E1309" s="172" t="s">
        <v>23</v>
      </c>
      <c r="F1309" s="172" t="s">
        <v>4210</v>
      </c>
      <c r="G1309" s="204" t="s">
        <v>4199</v>
      </c>
      <c r="H1309" s="174" t="s">
        <v>41</v>
      </c>
      <c r="I1309" s="182"/>
      <c r="J1309" s="182"/>
    </row>
    <row r="1310" spans="1:10" ht="120" customHeight="1">
      <c r="A1310" s="371"/>
      <c r="B1310" s="193" t="s">
        <v>4192</v>
      </c>
      <c r="C1310" s="172" t="s">
        <v>4211</v>
      </c>
      <c r="D1310" s="16" t="s">
        <v>4212</v>
      </c>
      <c r="E1310" s="172" t="s">
        <v>23</v>
      </c>
      <c r="F1310" s="172" t="s">
        <v>4213</v>
      </c>
      <c r="G1310" s="204" t="s">
        <v>4199</v>
      </c>
      <c r="H1310" s="174" t="s">
        <v>41</v>
      </c>
      <c r="I1310" s="182"/>
      <c r="J1310" s="182"/>
    </row>
    <row r="1311" spans="1:10" ht="120" customHeight="1">
      <c r="A1311" s="371"/>
      <c r="B1311" s="193" t="s">
        <v>4192</v>
      </c>
      <c r="C1311" s="172" t="s">
        <v>4214</v>
      </c>
      <c r="D1311" s="16" t="s">
        <v>4215</v>
      </c>
      <c r="E1311" s="172" t="s">
        <v>23</v>
      </c>
      <c r="F1311" s="172" t="s">
        <v>4216</v>
      </c>
      <c r="G1311" s="204" t="s">
        <v>4199</v>
      </c>
      <c r="H1311" s="174" t="s">
        <v>41</v>
      </c>
      <c r="I1311" s="182"/>
      <c r="J1311" s="182"/>
    </row>
    <row r="1312" spans="1:10" ht="120" customHeight="1">
      <c r="A1312" s="371"/>
      <c r="B1312" s="193" t="s">
        <v>4192</v>
      </c>
      <c r="C1312" s="172" t="s">
        <v>4217</v>
      </c>
      <c r="D1312" s="16" t="s">
        <v>4218</v>
      </c>
      <c r="E1312" s="172" t="s">
        <v>23</v>
      </c>
      <c r="F1312" s="172" t="s">
        <v>4219</v>
      </c>
      <c r="G1312" s="204" t="s">
        <v>4220</v>
      </c>
      <c r="H1312" s="174" t="s">
        <v>41</v>
      </c>
      <c r="I1312" s="182"/>
      <c r="J1312" s="182"/>
    </row>
    <row r="1313" spans="1:10" ht="120" customHeight="1">
      <c r="A1313" s="371"/>
      <c r="B1313" s="193" t="s">
        <v>4192</v>
      </c>
      <c r="C1313" s="172" t="s">
        <v>4221</v>
      </c>
      <c r="D1313" s="16" t="s">
        <v>4222</v>
      </c>
      <c r="E1313" s="172" t="s">
        <v>23</v>
      </c>
      <c r="F1313" s="172" t="s">
        <v>4223</v>
      </c>
      <c r="G1313" s="204" t="s">
        <v>4224</v>
      </c>
      <c r="H1313" s="174" t="s">
        <v>41</v>
      </c>
      <c r="I1313" s="182"/>
      <c r="J1313" s="182"/>
    </row>
    <row r="1314" spans="1:10" ht="120" customHeight="1">
      <c r="A1314" s="371"/>
      <c r="B1314" s="193" t="s">
        <v>4192</v>
      </c>
      <c r="C1314" s="172" t="s">
        <v>4225</v>
      </c>
      <c r="D1314" s="16" t="s">
        <v>4226</v>
      </c>
      <c r="E1314" s="172" t="s">
        <v>23</v>
      </c>
      <c r="F1314" s="172" t="s">
        <v>11782</v>
      </c>
      <c r="G1314" s="204" t="s">
        <v>4227</v>
      </c>
      <c r="H1314" s="174" t="s">
        <v>41</v>
      </c>
      <c r="I1314" s="182"/>
      <c r="J1314" s="182"/>
    </row>
    <row r="1315" spans="1:10" ht="120" customHeight="1">
      <c r="A1315" s="371"/>
      <c r="B1315" s="193" t="s">
        <v>4192</v>
      </c>
      <c r="C1315" s="172" t="s">
        <v>4228</v>
      </c>
      <c r="D1315" s="16" t="s">
        <v>4229</v>
      </c>
      <c r="E1315" s="172" t="s">
        <v>23</v>
      </c>
      <c r="F1315" s="172" t="s">
        <v>4230</v>
      </c>
      <c r="G1315" s="204" t="s">
        <v>4231</v>
      </c>
      <c r="H1315" s="174" t="s">
        <v>41</v>
      </c>
      <c r="I1315" s="182"/>
      <c r="J1315" s="182"/>
    </row>
    <row r="1316" spans="1:10" ht="120" customHeight="1">
      <c r="A1316" s="375" t="s">
        <v>4232</v>
      </c>
      <c r="B1316" s="191" t="s">
        <v>4233</v>
      </c>
      <c r="C1316" s="172" t="s">
        <v>4234</v>
      </c>
      <c r="D1316" s="172" t="s">
        <v>11783</v>
      </c>
      <c r="E1316" s="172" t="s">
        <v>23</v>
      </c>
      <c r="F1316" s="172" t="s">
        <v>4236</v>
      </c>
      <c r="G1316" s="189" t="s">
        <v>4237</v>
      </c>
      <c r="H1316" s="174" t="s">
        <v>233</v>
      </c>
      <c r="I1316" s="180"/>
      <c r="J1316" s="180"/>
    </row>
    <row r="1317" spans="1:10" ht="120" customHeight="1">
      <c r="A1317" s="376"/>
      <c r="B1317" s="191" t="s">
        <v>4233</v>
      </c>
      <c r="C1317" s="172" t="s">
        <v>4238</v>
      </c>
      <c r="D1317" s="172" t="s">
        <v>11784</v>
      </c>
      <c r="E1317" s="172" t="s">
        <v>23</v>
      </c>
      <c r="F1317" s="172" t="s">
        <v>4239</v>
      </c>
      <c r="G1317" s="189" t="s">
        <v>4240</v>
      </c>
      <c r="H1317" s="174" t="s">
        <v>41</v>
      </c>
      <c r="I1317" s="180"/>
      <c r="J1317" s="180"/>
    </row>
    <row r="1318" spans="1:10" ht="120" customHeight="1">
      <c r="A1318" s="377"/>
      <c r="B1318" s="190" t="s">
        <v>4241</v>
      </c>
      <c r="C1318" s="172" t="s">
        <v>4242</v>
      </c>
      <c r="D1318" s="172" t="s">
        <v>4243</v>
      </c>
      <c r="E1318" s="172" t="s">
        <v>23</v>
      </c>
      <c r="F1318" s="172" t="s">
        <v>11785</v>
      </c>
      <c r="G1318" s="189" t="s">
        <v>4244</v>
      </c>
      <c r="H1318" s="174" t="s">
        <v>36</v>
      </c>
      <c r="I1318" s="174"/>
      <c r="J1318" s="174"/>
    </row>
    <row r="1319" spans="1:10" ht="120" customHeight="1">
      <c r="A1319" s="378"/>
      <c r="B1319" s="336" t="s">
        <v>4241</v>
      </c>
      <c r="C1319" s="242" t="s">
        <v>4245</v>
      </c>
      <c r="D1319" s="242" t="s">
        <v>4246</v>
      </c>
      <c r="E1319" s="242" t="s">
        <v>23</v>
      </c>
      <c r="F1319" s="242" t="s">
        <v>4247</v>
      </c>
      <c r="G1319" s="305" t="s">
        <v>4248</v>
      </c>
      <c r="H1319" s="406" t="s">
        <v>86</v>
      </c>
      <c r="I1319" s="174"/>
      <c r="J1319" s="174"/>
    </row>
    <row r="1320" spans="1:10" ht="120" customHeight="1">
      <c r="A1320" s="373"/>
      <c r="B1320" s="190" t="s">
        <v>4241</v>
      </c>
      <c r="C1320" s="210" t="s">
        <v>11786</v>
      </c>
      <c r="D1320" s="172" t="s">
        <v>4249</v>
      </c>
      <c r="E1320" s="172" t="s">
        <v>23</v>
      </c>
      <c r="F1320" s="172" t="s">
        <v>11787</v>
      </c>
      <c r="G1320" s="173" t="s">
        <v>12553</v>
      </c>
      <c r="H1320" s="174" t="s">
        <v>86</v>
      </c>
      <c r="I1320" s="316"/>
      <c r="J1320" s="174"/>
    </row>
    <row r="1321" spans="1:10" ht="120" customHeight="1">
      <c r="A1321" s="369" t="s">
        <v>4250</v>
      </c>
      <c r="B1321" s="327" t="s">
        <v>4251</v>
      </c>
      <c r="C1321" s="301" t="s">
        <v>4252</v>
      </c>
      <c r="D1321" s="301" t="s">
        <v>4253</v>
      </c>
      <c r="E1321" s="301" t="s">
        <v>23</v>
      </c>
      <c r="F1321" s="301" t="s">
        <v>4254</v>
      </c>
      <c r="G1321" s="302" t="s">
        <v>4255</v>
      </c>
      <c r="H1321" s="405" t="s">
        <v>24</v>
      </c>
      <c r="I1321" s="175" t="s">
        <v>31</v>
      </c>
      <c r="J1321" s="174"/>
    </row>
    <row r="1322" spans="1:10" ht="120" customHeight="1">
      <c r="A1322" s="369"/>
      <c r="B1322" s="191" t="s">
        <v>4251</v>
      </c>
      <c r="C1322" s="172" t="s">
        <v>4256</v>
      </c>
      <c r="D1322" s="172" t="s">
        <v>4257</v>
      </c>
      <c r="E1322" s="172" t="s">
        <v>2876</v>
      </c>
      <c r="F1322" s="172" t="s">
        <v>4258</v>
      </c>
      <c r="G1322" s="189" t="s">
        <v>4259</v>
      </c>
      <c r="H1322" s="174" t="s">
        <v>36</v>
      </c>
      <c r="I1322" s="175" t="s">
        <v>31</v>
      </c>
      <c r="J1322" s="174"/>
    </row>
    <row r="1323" spans="1:10" ht="120" customHeight="1">
      <c r="A1323" s="369"/>
      <c r="B1323" s="191" t="s">
        <v>4251</v>
      </c>
      <c r="C1323" s="172" t="s">
        <v>4260</v>
      </c>
      <c r="D1323" s="172" t="s">
        <v>4261</v>
      </c>
      <c r="E1323" s="172" t="s">
        <v>2881</v>
      </c>
      <c r="F1323" s="172" t="s">
        <v>4262</v>
      </c>
      <c r="G1323" s="189" t="s">
        <v>4263</v>
      </c>
      <c r="H1323" s="174" t="s">
        <v>24</v>
      </c>
      <c r="I1323" s="175" t="s">
        <v>31</v>
      </c>
      <c r="J1323" s="174"/>
    </row>
    <row r="1324" spans="1:10" ht="120" customHeight="1">
      <c r="A1324" s="369"/>
      <c r="B1324" s="191" t="s">
        <v>4251</v>
      </c>
      <c r="C1324" s="172" t="s">
        <v>4264</v>
      </c>
      <c r="D1324" s="172" t="s">
        <v>4265</v>
      </c>
      <c r="E1324" s="172" t="s">
        <v>2886</v>
      </c>
      <c r="F1324" s="172" t="s">
        <v>4266</v>
      </c>
      <c r="G1324" s="189" t="s">
        <v>4259</v>
      </c>
      <c r="H1324" s="174" t="s">
        <v>62</v>
      </c>
      <c r="I1324" s="175" t="s">
        <v>31</v>
      </c>
      <c r="J1324" s="174"/>
    </row>
    <row r="1325" spans="1:10" ht="120" customHeight="1">
      <c r="A1325" s="369"/>
      <c r="B1325" s="191" t="s">
        <v>4251</v>
      </c>
      <c r="C1325" s="172" t="s">
        <v>4267</v>
      </c>
      <c r="D1325" s="172" t="s">
        <v>4268</v>
      </c>
      <c r="E1325" s="172" t="s">
        <v>4142</v>
      </c>
      <c r="F1325" s="172" t="s">
        <v>4269</v>
      </c>
      <c r="G1325" s="189" t="s">
        <v>4263</v>
      </c>
      <c r="H1325" s="174" t="s">
        <v>36</v>
      </c>
      <c r="I1325" s="175" t="s">
        <v>31</v>
      </c>
      <c r="J1325" s="174"/>
    </row>
    <row r="1326" spans="1:10" ht="120" customHeight="1">
      <c r="A1326" s="369"/>
      <c r="B1326" s="191" t="s">
        <v>4251</v>
      </c>
      <c r="C1326" s="172" t="s">
        <v>4270</v>
      </c>
      <c r="D1326" s="172" t="s">
        <v>4271</v>
      </c>
      <c r="E1326" s="172" t="s">
        <v>4147</v>
      </c>
      <c r="F1326" s="172" t="s">
        <v>4272</v>
      </c>
      <c r="G1326" s="189" t="s">
        <v>4263</v>
      </c>
      <c r="H1326" s="174" t="s">
        <v>36</v>
      </c>
      <c r="I1326" s="175" t="s">
        <v>31</v>
      </c>
      <c r="J1326" s="174"/>
    </row>
    <row r="1327" spans="1:10" ht="120" customHeight="1">
      <c r="A1327" s="369"/>
      <c r="B1327" s="190" t="s">
        <v>4273</v>
      </c>
      <c r="C1327" s="172" t="s">
        <v>4274</v>
      </c>
      <c r="D1327" s="172" t="s">
        <v>4275</v>
      </c>
      <c r="E1327" s="172" t="s">
        <v>4162</v>
      </c>
      <c r="F1327" s="172" t="s">
        <v>4276</v>
      </c>
      <c r="G1327" s="189" t="s">
        <v>4277</v>
      </c>
      <c r="H1327" s="174" t="s">
        <v>24</v>
      </c>
      <c r="I1327" s="175" t="s">
        <v>31</v>
      </c>
      <c r="J1327" s="174"/>
    </row>
    <row r="1328" spans="1:10" ht="120" customHeight="1">
      <c r="A1328" s="369"/>
      <c r="B1328" s="190" t="s">
        <v>4273</v>
      </c>
      <c r="C1328" s="172" t="s">
        <v>4278</v>
      </c>
      <c r="D1328" s="172" t="s">
        <v>4279</v>
      </c>
      <c r="E1328" s="172" t="s">
        <v>4280</v>
      </c>
      <c r="F1328" s="172" t="s">
        <v>4281</v>
      </c>
      <c r="G1328" s="189" t="s">
        <v>4282</v>
      </c>
      <c r="H1328" s="174" t="s">
        <v>36</v>
      </c>
      <c r="I1328" s="175" t="s">
        <v>31</v>
      </c>
      <c r="J1328" s="174"/>
    </row>
    <row r="1329" spans="1:10" ht="120" customHeight="1">
      <c r="A1329" s="369"/>
      <c r="B1329" s="190" t="s">
        <v>4273</v>
      </c>
      <c r="C1329" s="172" t="s">
        <v>4283</v>
      </c>
      <c r="D1329" s="172" t="s">
        <v>4284</v>
      </c>
      <c r="E1329" s="172" t="s">
        <v>2928</v>
      </c>
      <c r="F1329" s="172" t="s">
        <v>4285</v>
      </c>
      <c r="G1329" s="189" t="s">
        <v>4277</v>
      </c>
      <c r="H1329" s="174" t="s">
        <v>24</v>
      </c>
      <c r="I1329" s="174"/>
      <c r="J1329" s="174"/>
    </row>
    <row r="1330" spans="1:10" ht="120" customHeight="1">
      <c r="A1330" s="369"/>
      <c r="B1330" s="190" t="s">
        <v>4273</v>
      </c>
      <c r="C1330" s="172" t="s">
        <v>4286</v>
      </c>
      <c r="D1330" s="172" t="s">
        <v>4287</v>
      </c>
      <c r="E1330" s="172" t="s">
        <v>2935</v>
      </c>
      <c r="F1330" s="172" t="s">
        <v>4288</v>
      </c>
      <c r="G1330" s="189" t="s">
        <v>4282</v>
      </c>
      <c r="H1330" s="174" t="s">
        <v>36</v>
      </c>
      <c r="I1330" s="174"/>
      <c r="J1330" s="174"/>
    </row>
    <row r="1331" spans="1:10" ht="120" customHeight="1">
      <c r="A1331" s="369"/>
      <c r="B1331" s="190" t="s">
        <v>4273</v>
      </c>
      <c r="C1331" s="172" t="s">
        <v>4289</v>
      </c>
      <c r="D1331" s="172" t="s">
        <v>4290</v>
      </c>
      <c r="E1331" s="172" t="s">
        <v>2940</v>
      </c>
      <c r="F1331" s="172" t="s">
        <v>4291</v>
      </c>
      <c r="G1331" s="189" t="s">
        <v>4277</v>
      </c>
      <c r="H1331" s="174" t="s">
        <v>36</v>
      </c>
      <c r="I1331" s="194" t="s">
        <v>31</v>
      </c>
      <c r="J1331" s="180"/>
    </row>
    <row r="1332" spans="1:10" ht="120" customHeight="1">
      <c r="A1332" s="369"/>
      <c r="B1332" s="190" t="s">
        <v>11788</v>
      </c>
      <c r="C1332" s="172" t="s">
        <v>4292</v>
      </c>
      <c r="D1332" s="172" t="s">
        <v>4293</v>
      </c>
      <c r="E1332" s="172" t="s">
        <v>4184</v>
      </c>
      <c r="F1332" s="172" t="s">
        <v>4294</v>
      </c>
      <c r="G1332" s="189" t="s">
        <v>4295</v>
      </c>
      <c r="H1332" s="174" t="s">
        <v>36</v>
      </c>
      <c r="I1332" s="194" t="s">
        <v>31</v>
      </c>
      <c r="J1332" s="180"/>
    </row>
    <row r="1333" spans="1:10" ht="120" customHeight="1">
      <c r="A1333" s="369"/>
      <c r="B1333" s="190" t="s">
        <v>4296</v>
      </c>
      <c r="C1333" s="172" t="s">
        <v>4297</v>
      </c>
      <c r="D1333" s="172" t="s">
        <v>4298</v>
      </c>
      <c r="E1333" s="172" t="s">
        <v>4299</v>
      </c>
      <c r="F1333" s="172" t="s">
        <v>4300</v>
      </c>
      <c r="G1333" s="189" t="s">
        <v>4301</v>
      </c>
      <c r="H1333" s="174" t="s">
        <v>62</v>
      </c>
      <c r="I1333" s="174"/>
      <c r="J1333" s="174"/>
    </row>
    <row r="1334" spans="1:10" ht="120" customHeight="1">
      <c r="A1334" s="370"/>
      <c r="B1334" s="190" t="s">
        <v>4302</v>
      </c>
      <c r="C1334" s="172" t="s">
        <v>4303</v>
      </c>
      <c r="D1334" s="172" t="s">
        <v>4304</v>
      </c>
      <c r="E1334" s="172" t="s">
        <v>23</v>
      </c>
      <c r="F1334" s="172" t="s">
        <v>4305</v>
      </c>
      <c r="G1334" s="189" t="s">
        <v>4306</v>
      </c>
      <c r="H1334" s="174" t="s">
        <v>62</v>
      </c>
      <c r="I1334" s="194" t="s">
        <v>31</v>
      </c>
      <c r="J1334" s="180"/>
    </row>
    <row r="1335" spans="1:10" ht="120" customHeight="1">
      <c r="A1335" s="368" t="s">
        <v>4307</v>
      </c>
      <c r="B1335" s="195" t="s">
        <v>4308</v>
      </c>
      <c r="C1335" s="172" t="s">
        <v>11789</v>
      </c>
      <c r="D1335" s="172" t="s">
        <v>11790</v>
      </c>
      <c r="E1335" s="172" t="s">
        <v>23</v>
      </c>
      <c r="F1335" s="172" t="s">
        <v>4310</v>
      </c>
      <c r="G1335" s="189" t="s">
        <v>4311</v>
      </c>
      <c r="H1335" s="174" t="s">
        <v>41</v>
      </c>
      <c r="I1335" s="194"/>
      <c r="J1335" s="180"/>
    </row>
    <row r="1336" spans="1:10" ht="120" customHeight="1">
      <c r="A1336" s="369"/>
      <c r="B1336" s="195" t="s">
        <v>4308</v>
      </c>
      <c r="C1336" s="172" t="s">
        <v>4309</v>
      </c>
      <c r="D1336" s="172" t="s">
        <v>4312</v>
      </c>
      <c r="E1336" s="172" t="s">
        <v>23</v>
      </c>
      <c r="F1336" s="172" t="s">
        <v>4313</v>
      </c>
      <c r="G1336" s="189" t="s">
        <v>4311</v>
      </c>
      <c r="H1336" s="174" t="s">
        <v>929</v>
      </c>
      <c r="I1336" s="194"/>
      <c r="J1336" s="180"/>
    </row>
    <row r="1337" spans="1:10" ht="120" customHeight="1">
      <c r="A1337" s="369"/>
      <c r="B1337" s="195" t="s">
        <v>4314</v>
      </c>
      <c r="C1337" s="172" t="s">
        <v>4315</v>
      </c>
      <c r="D1337" s="172" t="s">
        <v>12554</v>
      </c>
      <c r="E1337" s="172" t="s">
        <v>23</v>
      </c>
      <c r="F1337" s="172" t="s">
        <v>4316</v>
      </c>
      <c r="G1337" s="189" t="s">
        <v>4311</v>
      </c>
      <c r="H1337" s="174" t="s">
        <v>41</v>
      </c>
      <c r="I1337" s="194"/>
      <c r="J1337" s="180"/>
    </row>
    <row r="1338" spans="1:10" ht="120" customHeight="1">
      <c r="A1338" s="369"/>
      <c r="B1338" s="195" t="s">
        <v>4314</v>
      </c>
      <c r="C1338" s="172" t="s">
        <v>4317</v>
      </c>
      <c r="D1338" s="172" t="s">
        <v>4318</v>
      </c>
      <c r="E1338" s="172" t="s">
        <v>23</v>
      </c>
      <c r="F1338" s="172" t="s">
        <v>4319</v>
      </c>
      <c r="G1338" s="189" t="s">
        <v>4311</v>
      </c>
      <c r="H1338" s="174" t="s">
        <v>41</v>
      </c>
      <c r="I1338" s="194"/>
      <c r="J1338" s="180"/>
    </row>
    <row r="1339" spans="1:10" ht="120" customHeight="1">
      <c r="A1339" s="369"/>
      <c r="B1339" s="195" t="s">
        <v>4308</v>
      </c>
      <c r="C1339" s="172" t="s">
        <v>4320</v>
      </c>
      <c r="D1339" s="172" t="s">
        <v>4321</v>
      </c>
      <c r="E1339" s="172" t="s">
        <v>23</v>
      </c>
      <c r="F1339" s="172" t="s">
        <v>4322</v>
      </c>
      <c r="G1339" s="189" t="s">
        <v>4311</v>
      </c>
      <c r="H1339" s="174" t="s">
        <v>41</v>
      </c>
      <c r="I1339" s="194"/>
      <c r="J1339" s="180"/>
    </row>
    <row r="1340" spans="1:10" ht="120" customHeight="1">
      <c r="A1340" s="369"/>
      <c r="B1340" s="195" t="s">
        <v>4314</v>
      </c>
      <c r="C1340" s="172" t="s">
        <v>4323</v>
      </c>
      <c r="D1340" s="172" t="s">
        <v>4324</v>
      </c>
      <c r="E1340" s="172" t="s">
        <v>23</v>
      </c>
      <c r="F1340" s="172" t="s">
        <v>4325</v>
      </c>
      <c r="G1340" s="189" t="s">
        <v>4311</v>
      </c>
      <c r="H1340" s="174" t="s">
        <v>41</v>
      </c>
      <c r="I1340" s="194"/>
      <c r="J1340" s="180"/>
    </row>
    <row r="1341" spans="1:10" ht="120" customHeight="1">
      <c r="A1341" s="369"/>
      <c r="B1341" s="195" t="s">
        <v>4326</v>
      </c>
      <c r="C1341" s="172" t="s">
        <v>4327</v>
      </c>
      <c r="D1341" s="172" t="s">
        <v>4328</v>
      </c>
      <c r="E1341" s="172" t="s">
        <v>23</v>
      </c>
      <c r="F1341" s="172" t="s">
        <v>4329</v>
      </c>
      <c r="G1341" s="189" t="s">
        <v>4330</v>
      </c>
      <c r="H1341" s="174" t="s">
        <v>86</v>
      </c>
      <c r="I1341" s="194"/>
      <c r="J1341" s="180"/>
    </row>
    <row r="1342" spans="1:10" ht="120" customHeight="1">
      <c r="A1342" s="370"/>
      <c r="B1342" s="195" t="s">
        <v>4331</v>
      </c>
      <c r="C1342" s="172" t="s">
        <v>4332</v>
      </c>
      <c r="D1342" s="172" t="s">
        <v>4333</v>
      </c>
      <c r="E1342" s="172" t="s">
        <v>23</v>
      </c>
      <c r="F1342" s="172" t="s">
        <v>4334</v>
      </c>
      <c r="G1342" s="189" t="s">
        <v>4335</v>
      </c>
      <c r="H1342" s="174" t="s">
        <v>86</v>
      </c>
      <c r="I1342" s="194"/>
      <c r="J1342" s="180"/>
    </row>
    <row r="1343" spans="1:10" ht="120" customHeight="1">
      <c r="A1343" s="368" t="s">
        <v>11791</v>
      </c>
      <c r="B1343" s="196" t="s">
        <v>4337</v>
      </c>
      <c r="C1343" s="172" t="s">
        <v>4338</v>
      </c>
      <c r="D1343" s="172" t="s">
        <v>4339</v>
      </c>
      <c r="E1343" s="172" t="s">
        <v>23</v>
      </c>
      <c r="F1343" s="172" t="s">
        <v>4340</v>
      </c>
      <c r="G1343" s="189" t="s">
        <v>4341</v>
      </c>
      <c r="H1343" s="174" t="s">
        <v>30</v>
      </c>
      <c r="I1343" s="194"/>
      <c r="J1343" s="180"/>
    </row>
    <row r="1344" spans="1:10" ht="120" customHeight="1">
      <c r="A1344" s="369"/>
      <c r="B1344" s="196" t="s">
        <v>4337</v>
      </c>
      <c r="C1344" s="172" t="s">
        <v>4342</v>
      </c>
      <c r="D1344" s="172" t="s">
        <v>11792</v>
      </c>
      <c r="E1344" s="172" t="s">
        <v>23</v>
      </c>
      <c r="F1344" s="172" t="s">
        <v>11793</v>
      </c>
      <c r="G1344" s="189" t="s">
        <v>4343</v>
      </c>
      <c r="H1344" s="174" t="s">
        <v>184</v>
      </c>
      <c r="I1344" s="194"/>
      <c r="J1344" s="180"/>
    </row>
    <row r="1345" spans="1:10" ht="120" customHeight="1">
      <c r="A1345" s="369"/>
      <c r="B1345" s="196" t="s">
        <v>4337</v>
      </c>
      <c r="C1345" s="172" t="s">
        <v>4344</v>
      </c>
      <c r="D1345" s="172" t="s">
        <v>4345</v>
      </c>
      <c r="E1345" s="172" t="s">
        <v>23</v>
      </c>
      <c r="F1345" s="172" t="s">
        <v>4346</v>
      </c>
      <c r="G1345" s="189" t="s">
        <v>4347</v>
      </c>
      <c r="H1345" s="174" t="s">
        <v>41</v>
      </c>
      <c r="I1345" s="194"/>
      <c r="J1345" s="180"/>
    </row>
    <row r="1346" spans="1:10" ht="120" customHeight="1">
      <c r="A1346" s="369"/>
      <c r="B1346" s="196" t="s">
        <v>4337</v>
      </c>
      <c r="C1346" s="172" t="s">
        <v>4348</v>
      </c>
      <c r="D1346" s="172" t="s">
        <v>4349</v>
      </c>
      <c r="E1346" s="172" t="s">
        <v>23</v>
      </c>
      <c r="F1346" s="172" t="s">
        <v>4350</v>
      </c>
      <c r="G1346" s="189" t="s">
        <v>4351</v>
      </c>
      <c r="H1346" s="174" t="s">
        <v>41</v>
      </c>
      <c r="I1346" s="194"/>
      <c r="J1346" s="180"/>
    </row>
    <row r="1347" spans="1:10" ht="120" customHeight="1">
      <c r="A1347" s="369"/>
      <c r="B1347" s="196" t="s">
        <v>4337</v>
      </c>
      <c r="C1347" s="172" t="s">
        <v>4352</v>
      </c>
      <c r="D1347" s="172" t="s">
        <v>11794</v>
      </c>
      <c r="E1347" s="172" t="s">
        <v>23</v>
      </c>
      <c r="F1347" s="172" t="s">
        <v>4353</v>
      </c>
      <c r="G1347" s="189" t="s">
        <v>4354</v>
      </c>
      <c r="H1347" s="174" t="s">
        <v>24</v>
      </c>
      <c r="I1347" s="194"/>
      <c r="J1347" s="180"/>
    </row>
    <row r="1348" spans="1:10" ht="120" customHeight="1">
      <c r="A1348" s="369"/>
      <c r="B1348" s="196" t="s">
        <v>4337</v>
      </c>
      <c r="C1348" s="172" t="s">
        <v>4355</v>
      </c>
      <c r="D1348" s="172" t="s">
        <v>4356</v>
      </c>
      <c r="E1348" s="172" t="s">
        <v>23</v>
      </c>
      <c r="F1348" s="172" t="s">
        <v>4357</v>
      </c>
      <c r="G1348" s="189" t="s">
        <v>4358</v>
      </c>
      <c r="H1348" s="174" t="s">
        <v>41</v>
      </c>
      <c r="I1348" s="194"/>
      <c r="J1348" s="180"/>
    </row>
    <row r="1349" spans="1:10" ht="120" customHeight="1">
      <c r="A1349" s="369"/>
      <c r="B1349" s="196" t="s">
        <v>4337</v>
      </c>
      <c r="C1349" s="172" t="s">
        <v>4359</v>
      </c>
      <c r="D1349" s="172" t="s">
        <v>4360</v>
      </c>
      <c r="E1349" s="172" t="s">
        <v>23</v>
      </c>
      <c r="F1349" s="172" t="s">
        <v>4361</v>
      </c>
      <c r="G1349" s="189" t="s">
        <v>4362</v>
      </c>
      <c r="H1349" s="174" t="s">
        <v>41</v>
      </c>
      <c r="I1349" s="194"/>
      <c r="J1349" s="180"/>
    </row>
    <row r="1350" spans="1:10" ht="120" customHeight="1">
      <c r="A1350" s="369"/>
      <c r="B1350" s="196" t="s">
        <v>4337</v>
      </c>
      <c r="C1350" s="172" t="s">
        <v>4363</v>
      </c>
      <c r="D1350" s="172" t="s">
        <v>4364</v>
      </c>
      <c r="E1350" s="172" t="s">
        <v>23</v>
      </c>
      <c r="F1350" s="172" t="s">
        <v>4365</v>
      </c>
      <c r="G1350" s="189" t="s">
        <v>4366</v>
      </c>
      <c r="H1350" s="174" t="s">
        <v>41</v>
      </c>
      <c r="I1350" s="194"/>
      <c r="J1350" s="180"/>
    </row>
    <row r="1351" spans="1:10" ht="120" customHeight="1">
      <c r="A1351" s="369"/>
      <c r="B1351" s="196" t="s">
        <v>4337</v>
      </c>
      <c r="C1351" s="172" t="s">
        <v>4367</v>
      </c>
      <c r="D1351" s="172" t="s">
        <v>4368</v>
      </c>
      <c r="E1351" s="172" t="s">
        <v>23</v>
      </c>
      <c r="F1351" s="172" t="s">
        <v>4369</v>
      </c>
      <c r="G1351" s="189" t="s">
        <v>4370</v>
      </c>
      <c r="H1351" s="174" t="s">
        <v>41</v>
      </c>
      <c r="I1351" s="194"/>
      <c r="J1351" s="180"/>
    </row>
    <row r="1352" spans="1:10" ht="120" customHeight="1">
      <c r="A1352" s="369"/>
      <c r="B1352" s="196" t="s">
        <v>4371</v>
      </c>
      <c r="C1352" s="172" t="s">
        <v>4372</v>
      </c>
      <c r="D1352" s="172" t="s">
        <v>4373</v>
      </c>
      <c r="E1352" s="172" t="s">
        <v>4374</v>
      </c>
      <c r="F1352" s="172" t="s">
        <v>4375</v>
      </c>
      <c r="G1352" s="189" t="s">
        <v>4376</v>
      </c>
      <c r="H1352" s="174" t="s">
        <v>24</v>
      </c>
      <c r="I1352" s="194"/>
      <c r="J1352" s="180"/>
    </row>
    <row r="1353" spans="1:10" ht="120" customHeight="1">
      <c r="A1353" s="369"/>
      <c r="B1353" s="196" t="s">
        <v>4377</v>
      </c>
      <c r="C1353" s="172" t="s">
        <v>4378</v>
      </c>
      <c r="D1353" s="172" t="s">
        <v>4379</v>
      </c>
      <c r="E1353" s="172" t="s">
        <v>23</v>
      </c>
      <c r="F1353" s="172" t="s">
        <v>4380</v>
      </c>
      <c r="G1353" s="189" t="s">
        <v>4381</v>
      </c>
      <c r="H1353" s="174" t="s">
        <v>24</v>
      </c>
      <c r="I1353" s="194"/>
      <c r="J1353" s="180"/>
    </row>
    <row r="1354" spans="1:10" ht="120" customHeight="1">
      <c r="A1354" s="369"/>
      <c r="B1354" s="196" t="s">
        <v>4371</v>
      </c>
      <c r="C1354" s="172" t="s">
        <v>4382</v>
      </c>
      <c r="D1354" s="172" t="s">
        <v>4383</v>
      </c>
      <c r="E1354" s="172" t="s">
        <v>23</v>
      </c>
      <c r="F1354" s="172" t="s">
        <v>4384</v>
      </c>
      <c r="G1354" s="189" t="s">
        <v>4385</v>
      </c>
      <c r="H1354" s="174" t="s">
        <v>36</v>
      </c>
      <c r="I1354" s="194"/>
      <c r="J1354" s="180"/>
    </row>
    <row r="1355" spans="1:10" ht="120" customHeight="1">
      <c r="A1355" s="369"/>
      <c r="B1355" s="196" t="s">
        <v>4371</v>
      </c>
      <c r="C1355" s="172" t="s">
        <v>4386</v>
      </c>
      <c r="D1355" s="172" t="s">
        <v>4387</v>
      </c>
      <c r="E1355" s="172" t="s">
        <v>23</v>
      </c>
      <c r="F1355" s="172" t="s">
        <v>4388</v>
      </c>
      <c r="G1355" s="189" t="s">
        <v>4389</v>
      </c>
      <c r="H1355" s="174" t="s">
        <v>36</v>
      </c>
      <c r="I1355" s="194"/>
      <c r="J1355" s="180"/>
    </row>
    <row r="1356" spans="1:10" ht="120" customHeight="1">
      <c r="A1356" s="369"/>
      <c r="B1356" s="196" t="s">
        <v>4371</v>
      </c>
      <c r="C1356" s="172" t="s">
        <v>4390</v>
      </c>
      <c r="D1356" s="172" t="s">
        <v>4391</v>
      </c>
      <c r="E1356" s="172" t="s">
        <v>23</v>
      </c>
      <c r="F1356" s="172" t="s">
        <v>4392</v>
      </c>
      <c r="G1356" s="189" t="s">
        <v>4393</v>
      </c>
      <c r="H1356" s="174" t="s">
        <v>62</v>
      </c>
      <c r="I1356" s="194"/>
      <c r="J1356" s="180"/>
    </row>
    <row r="1357" spans="1:10" ht="120" customHeight="1">
      <c r="A1357" s="369"/>
      <c r="B1357" s="196" t="s">
        <v>4371</v>
      </c>
      <c r="C1357" s="172" t="s">
        <v>4394</v>
      </c>
      <c r="D1357" s="172" t="s">
        <v>11795</v>
      </c>
      <c r="E1357" s="172" t="s">
        <v>23</v>
      </c>
      <c r="F1357" s="172" t="s">
        <v>4395</v>
      </c>
      <c r="G1357" s="189" t="s">
        <v>4396</v>
      </c>
      <c r="H1357" s="174" t="s">
        <v>62</v>
      </c>
      <c r="I1357" s="194"/>
      <c r="J1357" s="180"/>
    </row>
    <row r="1358" spans="1:10" ht="120" customHeight="1">
      <c r="A1358" s="369"/>
      <c r="B1358" s="196" t="s">
        <v>4371</v>
      </c>
      <c r="C1358" s="172" t="s">
        <v>4397</v>
      </c>
      <c r="D1358" s="172" t="s">
        <v>4398</v>
      </c>
      <c r="E1358" s="172" t="s">
        <v>23</v>
      </c>
      <c r="F1358" s="172" t="s">
        <v>4399</v>
      </c>
      <c r="G1358" s="189" t="s">
        <v>4400</v>
      </c>
      <c r="H1358" s="174" t="s">
        <v>184</v>
      </c>
      <c r="I1358" s="194"/>
      <c r="J1358" s="180"/>
    </row>
    <row r="1359" spans="1:10" ht="120" customHeight="1">
      <c r="A1359" s="369"/>
      <c r="B1359" s="196" t="s">
        <v>4371</v>
      </c>
      <c r="C1359" s="172" t="s">
        <v>4401</v>
      </c>
      <c r="D1359" s="172" t="s">
        <v>4402</v>
      </c>
      <c r="E1359" s="172" t="s">
        <v>23</v>
      </c>
      <c r="F1359" s="172" t="s">
        <v>11796</v>
      </c>
      <c r="G1359" s="189" t="s">
        <v>4403</v>
      </c>
      <c r="H1359" s="174" t="s">
        <v>41</v>
      </c>
      <c r="I1359" s="194"/>
      <c r="J1359" s="180"/>
    </row>
    <row r="1360" spans="1:10" ht="120" customHeight="1">
      <c r="A1360" s="369"/>
      <c r="B1360" s="196" t="s">
        <v>4371</v>
      </c>
      <c r="C1360" s="172" t="s">
        <v>4404</v>
      </c>
      <c r="D1360" s="172" t="s">
        <v>4405</v>
      </c>
      <c r="E1360" s="172" t="s">
        <v>4406</v>
      </c>
      <c r="F1360" s="172" t="s">
        <v>4407</v>
      </c>
      <c r="G1360" s="189" t="s">
        <v>4408</v>
      </c>
      <c r="H1360" s="174" t="s">
        <v>24</v>
      </c>
      <c r="I1360" s="194"/>
      <c r="J1360" s="180"/>
    </row>
    <row r="1361" spans="1:10" ht="120" customHeight="1">
      <c r="A1361" s="369"/>
      <c r="B1361" s="196" t="s">
        <v>4371</v>
      </c>
      <c r="C1361" s="172" t="s">
        <v>4409</v>
      </c>
      <c r="D1361" s="172" t="s">
        <v>4410</v>
      </c>
      <c r="E1361" s="172" t="s">
        <v>23</v>
      </c>
      <c r="F1361" s="172" t="s">
        <v>4411</v>
      </c>
      <c r="G1361" s="189" t="s">
        <v>4412</v>
      </c>
      <c r="H1361" s="174" t="s">
        <v>36</v>
      </c>
      <c r="I1361" s="194"/>
      <c r="J1361" s="180"/>
    </row>
    <row r="1362" spans="1:10" ht="120" customHeight="1">
      <c r="A1362" s="369"/>
      <c r="B1362" s="196" t="s">
        <v>4371</v>
      </c>
      <c r="C1362" s="172" t="s">
        <v>4413</v>
      </c>
      <c r="D1362" s="172" t="s">
        <v>12555</v>
      </c>
      <c r="E1362" s="172" t="s">
        <v>23</v>
      </c>
      <c r="F1362" s="172" t="s">
        <v>4414</v>
      </c>
      <c r="G1362" s="189" t="s">
        <v>12556</v>
      </c>
      <c r="H1362" s="174" t="s">
        <v>36</v>
      </c>
      <c r="I1362" s="194"/>
      <c r="J1362" s="180"/>
    </row>
    <row r="1363" spans="1:10" ht="120" customHeight="1">
      <c r="A1363" s="369"/>
      <c r="B1363" s="196" t="s">
        <v>4415</v>
      </c>
      <c r="C1363" s="172" t="s">
        <v>4416</v>
      </c>
      <c r="D1363" s="172" t="s">
        <v>4417</v>
      </c>
      <c r="E1363" s="172" t="s">
        <v>23</v>
      </c>
      <c r="F1363" s="172" t="s">
        <v>4418</v>
      </c>
      <c r="G1363" s="189" t="s">
        <v>4419</v>
      </c>
      <c r="H1363" s="174" t="s">
        <v>24</v>
      </c>
      <c r="I1363" s="194"/>
      <c r="J1363" s="180"/>
    </row>
    <row r="1364" spans="1:10" ht="120" customHeight="1">
      <c r="A1364" s="369"/>
      <c r="B1364" s="196" t="s">
        <v>4420</v>
      </c>
      <c r="C1364" s="172" t="s">
        <v>4421</v>
      </c>
      <c r="D1364" s="172" t="s">
        <v>4422</v>
      </c>
      <c r="E1364" s="172" t="s">
        <v>23</v>
      </c>
      <c r="F1364" s="172" t="s">
        <v>4423</v>
      </c>
      <c r="G1364" s="189" t="s">
        <v>4424</v>
      </c>
      <c r="H1364" s="174" t="s">
        <v>24</v>
      </c>
      <c r="I1364" s="194"/>
      <c r="J1364" s="180"/>
    </row>
    <row r="1365" spans="1:10" ht="120" customHeight="1">
      <c r="A1365" s="369"/>
      <c r="B1365" s="196" t="s">
        <v>4420</v>
      </c>
      <c r="C1365" s="172" t="s">
        <v>4425</v>
      </c>
      <c r="D1365" s="172" t="s">
        <v>4426</v>
      </c>
      <c r="E1365" s="172" t="s">
        <v>23</v>
      </c>
      <c r="F1365" s="172" t="s">
        <v>11797</v>
      </c>
      <c r="G1365" s="189" t="s">
        <v>11798</v>
      </c>
      <c r="H1365" s="174" t="s">
        <v>24</v>
      </c>
      <c r="I1365" s="194"/>
      <c r="J1365" s="180"/>
    </row>
    <row r="1366" spans="1:10" ht="120" customHeight="1">
      <c r="A1366" s="369"/>
      <c r="B1366" s="196" t="s">
        <v>4420</v>
      </c>
      <c r="C1366" s="172" t="s">
        <v>4427</v>
      </c>
      <c r="D1366" s="172" t="s">
        <v>4428</v>
      </c>
      <c r="E1366" s="172" t="s">
        <v>23</v>
      </c>
      <c r="F1366" s="172" t="s">
        <v>4429</v>
      </c>
      <c r="G1366" s="189" t="s">
        <v>4430</v>
      </c>
      <c r="H1366" s="174" t="s">
        <v>24</v>
      </c>
      <c r="I1366" s="194"/>
      <c r="J1366" s="180"/>
    </row>
    <row r="1367" spans="1:10" ht="120" customHeight="1">
      <c r="A1367" s="369"/>
      <c r="B1367" s="196" t="s">
        <v>4420</v>
      </c>
      <c r="C1367" s="172" t="s">
        <v>4431</v>
      </c>
      <c r="D1367" s="172" t="s">
        <v>4432</v>
      </c>
      <c r="E1367" s="172" t="s">
        <v>23</v>
      </c>
      <c r="F1367" s="172" t="s">
        <v>4433</v>
      </c>
      <c r="G1367" s="189" t="s">
        <v>4434</v>
      </c>
      <c r="H1367" s="174" t="s">
        <v>36</v>
      </c>
      <c r="I1367" s="194"/>
      <c r="J1367" s="180"/>
    </row>
    <row r="1368" spans="1:10" ht="120" customHeight="1">
      <c r="A1368" s="369"/>
      <c r="B1368" s="196" t="s">
        <v>4420</v>
      </c>
      <c r="C1368" s="172" t="s">
        <v>4435</v>
      </c>
      <c r="D1368" s="172" t="s">
        <v>4436</v>
      </c>
      <c r="E1368" s="172" t="s">
        <v>23</v>
      </c>
      <c r="F1368" s="172" t="s">
        <v>4437</v>
      </c>
      <c r="G1368" s="189" t="s">
        <v>4438</v>
      </c>
      <c r="H1368" s="174" t="s">
        <v>36</v>
      </c>
      <c r="I1368" s="194"/>
      <c r="J1368" s="180"/>
    </row>
    <row r="1369" spans="1:10" ht="120" customHeight="1">
      <c r="A1369" s="369"/>
      <c r="B1369" s="196" t="s">
        <v>4420</v>
      </c>
      <c r="C1369" s="172" t="s">
        <v>4439</v>
      </c>
      <c r="D1369" s="172" t="s">
        <v>4440</v>
      </c>
      <c r="E1369" s="172" t="s">
        <v>23</v>
      </c>
      <c r="F1369" s="172" t="s">
        <v>4441</v>
      </c>
      <c r="G1369" s="189" t="s">
        <v>4442</v>
      </c>
      <c r="H1369" s="174" t="s">
        <v>36</v>
      </c>
      <c r="I1369" s="194"/>
      <c r="J1369" s="180"/>
    </row>
    <row r="1370" spans="1:10" ht="120" customHeight="1">
      <c r="A1370" s="369"/>
      <c r="B1370" s="196" t="s">
        <v>4420</v>
      </c>
      <c r="C1370" s="172" t="s">
        <v>4443</v>
      </c>
      <c r="D1370" s="172" t="s">
        <v>4444</v>
      </c>
      <c r="E1370" s="172" t="s">
        <v>4445</v>
      </c>
      <c r="F1370" s="172" t="s">
        <v>4446</v>
      </c>
      <c r="G1370" s="189" t="s">
        <v>4447</v>
      </c>
      <c r="H1370" s="174" t="s">
        <v>36</v>
      </c>
      <c r="I1370" s="194"/>
      <c r="J1370" s="180"/>
    </row>
    <row r="1371" spans="1:10" ht="120" customHeight="1">
      <c r="A1371" s="369"/>
      <c r="B1371" s="196" t="s">
        <v>4420</v>
      </c>
      <c r="C1371" s="172" t="s">
        <v>4448</v>
      </c>
      <c r="D1371" s="172" t="s">
        <v>4449</v>
      </c>
      <c r="E1371" s="172" t="s">
        <v>4445</v>
      </c>
      <c r="F1371" s="172" t="s">
        <v>4450</v>
      </c>
      <c r="G1371" s="189" t="s">
        <v>4451</v>
      </c>
      <c r="H1371" s="174" t="s">
        <v>62</v>
      </c>
      <c r="I1371" s="194"/>
      <c r="J1371" s="180"/>
    </row>
    <row r="1372" spans="1:10" ht="120" customHeight="1">
      <c r="A1372" s="370"/>
      <c r="B1372" s="196" t="s">
        <v>4415</v>
      </c>
      <c r="C1372" s="172" t="s">
        <v>4452</v>
      </c>
      <c r="D1372" s="172" t="s">
        <v>4453</v>
      </c>
      <c r="E1372" s="172" t="s">
        <v>23</v>
      </c>
      <c r="F1372" s="172" t="s">
        <v>4454</v>
      </c>
      <c r="G1372" s="189" t="s">
        <v>4455</v>
      </c>
      <c r="H1372" s="174" t="s">
        <v>36</v>
      </c>
      <c r="I1372" s="194"/>
      <c r="J1372" s="180"/>
    </row>
    <row r="1373" spans="1:10" ht="120" customHeight="1">
      <c r="A1373" s="368" t="s">
        <v>4456</v>
      </c>
      <c r="B1373" s="196" t="s">
        <v>4457</v>
      </c>
      <c r="C1373" s="172" t="s">
        <v>4458</v>
      </c>
      <c r="D1373" s="172" t="s">
        <v>4459</v>
      </c>
      <c r="E1373" s="172" t="s">
        <v>23</v>
      </c>
      <c r="F1373" s="172" t="s">
        <v>4460</v>
      </c>
      <c r="G1373" s="189" t="s">
        <v>11799</v>
      </c>
      <c r="H1373" s="174" t="s">
        <v>233</v>
      </c>
      <c r="I1373" s="194"/>
      <c r="J1373" s="180"/>
    </row>
    <row r="1374" spans="1:10" ht="120" customHeight="1">
      <c r="A1374" s="369"/>
      <c r="B1374" s="196" t="s">
        <v>4457</v>
      </c>
      <c r="C1374" s="172" t="s">
        <v>4462</v>
      </c>
      <c r="D1374" s="172" t="s">
        <v>4463</v>
      </c>
      <c r="E1374" s="172" t="s">
        <v>23</v>
      </c>
      <c r="F1374" s="172" t="s">
        <v>4464</v>
      </c>
      <c r="G1374" s="189" t="s">
        <v>11799</v>
      </c>
      <c r="H1374" s="174" t="s">
        <v>2234</v>
      </c>
      <c r="I1374" s="194"/>
      <c r="J1374" s="180"/>
    </row>
    <row r="1375" spans="1:10" ht="120" customHeight="1">
      <c r="A1375" s="369"/>
      <c r="B1375" s="196" t="s">
        <v>4457</v>
      </c>
      <c r="C1375" s="172" t="s">
        <v>4465</v>
      </c>
      <c r="D1375" s="172" t="s">
        <v>4466</v>
      </c>
      <c r="E1375" s="172" t="s">
        <v>23</v>
      </c>
      <c r="F1375" s="172" t="s">
        <v>4467</v>
      </c>
      <c r="G1375" s="189" t="s">
        <v>4468</v>
      </c>
      <c r="H1375" s="174" t="s">
        <v>2209</v>
      </c>
      <c r="I1375" s="194"/>
      <c r="J1375" s="180"/>
    </row>
    <row r="1376" spans="1:10" ht="120" customHeight="1">
      <c r="A1376" s="369"/>
      <c r="B1376" s="196" t="s">
        <v>4457</v>
      </c>
      <c r="C1376" s="172" t="s">
        <v>11800</v>
      </c>
      <c r="D1376" s="172" t="s">
        <v>4469</v>
      </c>
      <c r="E1376" s="172" t="s">
        <v>23</v>
      </c>
      <c r="F1376" s="172" t="s">
        <v>4470</v>
      </c>
      <c r="G1376" s="189" t="s">
        <v>4471</v>
      </c>
      <c r="H1376" s="174" t="s">
        <v>2205</v>
      </c>
      <c r="I1376" s="194"/>
      <c r="J1376" s="180"/>
    </row>
    <row r="1377" spans="1:10" ht="120" customHeight="1">
      <c r="A1377" s="369"/>
      <c r="B1377" s="196" t="s">
        <v>4457</v>
      </c>
      <c r="C1377" s="172" t="s">
        <v>4472</v>
      </c>
      <c r="D1377" s="172" t="s">
        <v>4473</v>
      </c>
      <c r="E1377" s="172" t="s">
        <v>23</v>
      </c>
      <c r="F1377" s="172" t="s">
        <v>4474</v>
      </c>
      <c r="G1377" s="189" t="s">
        <v>11801</v>
      </c>
      <c r="H1377" s="174" t="s">
        <v>2205</v>
      </c>
      <c r="I1377" s="194"/>
      <c r="J1377" s="180"/>
    </row>
    <row r="1378" spans="1:10" ht="120" customHeight="1">
      <c r="A1378" s="369"/>
      <c r="B1378" s="196" t="s">
        <v>4457</v>
      </c>
      <c r="C1378" s="172" t="s">
        <v>4475</v>
      </c>
      <c r="D1378" s="172" t="s">
        <v>4476</v>
      </c>
      <c r="E1378" s="172" t="s">
        <v>23</v>
      </c>
      <c r="F1378" s="172" t="s">
        <v>4477</v>
      </c>
      <c r="G1378" s="189" t="s">
        <v>4478</v>
      </c>
      <c r="H1378" s="174" t="s">
        <v>4479</v>
      </c>
      <c r="I1378" s="194"/>
      <c r="J1378" s="180"/>
    </row>
    <row r="1379" spans="1:10" ht="120" customHeight="1">
      <c r="A1379" s="370"/>
      <c r="B1379" s="196" t="s">
        <v>4457</v>
      </c>
      <c r="C1379" s="172" t="s">
        <v>4480</v>
      </c>
      <c r="D1379" s="172" t="s">
        <v>11802</v>
      </c>
      <c r="E1379" s="172" t="s">
        <v>23</v>
      </c>
      <c r="F1379" s="172" t="s">
        <v>11803</v>
      </c>
      <c r="G1379" s="189" t="s">
        <v>4481</v>
      </c>
      <c r="H1379" s="174" t="s">
        <v>36</v>
      </c>
      <c r="I1379" s="194"/>
      <c r="J1379" s="180"/>
    </row>
    <row r="1380" spans="1:10" ht="120" customHeight="1">
      <c r="A1380" s="368" t="s">
        <v>4482</v>
      </c>
      <c r="B1380" s="196" t="s">
        <v>4483</v>
      </c>
      <c r="C1380" s="172" t="s">
        <v>4484</v>
      </c>
      <c r="D1380" s="172" t="s">
        <v>4485</v>
      </c>
      <c r="E1380" s="172" t="s">
        <v>4486</v>
      </c>
      <c r="F1380" s="172" t="s">
        <v>4487</v>
      </c>
      <c r="G1380" s="189" t="s">
        <v>4488</v>
      </c>
      <c r="H1380" s="174" t="s">
        <v>233</v>
      </c>
      <c r="I1380" s="194"/>
      <c r="J1380" s="180"/>
    </row>
    <row r="1381" spans="1:10" ht="120" customHeight="1">
      <c r="A1381" s="369"/>
      <c r="B1381" s="196" t="s">
        <v>4483</v>
      </c>
      <c r="C1381" s="172" t="s">
        <v>4489</v>
      </c>
      <c r="D1381" s="172" t="s">
        <v>4490</v>
      </c>
      <c r="E1381" s="172" t="s">
        <v>4491</v>
      </c>
      <c r="F1381" s="172" t="s">
        <v>4492</v>
      </c>
      <c r="G1381" s="189" t="s">
        <v>4488</v>
      </c>
      <c r="H1381" s="174" t="s">
        <v>41</v>
      </c>
      <c r="I1381" s="194"/>
      <c r="J1381" s="180"/>
    </row>
    <row r="1382" spans="1:10" ht="120" customHeight="1">
      <c r="A1382" s="369"/>
      <c r="B1382" s="196" t="s">
        <v>4483</v>
      </c>
      <c r="C1382" s="172" t="s">
        <v>4493</v>
      </c>
      <c r="D1382" s="172" t="s">
        <v>4494</v>
      </c>
      <c r="E1382" s="172" t="s">
        <v>4486</v>
      </c>
      <c r="F1382" s="172" t="s">
        <v>4495</v>
      </c>
      <c r="G1382" s="189" t="s">
        <v>4488</v>
      </c>
      <c r="H1382" s="174" t="s">
        <v>24</v>
      </c>
      <c r="I1382" s="194"/>
      <c r="J1382" s="180"/>
    </row>
    <row r="1383" spans="1:10" ht="120" customHeight="1">
      <c r="A1383" s="369"/>
      <c r="B1383" s="196" t="s">
        <v>4483</v>
      </c>
      <c r="C1383" s="172" t="s">
        <v>4496</v>
      </c>
      <c r="D1383" s="172" t="s">
        <v>4497</v>
      </c>
      <c r="E1383" s="172" t="s">
        <v>4491</v>
      </c>
      <c r="F1383" s="172" t="s">
        <v>4498</v>
      </c>
      <c r="G1383" s="189" t="s">
        <v>4488</v>
      </c>
      <c r="H1383" s="174" t="s">
        <v>24</v>
      </c>
      <c r="I1383" s="194"/>
      <c r="J1383" s="180"/>
    </row>
    <row r="1384" spans="1:10" ht="120" customHeight="1">
      <c r="A1384" s="369"/>
      <c r="B1384" s="196" t="s">
        <v>4499</v>
      </c>
      <c r="C1384" s="172" t="s">
        <v>4500</v>
      </c>
      <c r="D1384" s="172" t="s">
        <v>4501</v>
      </c>
      <c r="E1384" s="172" t="s">
        <v>23</v>
      </c>
      <c r="F1384" s="172" t="s">
        <v>4502</v>
      </c>
      <c r="G1384" s="189" t="s">
        <v>11804</v>
      </c>
      <c r="H1384" s="174" t="s">
        <v>24</v>
      </c>
      <c r="I1384" s="194"/>
      <c r="J1384" s="180"/>
    </row>
    <row r="1385" spans="1:10" ht="120" customHeight="1">
      <c r="A1385" s="369"/>
      <c r="B1385" s="196" t="s">
        <v>4499</v>
      </c>
      <c r="C1385" s="172" t="s">
        <v>4503</v>
      </c>
      <c r="D1385" s="172" t="s">
        <v>4504</v>
      </c>
      <c r="E1385" s="172" t="s">
        <v>23</v>
      </c>
      <c r="F1385" s="172" t="s">
        <v>4505</v>
      </c>
      <c r="G1385" s="189" t="s">
        <v>4506</v>
      </c>
      <c r="H1385" s="174" t="s">
        <v>24</v>
      </c>
      <c r="I1385" s="194"/>
      <c r="J1385" s="180"/>
    </row>
    <row r="1386" spans="1:10" ht="120" customHeight="1">
      <c r="A1386" s="369"/>
      <c r="B1386" s="196" t="s">
        <v>4507</v>
      </c>
      <c r="C1386" s="172" t="s">
        <v>4508</v>
      </c>
      <c r="D1386" s="172" t="s">
        <v>4509</v>
      </c>
      <c r="E1386" s="172" t="s">
        <v>23</v>
      </c>
      <c r="F1386" s="172" t="s">
        <v>11805</v>
      </c>
      <c r="G1386" s="189" t="s">
        <v>4510</v>
      </c>
      <c r="H1386" s="174" t="s">
        <v>24</v>
      </c>
      <c r="I1386" s="194"/>
      <c r="J1386" s="180"/>
    </row>
    <row r="1387" spans="1:10" ht="120" customHeight="1">
      <c r="A1387" s="369"/>
      <c r="B1387" s="196" t="s">
        <v>4507</v>
      </c>
      <c r="C1387" s="172" t="s">
        <v>4511</v>
      </c>
      <c r="D1387" s="172" t="s">
        <v>4512</v>
      </c>
      <c r="E1387" s="172" t="s">
        <v>23</v>
      </c>
      <c r="F1387" s="172" t="s">
        <v>4513</v>
      </c>
      <c r="G1387" s="189" t="s">
        <v>4510</v>
      </c>
      <c r="H1387" s="174" t="s">
        <v>24</v>
      </c>
      <c r="I1387" s="194"/>
      <c r="J1387" s="180"/>
    </row>
    <row r="1388" spans="1:10" ht="120" customHeight="1">
      <c r="A1388" s="369"/>
      <c r="B1388" s="196" t="s">
        <v>4507</v>
      </c>
      <c r="C1388" s="172" t="s">
        <v>4514</v>
      </c>
      <c r="D1388" s="172" t="s">
        <v>4515</v>
      </c>
      <c r="E1388" s="172" t="s">
        <v>23</v>
      </c>
      <c r="F1388" s="172" t="s">
        <v>4516</v>
      </c>
      <c r="G1388" s="189" t="s">
        <v>4517</v>
      </c>
      <c r="H1388" s="174" t="s">
        <v>24</v>
      </c>
      <c r="I1388" s="194"/>
      <c r="J1388" s="180"/>
    </row>
    <row r="1389" spans="1:10" ht="120" customHeight="1">
      <c r="A1389" s="370"/>
      <c r="B1389" s="196" t="s">
        <v>4507</v>
      </c>
      <c r="C1389" s="172" t="s">
        <v>4518</v>
      </c>
      <c r="D1389" s="172" t="s">
        <v>4519</v>
      </c>
      <c r="E1389" s="172" t="s">
        <v>23</v>
      </c>
      <c r="F1389" s="172" t="s">
        <v>4516</v>
      </c>
      <c r="G1389" s="189" t="s">
        <v>4517</v>
      </c>
      <c r="H1389" s="174" t="s">
        <v>24</v>
      </c>
      <c r="I1389" s="194"/>
      <c r="J1389" s="180"/>
    </row>
    <row r="1390" spans="1:10" ht="120" customHeight="1">
      <c r="A1390" s="371" t="s">
        <v>11806</v>
      </c>
      <c r="B1390" s="196" t="s">
        <v>4520</v>
      </c>
      <c r="C1390" s="172" t="s">
        <v>4521</v>
      </c>
      <c r="D1390" s="172" t="s">
        <v>4522</v>
      </c>
      <c r="E1390" s="172" t="s">
        <v>23</v>
      </c>
      <c r="F1390" s="189" t="s">
        <v>11807</v>
      </c>
      <c r="G1390" s="189" t="s">
        <v>4524</v>
      </c>
      <c r="H1390" s="174" t="s">
        <v>30</v>
      </c>
      <c r="I1390" s="197"/>
      <c r="J1390" s="176"/>
    </row>
    <row r="1391" spans="1:10" ht="120" customHeight="1">
      <c r="A1391" s="371"/>
      <c r="B1391" s="196" t="s">
        <v>4520</v>
      </c>
      <c r="C1391" s="172" t="s">
        <v>4525</v>
      </c>
      <c r="D1391" s="172" t="s">
        <v>4526</v>
      </c>
      <c r="E1391" s="172" t="s">
        <v>23</v>
      </c>
      <c r="F1391" s="189" t="s">
        <v>4527</v>
      </c>
      <c r="G1391" s="189" t="s">
        <v>4528</v>
      </c>
      <c r="H1391" s="174" t="s">
        <v>41</v>
      </c>
      <c r="I1391" s="197"/>
      <c r="J1391" s="176"/>
    </row>
    <row r="1392" spans="1:10" ht="120" customHeight="1">
      <c r="A1392" s="371"/>
      <c r="B1392" s="196" t="s">
        <v>4520</v>
      </c>
      <c r="C1392" s="172" t="s">
        <v>4529</v>
      </c>
      <c r="D1392" s="172" t="s">
        <v>4530</v>
      </c>
      <c r="E1392" s="172" t="s">
        <v>23</v>
      </c>
      <c r="F1392" s="189" t="s">
        <v>11808</v>
      </c>
      <c r="G1392" s="189" t="s">
        <v>4531</v>
      </c>
      <c r="H1392" s="174" t="s">
        <v>24</v>
      </c>
      <c r="I1392" s="197"/>
      <c r="J1392" s="176"/>
    </row>
    <row r="1393" spans="1:10" ht="120" customHeight="1">
      <c r="A1393" s="371"/>
      <c r="B1393" s="196" t="s">
        <v>4520</v>
      </c>
      <c r="C1393" s="172" t="s">
        <v>11809</v>
      </c>
      <c r="D1393" s="172" t="s">
        <v>4532</v>
      </c>
      <c r="E1393" s="172" t="s">
        <v>23</v>
      </c>
      <c r="F1393" s="189" t="s">
        <v>11810</v>
      </c>
      <c r="G1393" s="189" t="s">
        <v>11811</v>
      </c>
      <c r="H1393" s="174" t="s">
        <v>24</v>
      </c>
      <c r="I1393" s="197"/>
      <c r="J1393" s="176"/>
    </row>
    <row r="1394" spans="1:10" ht="120" customHeight="1">
      <c r="A1394" s="371"/>
      <c r="B1394" s="196" t="s">
        <v>4533</v>
      </c>
      <c r="C1394" s="172" t="s">
        <v>4534</v>
      </c>
      <c r="D1394" s="172" t="s">
        <v>4535</v>
      </c>
      <c r="E1394" s="172" t="s">
        <v>23</v>
      </c>
      <c r="F1394" s="189" t="s">
        <v>4536</v>
      </c>
      <c r="G1394" s="189" t="s">
        <v>4537</v>
      </c>
      <c r="H1394" s="174" t="s">
        <v>233</v>
      </c>
      <c r="I1394" s="197"/>
      <c r="J1394" s="176"/>
    </row>
    <row r="1395" spans="1:10" ht="120" customHeight="1">
      <c r="A1395" s="371"/>
      <c r="B1395" s="196" t="s">
        <v>4533</v>
      </c>
      <c r="C1395" s="172" t="s">
        <v>4538</v>
      </c>
      <c r="D1395" s="172" t="s">
        <v>4539</v>
      </c>
      <c r="E1395" s="172" t="s">
        <v>23</v>
      </c>
      <c r="F1395" s="189" t="s">
        <v>4540</v>
      </c>
      <c r="G1395" s="189" t="s">
        <v>4537</v>
      </c>
      <c r="H1395" s="174" t="s">
        <v>41</v>
      </c>
      <c r="I1395" s="197"/>
      <c r="J1395" s="176"/>
    </row>
    <row r="1396" spans="1:10" ht="120" customHeight="1">
      <c r="A1396" s="371"/>
      <c r="B1396" s="196" t="s">
        <v>4541</v>
      </c>
      <c r="C1396" s="172" t="s">
        <v>4542</v>
      </c>
      <c r="D1396" s="172" t="s">
        <v>3404</v>
      </c>
      <c r="E1396" s="172" t="s">
        <v>23</v>
      </c>
      <c r="F1396" s="189" t="s">
        <v>4543</v>
      </c>
      <c r="G1396" s="189" t="s">
        <v>4524</v>
      </c>
      <c r="H1396" s="174" t="s">
        <v>24</v>
      </c>
      <c r="I1396" s="197"/>
      <c r="J1396" s="176"/>
    </row>
    <row r="1397" spans="1:10" ht="120" customHeight="1">
      <c r="A1397" s="371"/>
      <c r="B1397" s="196" t="s">
        <v>4541</v>
      </c>
      <c r="C1397" s="172" t="s">
        <v>4544</v>
      </c>
      <c r="D1397" s="172" t="s">
        <v>4545</v>
      </c>
      <c r="E1397" s="172" t="s">
        <v>23</v>
      </c>
      <c r="F1397" s="189" t="s">
        <v>4546</v>
      </c>
      <c r="G1397" s="189" t="s">
        <v>4528</v>
      </c>
      <c r="H1397" s="174" t="s">
        <v>24</v>
      </c>
      <c r="I1397" s="197"/>
      <c r="J1397" s="176"/>
    </row>
    <row r="1398" spans="1:10" ht="120" customHeight="1">
      <c r="A1398" s="371"/>
      <c r="B1398" s="196" t="s">
        <v>4541</v>
      </c>
      <c r="C1398" s="172" t="s">
        <v>4547</v>
      </c>
      <c r="D1398" s="172" t="s">
        <v>4548</v>
      </c>
      <c r="E1398" s="172" t="s">
        <v>23</v>
      </c>
      <c r="F1398" s="189" t="s">
        <v>11812</v>
      </c>
      <c r="G1398" s="189" t="s">
        <v>11813</v>
      </c>
      <c r="H1398" s="174" t="s">
        <v>24</v>
      </c>
      <c r="I1398" s="197"/>
      <c r="J1398" s="176"/>
    </row>
    <row r="1399" spans="1:10" ht="120" customHeight="1">
      <c r="A1399" s="371"/>
      <c r="B1399" s="196" t="s">
        <v>4541</v>
      </c>
      <c r="C1399" s="172" t="s">
        <v>4549</v>
      </c>
      <c r="D1399" s="172" t="s">
        <v>4550</v>
      </c>
      <c r="E1399" s="172" t="s">
        <v>23</v>
      </c>
      <c r="F1399" s="189" t="s">
        <v>11814</v>
      </c>
      <c r="G1399" s="189" t="s">
        <v>11811</v>
      </c>
      <c r="H1399" s="174" t="s">
        <v>24</v>
      </c>
      <c r="I1399" s="197"/>
      <c r="J1399" s="176"/>
    </row>
    <row r="1400" spans="1:10" ht="120" customHeight="1">
      <c r="A1400" s="371"/>
      <c r="B1400" s="196" t="s">
        <v>4551</v>
      </c>
      <c r="C1400" s="172" t="s">
        <v>4552</v>
      </c>
      <c r="D1400" s="172" t="s">
        <v>4553</v>
      </c>
      <c r="E1400" s="172" t="s">
        <v>23</v>
      </c>
      <c r="F1400" s="189" t="s">
        <v>11815</v>
      </c>
      <c r="G1400" s="189" t="s">
        <v>12557</v>
      </c>
      <c r="H1400" s="174" t="s">
        <v>30</v>
      </c>
      <c r="I1400" s="197"/>
      <c r="J1400" s="176"/>
    </row>
    <row r="1401" spans="1:10" ht="120" customHeight="1">
      <c r="A1401" s="371"/>
      <c r="B1401" s="196" t="s">
        <v>4551</v>
      </c>
      <c r="C1401" s="172" t="s">
        <v>4556</v>
      </c>
      <c r="D1401" s="172" t="s">
        <v>4557</v>
      </c>
      <c r="E1401" s="172" t="s">
        <v>23</v>
      </c>
      <c r="F1401" s="189" t="s">
        <v>4558</v>
      </c>
      <c r="G1401" s="189" t="s">
        <v>4559</v>
      </c>
      <c r="H1401" s="174" t="s">
        <v>41</v>
      </c>
      <c r="I1401" s="197"/>
      <c r="J1401" s="176"/>
    </row>
    <row r="1402" spans="1:10" ht="120" customHeight="1">
      <c r="A1402" s="371"/>
      <c r="B1402" s="196" t="s">
        <v>4551</v>
      </c>
      <c r="C1402" s="172" t="s">
        <v>4560</v>
      </c>
      <c r="D1402" s="172" t="s">
        <v>11816</v>
      </c>
      <c r="E1402" s="172" t="s">
        <v>23</v>
      </c>
      <c r="F1402" s="189" t="s">
        <v>11817</v>
      </c>
      <c r="G1402" s="338" t="s">
        <v>11818</v>
      </c>
      <c r="H1402" s="174" t="s">
        <v>24</v>
      </c>
      <c r="I1402" s="197"/>
      <c r="J1402" s="176"/>
    </row>
    <row r="1403" spans="1:10" ht="120" customHeight="1">
      <c r="A1403" s="371"/>
      <c r="B1403" s="196" t="s">
        <v>4561</v>
      </c>
      <c r="C1403" s="172" t="s">
        <v>11819</v>
      </c>
      <c r="D1403" s="172" t="s">
        <v>11820</v>
      </c>
      <c r="E1403" s="172" t="s">
        <v>10791</v>
      </c>
      <c r="F1403" s="189" t="s">
        <v>11821</v>
      </c>
      <c r="G1403" s="189" t="s">
        <v>4562</v>
      </c>
      <c r="H1403" s="174" t="s">
        <v>24</v>
      </c>
      <c r="I1403" s="197"/>
      <c r="J1403" s="176"/>
    </row>
    <row r="1404" spans="1:10" ht="120" customHeight="1">
      <c r="A1404" s="371"/>
      <c r="B1404" s="196" t="s">
        <v>4563</v>
      </c>
      <c r="C1404" s="172" t="s">
        <v>4564</v>
      </c>
      <c r="D1404" s="172" t="s">
        <v>4565</v>
      </c>
      <c r="E1404" s="172" t="s">
        <v>23</v>
      </c>
      <c r="F1404" s="189" t="s">
        <v>4566</v>
      </c>
      <c r="G1404" s="189" t="s">
        <v>4567</v>
      </c>
      <c r="H1404" s="174" t="s">
        <v>24</v>
      </c>
      <c r="I1404" s="197"/>
      <c r="J1404" s="176"/>
    </row>
    <row r="1405" spans="1:10" ht="120" customHeight="1">
      <c r="A1405" s="371" t="s">
        <v>11822</v>
      </c>
      <c r="B1405" s="185" t="s">
        <v>4568</v>
      </c>
      <c r="C1405" s="172" t="s">
        <v>11823</v>
      </c>
      <c r="D1405" s="172" t="s">
        <v>4569</v>
      </c>
      <c r="E1405" s="172" t="s">
        <v>4570</v>
      </c>
      <c r="F1405" s="172" t="s">
        <v>11824</v>
      </c>
      <c r="G1405" s="189" t="s">
        <v>4571</v>
      </c>
      <c r="H1405" s="174" t="s">
        <v>117</v>
      </c>
      <c r="I1405" s="186"/>
      <c r="J1405" s="174"/>
    </row>
    <row r="1406" spans="1:10" ht="120" customHeight="1">
      <c r="A1406" s="371"/>
      <c r="B1406" s="185" t="s">
        <v>4568</v>
      </c>
      <c r="C1406" s="172" t="s">
        <v>4572</v>
      </c>
      <c r="D1406" s="172" t="s">
        <v>4573</v>
      </c>
      <c r="E1406" s="172" t="s">
        <v>4570</v>
      </c>
      <c r="F1406" s="172" t="s">
        <v>4574</v>
      </c>
      <c r="G1406" s="189" t="s">
        <v>4575</v>
      </c>
      <c r="H1406" s="174" t="s">
        <v>117</v>
      </c>
      <c r="I1406" s="186"/>
      <c r="J1406" s="174"/>
    </row>
    <row r="1407" spans="1:10" ht="120" customHeight="1">
      <c r="A1407" s="371"/>
      <c r="B1407" s="185" t="s">
        <v>4568</v>
      </c>
      <c r="C1407" s="172" t="s">
        <v>4576</v>
      </c>
      <c r="D1407" s="172" t="s">
        <v>4577</v>
      </c>
      <c r="E1407" s="172" t="s">
        <v>4570</v>
      </c>
      <c r="F1407" s="172" t="s">
        <v>4578</v>
      </c>
      <c r="G1407" s="189" t="s">
        <v>4579</v>
      </c>
      <c r="H1407" s="174" t="s">
        <v>233</v>
      </c>
      <c r="I1407" s="186"/>
      <c r="J1407" s="174"/>
    </row>
    <row r="1408" spans="1:10" ht="120" customHeight="1">
      <c r="A1408" s="371"/>
      <c r="B1408" s="185" t="s">
        <v>4568</v>
      </c>
      <c r="C1408" s="172" t="s">
        <v>4580</v>
      </c>
      <c r="D1408" s="172" t="s">
        <v>4581</v>
      </c>
      <c r="E1408" s="172" t="s">
        <v>4570</v>
      </c>
      <c r="F1408" s="177" t="s">
        <v>4582</v>
      </c>
      <c r="G1408" s="189" t="s">
        <v>4583</v>
      </c>
      <c r="H1408" s="174" t="s">
        <v>117</v>
      </c>
      <c r="I1408" s="186"/>
      <c r="J1408" s="174"/>
    </row>
    <row r="1409" spans="1:10" ht="120" customHeight="1">
      <c r="A1409" s="371"/>
      <c r="B1409" s="185" t="s">
        <v>4568</v>
      </c>
      <c r="C1409" s="172" t="s">
        <v>4584</v>
      </c>
      <c r="D1409" s="172" t="s">
        <v>4585</v>
      </c>
      <c r="E1409" s="172" t="s">
        <v>4570</v>
      </c>
      <c r="F1409" s="177" t="s">
        <v>4586</v>
      </c>
      <c r="G1409" s="189" t="s">
        <v>4587</v>
      </c>
      <c r="H1409" s="174" t="s">
        <v>117</v>
      </c>
      <c r="I1409" s="186"/>
      <c r="J1409" s="174"/>
    </row>
    <row r="1410" spans="1:10" ht="120" customHeight="1">
      <c r="A1410" s="371"/>
      <c r="B1410" s="198" t="s">
        <v>4588</v>
      </c>
      <c r="C1410" s="172" t="s">
        <v>4589</v>
      </c>
      <c r="D1410" s="172" t="s">
        <v>4590</v>
      </c>
      <c r="E1410" s="172" t="s">
        <v>4570</v>
      </c>
      <c r="F1410" s="177" t="s">
        <v>4591</v>
      </c>
      <c r="G1410" s="189" t="s">
        <v>4592</v>
      </c>
      <c r="H1410" s="174" t="s">
        <v>184</v>
      </c>
      <c r="I1410" s="186"/>
      <c r="J1410" s="174"/>
    </row>
    <row r="1411" spans="1:10" ht="120" customHeight="1">
      <c r="A1411" s="371"/>
      <c r="B1411" s="198" t="s">
        <v>4588</v>
      </c>
      <c r="C1411" s="172" t="s">
        <v>11825</v>
      </c>
      <c r="D1411" s="172" t="s">
        <v>4593</v>
      </c>
      <c r="E1411" s="172" t="s">
        <v>4570</v>
      </c>
      <c r="F1411" s="177" t="s">
        <v>11826</v>
      </c>
      <c r="G1411" s="189" t="s">
        <v>4575</v>
      </c>
      <c r="H1411" s="174" t="s">
        <v>117</v>
      </c>
      <c r="I1411" s="186"/>
      <c r="J1411" s="174"/>
    </row>
    <row r="1412" spans="1:10" ht="120" customHeight="1">
      <c r="A1412" s="371"/>
      <c r="B1412" s="198" t="s">
        <v>4588</v>
      </c>
      <c r="C1412" s="172" t="s">
        <v>4594</v>
      </c>
      <c r="D1412" s="172" t="s">
        <v>4595</v>
      </c>
      <c r="E1412" s="172" t="s">
        <v>4570</v>
      </c>
      <c r="F1412" s="177" t="s">
        <v>11827</v>
      </c>
      <c r="G1412" s="189" t="s">
        <v>4596</v>
      </c>
      <c r="H1412" s="174" t="s">
        <v>117</v>
      </c>
      <c r="I1412" s="186"/>
      <c r="J1412" s="174"/>
    </row>
    <row r="1413" spans="1:10" ht="120" customHeight="1">
      <c r="A1413" s="371"/>
      <c r="B1413" s="198" t="s">
        <v>4588</v>
      </c>
      <c r="C1413" s="172" t="s">
        <v>4597</v>
      </c>
      <c r="D1413" s="172" t="s">
        <v>4598</v>
      </c>
      <c r="E1413" s="172" t="s">
        <v>4570</v>
      </c>
      <c r="F1413" s="177" t="s">
        <v>11828</v>
      </c>
      <c r="G1413" s="189" t="s">
        <v>4592</v>
      </c>
      <c r="H1413" s="174" t="s">
        <v>117</v>
      </c>
      <c r="I1413" s="186"/>
      <c r="J1413" s="174"/>
    </row>
    <row r="1414" spans="1:10" ht="120" customHeight="1">
      <c r="A1414" s="371"/>
      <c r="B1414" s="185" t="s">
        <v>4599</v>
      </c>
      <c r="C1414" s="172" t="s">
        <v>4600</v>
      </c>
      <c r="D1414" s="172" t="s">
        <v>4601</v>
      </c>
      <c r="E1414" s="172" t="s">
        <v>4570</v>
      </c>
      <c r="F1414" s="177" t="s">
        <v>4602</v>
      </c>
      <c r="G1414" s="189" t="s">
        <v>4592</v>
      </c>
      <c r="H1414" s="174" t="s">
        <v>184</v>
      </c>
      <c r="I1414" s="186"/>
      <c r="J1414" s="174"/>
    </row>
    <row r="1415" spans="1:10" ht="120" customHeight="1">
      <c r="A1415" s="371"/>
      <c r="B1415" s="185" t="s">
        <v>4599</v>
      </c>
      <c r="C1415" s="172" t="s">
        <v>11829</v>
      </c>
      <c r="D1415" s="172" t="s">
        <v>4603</v>
      </c>
      <c r="E1415" s="172" t="s">
        <v>4570</v>
      </c>
      <c r="F1415" s="177" t="s">
        <v>11830</v>
      </c>
      <c r="G1415" s="189" t="s">
        <v>4575</v>
      </c>
      <c r="H1415" s="174" t="s">
        <v>184</v>
      </c>
      <c r="I1415" s="186"/>
      <c r="J1415" s="174"/>
    </row>
    <row r="1416" spans="1:10" ht="120" customHeight="1">
      <c r="A1416" s="371"/>
      <c r="B1416" s="198" t="s">
        <v>4604</v>
      </c>
      <c r="C1416" s="172" t="s">
        <v>4605</v>
      </c>
      <c r="D1416" s="172" t="s">
        <v>4606</v>
      </c>
      <c r="E1416" s="172" t="s">
        <v>4570</v>
      </c>
      <c r="F1416" s="177" t="s">
        <v>4607</v>
      </c>
      <c r="G1416" s="189" t="s">
        <v>4592</v>
      </c>
      <c r="H1416" s="174" t="s">
        <v>117</v>
      </c>
      <c r="I1416" s="186"/>
      <c r="J1416" s="174"/>
    </row>
    <row r="1417" spans="1:10" ht="120" customHeight="1">
      <c r="A1417" s="371"/>
      <c r="B1417" s="198" t="s">
        <v>4604</v>
      </c>
      <c r="C1417" s="172" t="s">
        <v>4608</v>
      </c>
      <c r="D1417" s="172" t="s">
        <v>4609</v>
      </c>
      <c r="E1417" s="172" t="s">
        <v>4570</v>
      </c>
      <c r="F1417" s="177" t="s">
        <v>4610</v>
      </c>
      <c r="G1417" s="189" t="s">
        <v>4592</v>
      </c>
      <c r="H1417" s="174" t="s">
        <v>117</v>
      </c>
      <c r="I1417" s="186"/>
      <c r="J1417" s="174"/>
    </row>
    <row r="1418" spans="1:10" ht="120" customHeight="1">
      <c r="A1418" s="371"/>
      <c r="B1418" s="198" t="s">
        <v>4604</v>
      </c>
      <c r="C1418" s="172" t="s">
        <v>4611</v>
      </c>
      <c r="D1418" s="172" t="s">
        <v>4612</v>
      </c>
      <c r="E1418" s="172" t="s">
        <v>4570</v>
      </c>
      <c r="F1418" s="177" t="s">
        <v>4613</v>
      </c>
      <c r="G1418" s="189" t="s">
        <v>4592</v>
      </c>
      <c r="H1418" s="174" t="s">
        <v>117</v>
      </c>
      <c r="I1418" s="186"/>
      <c r="J1418" s="174"/>
    </row>
    <row r="1419" spans="1:10" ht="120" customHeight="1">
      <c r="A1419" s="371"/>
      <c r="B1419" s="185" t="s">
        <v>4614</v>
      </c>
      <c r="C1419" s="172" t="s">
        <v>4615</v>
      </c>
      <c r="D1419" s="172" t="s">
        <v>4616</v>
      </c>
      <c r="E1419" s="172" t="s">
        <v>4570</v>
      </c>
      <c r="F1419" s="177" t="s">
        <v>4617</v>
      </c>
      <c r="G1419" s="189" t="s">
        <v>4618</v>
      </c>
      <c r="H1419" s="174" t="s">
        <v>117</v>
      </c>
      <c r="I1419" s="186"/>
      <c r="J1419" s="174"/>
    </row>
    <row r="1420" spans="1:10" ht="120" customHeight="1">
      <c r="A1420" s="371"/>
      <c r="B1420" s="185" t="s">
        <v>4614</v>
      </c>
      <c r="C1420" s="172" t="s">
        <v>4619</v>
      </c>
      <c r="D1420" s="172" t="s">
        <v>4620</v>
      </c>
      <c r="E1420" s="172" t="s">
        <v>4570</v>
      </c>
      <c r="F1420" s="177" t="s">
        <v>4621</v>
      </c>
      <c r="G1420" s="189" t="s">
        <v>4592</v>
      </c>
      <c r="H1420" s="174" t="s">
        <v>117</v>
      </c>
      <c r="I1420" s="186"/>
      <c r="J1420" s="174"/>
    </row>
    <row r="1421" spans="1:10" ht="120" customHeight="1">
      <c r="A1421" s="371"/>
      <c r="B1421" s="185" t="s">
        <v>4614</v>
      </c>
      <c r="C1421" s="172" t="s">
        <v>4622</v>
      </c>
      <c r="D1421" s="172" t="s">
        <v>4623</v>
      </c>
      <c r="E1421" s="172" t="s">
        <v>4570</v>
      </c>
      <c r="F1421" s="177" t="s">
        <v>4624</v>
      </c>
      <c r="G1421" s="189" t="s">
        <v>4618</v>
      </c>
      <c r="H1421" s="174" t="s">
        <v>117</v>
      </c>
      <c r="I1421" s="186"/>
      <c r="J1421" s="174"/>
    </row>
    <row r="1422" spans="1:10" ht="120" customHeight="1">
      <c r="A1422" s="371"/>
      <c r="B1422" s="185" t="s">
        <v>4614</v>
      </c>
      <c r="C1422" s="172" t="s">
        <v>4625</v>
      </c>
      <c r="D1422" s="172" t="s">
        <v>4626</v>
      </c>
      <c r="E1422" s="172" t="s">
        <v>4570</v>
      </c>
      <c r="F1422" s="177" t="s">
        <v>4627</v>
      </c>
      <c r="G1422" s="189" t="s">
        <v>4592</v>
      </c>
      <c r="H1422" s="174" t="s">
        <v>117</v>
      </c>
      <c r="I1422" s="186"/>
      <c r="J1422" s="174"/>
    </row>
    <row r="1423" spans="1:10" ht="120" customHeight="1">
      <c r="A1423" s="371"/>
      <c r="B1423" s="198" t="s">
        <v>4628</v>
      </c>
      <c r="C1423" s="172" t="s">
        <v>4629</v>
      </c>
      <c r="D1423" s="172" t="s">
        <v>4630</v>
      </c>
      <c r="E1423" s="172" t="s">
        <v>4570</v>
      </c>
      <c r="F1423" s="177" t="s">
        <v>4631</v>
      </c>
      <c r="G1423" s="189" t="s">
        <v>4575</v>
      </c>
      <c r="H1423" s="174" t="s">
        <v>117</v>
      </c>
      <c r="I1423" s="186"/>
      <c r="J1423" s="174"/>
    </row>
    <row r="1424" spans="1:10" ht="120" customHeight="1">
      <c r="A1424" s="371"/>
      <c r="B1424" s="198" t="s">
        <v>4628</v>
      </c>
      <c r="C1424" s="172" t="s">
        <v>4632</v>
      </c>
      <c r="D1424" s="172" t="s">
        <v>4633</v>
      </c>
      <c r="E1424" s="172" t="s">
        <v>4570</v>
      </c>
      <c r="F1424" s="177" t="s">
        <v>4634</v>
      </c>
      <c r="G1424" s="189" t="s">
        <v>4592</v>
      </c>
      <c r="H1424" s="174" t="s">
        <v>117</v>
      </c>
      <c r="I1424" s="186"/>
      <c r="J1424" s="174"/>
    </row>
    <row r="1425" spans="1:10" ht="120" customHeight="1">
      <c r="A1425" s="371"/>
      <c r="B1425" s="198" t="s">
        <v>4628</v>
      </c>
      <c r="C1425" s="172" t="s">
        <v>4635</v>
      </c>
      <c r="D1425" s="172" t="s">
        <v>4636</v>
      </c>
      <c r="E1425" s="172" t="s">
        <v>4570</v>
      </c>
      <c r="F1425" s="177" t="s">
        <v>11831</v>
      </c>
      <c r="G1425" s="189" t="s">
        <v>4592</v>
      </c>
      <c r="H1425" s="174" t="s">
        <v>117</v>
      </c>
      <c r="I1425" s="186"/>
      <c r="J1425" s="174"/>
    </row>
    <row r="1426" spans="1:10" ht="120" customHeight="1">
      <c r="A1426" s="371"/>
      <c r="B1426" s="185" t="s">
        <v>4637</v>
      </c>
      <c r="C1426" s="172" t="s">
        <v>11832</v>
      </c>
      <c r="D1426" s="172" t="s">
        <v>4638</v>
      </c>
      <c r="E1426" s="172" t="s">
        <v>4570</v>
      </c>
      <c r="F1426" s="177" t="s">
        <v>4639</v>
      </c>
      <c r="G1426" s="189" t="s">
        <v>4640</v>
      </c>
      <c r="H1426" s="174" t="s">
        <v>184</v>
      </c>
      <c r="I1426" s="186"/>
      <c r="J1426" s="174"/>
    </row>
    <row r="1427" spans="1:10" ht="120" customHeight="1">
      <c r="A1427" s="371"/>
      <c r="B1427" s="185" t="s">
        <v>4637</v>
      </c>
      <c r="C1427" s="172" t="s">
        <v>4641</v>
      </c>
      <c r="D1427" s="172" t="s">
        <v>4642</v>
      </c>
      <c r="E1427" s="172" t="s">
        <v>4570</v>
      </c>
      <c r="F1427" s="177" t="s">
        <v>4643</v>
      </c>
      <c r="G1427" s="189" t="s">
        <v>4644</v>
      </c>
      <c r="H1427" s="174" t="s">
        <v>184</v>
      </c>
      <c r="I1427" s="186"/>
      <c r="J1427" s="174"/>
    </row>
    <row r="1428" spans="1:10" ht="120" customHeight="1">
      <c r="A1428" s="371"/>
      <c r="B1428" s="185" t="s">
        <v>4637</v>
      </c>
      <c r="C1428" s="172" t="s">
        <v>4645</v>
      </c>
      <c r="D1428" s="172" t="s">
        <v>4646</v>
      </c>
      <c r="E1428" s="172" t="s">
        <v>4570</v>
      </c>
      <c r="F1428" s="177" t="s">
        <v>4647</v>
      </c>
      <c r="G1428" s="189" t="s">
        <v>4648</v>
      </c>
      <c r="H1428" s="174" t="s">
        <v>184</v>
      </c>
      <c r="I1428" s="186"/>
      <c r="J1428" s="174"/>
    </row>
    <row r="1429" spans="1:10" ht="120" customHeight="1">
      <c r="A1429" s="371"/>
      <c r="B1429" s="185" t="s">
        <v>4637</v>
      </c>
      <c r="C1429" s="172" t="s">
        <v>4649</v>
      </c>
      <c r="D1429" s="172" t="s">
        <v>4650</v>
      </c>
      <c r="E1429" s="172" t="s">
        <v>4570</v>
      </c>
      <c r="F1429" s="177" t="s">
        <v>4651</v>
      </c>
      <c r="G1429" s="189" t="s">
        <v>4652</v>
      </c>
      <c r="H1429" s="174" t="s">
        <v>184</v>
      </c>
      <c r="I1429" s="186"/>
      <c r="J1429" s="174"/>
    </row>
    <row r="1430" spans="1:10" ht="120" customHeight="1">
      <c r="A1430" s="371"/>
      <c r="B1430" s="185" t="s">
        <v>4637</v>
      </c>
      <c r="C1430" s="172" t="s">
        <v>4653</v>
      </c>
      <c r="D1430" s="172" t="s">
        <v>4654</v>
      </c>
      <c r="E1430" s="172" t="s">
        <v>4570</v>
      </c>
      <c r="F1430" s="177" t="s">
        <v>4655</v>
      </c>
      <c r="G1430" s="189" t="s">
        <v>4656</v>
      </c>
      <c r="H1430" s="174" t="s">
        <v>184</v>
      </c>
      <c r="I1430" s="186"/>
      <c r="J1430" s="174"/>
    </row>
    <row r="1431" spans="1:10" ht="120" customHeight="1">
      <c r="A1431" s="371"/>
      <c r="B1431" s="185" t="s">
        <v>4637</v>
      </c>
      <c r="C1431" s="172" t="s">
        <v>11833</v>
      </c>
      <c r="D1431" s="172" t="s">
        <v>4657</v>
      </c>
      <c r="E1431" s="172" t="s">
        <v>11834</v>
      </c>
      <c r="F1431" s="177" t="s">
        <v>11835</v>
      </c>
      <c r="G1431" s="189" t="s">
        <v>4658</v>
      </c>
      <c r="H1431" s="174" t="s">
        <v>184</v>
      </c>
      <c r="I1431" s="186"/>
      <c r="J1431" s="174"/>
    </row>
    <row r="1432" spans="1:10" ht="120" customHeight="1">
      <c r="A1432" s="371"/>
      <c r="B1432" s="185" t="s">
        <v>4637</v>
      </c>
      <c r="C1432" s="172" t="s">
        <v>4659</v>
      </c>
      <c r="D1432" s="172" t="s">
        <v>4660</v>
      </c>
      <c r="E1432" s="172" t="s">
        <v>4570</v>
      </c>
      <c r="F1432" s="177" t="s">
        <v>11836</v>
      </c>
      <c r="G1432" s="189" t="s">
        <v>4661</v>
      </c>
      <c r="H1432" s="174" t="s">
        <v>184</v>
      </c>
      <c r="I1432" s="186"/>
      <c r="J1432" s="174"/>
    </row>
    <row r="1433" spans="1:10" ht="120" customHeight="1">
      <c r="A1433" s="371"/>
      <c r="B1433" s="185" t="s">
        <v>4637</v>
      </c>
      <c r="C1433" s="172" t="s">
        <v>4662</v>
      </c>
      <c r="D1433" s="172" t="s">
        <v>4663</v>
      </c>
      <c r="E1433" s="172" t="s">
        <v>4570</v>
      </c>
      <c r="F1433" s="177" t="s">
        <v>11837</v>
      </c>
      <c r="G1433" s="189" t="s">
        <v>4664</v>
      </c>
      <c r="H1433" s="174" t="s">
        <v>184</v>
      </c>
      <c r="I1433" s="186"/>
      <c r="J1433" s="174"/>
    </row>
    <row r="1434" spans="1:10" ht="120" customHeight="1">
      <c r="A1434" s="371"/>
      <c r="B1434" s="185" t="s">
        <v>4637</v>
      </c>
      <c r="C1434" s="172" t="s">
        <v>4665</v>
      </c>
      <c r="D1434" s="172" t="s">
        <v>4666</v>
      </c>
      <c r="E1434" s="172" t="s">
        <v>4570</v>
      </c>
      <c r="F1434" s="177" t="s">
        <v>4667</v>
      </c>
      <c r="G1434" s="189" t="s">
        <v>4668</v>
      </c>
      <c r="H1434" s="174" t="s">
        <v>184</v>
      </c>
      <c r="I1434" s="186"/>
      <c r="J1434" s="174"/>
    </row>
    <row r="1435" spans="1:10" ht="120" customHeight="1">
      <c r="A1435" s="371"/>
      <c r="B1435" s="185" t="s">
        <v>4637</v>
      </c>
      <c r="C1435" s="172" t="s">
        <v>4669</v>
      </c>
      <c r="D1435" s="172" t="s">
        <v>4670</v>
      </c>
      <c r="E1435" s="172" t="s">
        <v>4570</v>
      </c>
      <c r="F1435" s="177" t="s">
        <v>4671</v>
      </c>
      <c r="G1435" s="189" t="s">
        <v>4672</v>
      </c>
      <c r="H1435" s="174" t="s">
        <v>184</v>
      </c>
      <c r="I1435" s="186"/>
      <c r="J1435" s="174"/>
    </row>
    <row r="1436" spans="1:10" ht="120" customHeight="1">
      <c r="A1436" s="371"/>
      <c r="B1436" s="185" t="s">
        <v>4637</v>
      </c>
      <c r="C1436" s="172" t="s">
        <v>4673</v>
      </c>
      <c r="D1436" s="172" t="s">
        <v>4674</v>
      </c>
      <c r="E1436" s="172" t="s">
        <v>4570</v>
      </c>
      <c r="F1436" s="177" t="s">
        <v>4675</v>
      </c>
      <c r="G1436" s="189" t="s">
        <v>4676</v>
      </c>
      <c r="H1436" s="174" t="s">
        <v>184</v>
      </c>
      <c r="I1436" s="186"/>
      <c r="J1436" s="174"/>
    </row>
    <row r="1437" spans="1:10" ht="120" customHeight="1">
      <c r="A1437" s="371"/>
      <c r="B1437" s="185" t="s">
        <v>4637</v>
      </c>
      <c r="C1437" s="172" t="s">
        <v>4677</v>
      </c>
      <c r="D1437" s="172" t="s">
        <v>4678</v>
      </c>
      <c r="E1437" s="172" t="s">
        <v>4570</v>
      </c>
      <c r="F1437" s="177" t="s">
        <v>4679</v>
      </c>
      <c r="G1437" s="189" t="s">
        <v>4680</v>
      </c>
      <c r="H1437" s="174" t="s">
        <v>184</v>
      </c>
      <c r="I1437" s="186"/>
      <c r="J1437" s="174"/>
    </row>
    <row r="1438" spans="1:10" ht="120" customHeight="1">
      <c r="A1438" s="371"/>
      <c r="B1438" s="185" t="s">
        <v>4637</v>
      </c>
      <c r="C1438" s="172" t="s">
        <v>4681</v>
      </c>
      <c r="D1438" s="172" t="s">
        <v>4682</v>
      </c>
      <c r="E1438" s="172" t="s">
        <v>4570</v>
      </c>
      <c r="F1438" s="177" t="s">
        <v>4683</v>
      </c>
      <c r="G1438" s="189" t="s">
        <v>4684</v>
      </c>
      <c r="H1438" s="174" t="s">
        <v>184</v>
      </c>
      <c r="I1438" s="186"/>
      <c r="J1438" s="174"/>
    </row>
    <row r="1439" spans="1:10" ht="120" customHeight="1">
      <c r="A1439" s="371"/>
      <c r="B1439" s="185" t="s">
        <v>4637</v>
      </c>
      <c r="C1439" s="172" t="s">
        <v>4685</v>
      </c>
      <c r="D1439" s="172" t="s">
        <v>4686</v>
      </c>
      <c r="E1439" s="172" t="s">
        <v>4570</v>
      </c>
      <c r="F1439" s="177" t="s">
        <v>11838</v>
      </c>
      <c r="G1439" s="189" t="s">
        <v>4687</v>
      </c>
      <c r="H1439" s="174" t="s">
        <v>184</v>
      </c>
      <c r="I1439" s="186"/>
      <c r="J1439" s="174"/>
    </row>
    <row r="1440" spans="1:10" ht="120" customHeight="1">
      <c r="A1440" s="371"/>
      <c r="B1440" s="185" t="s">
        <v>4688</v>
      </c>
      <c r="C1440" s="172" t="s">
        <v>11839</v>
      </c>
      <c r="D1440" s="172" t="s">
        <v>4689</v>
      </c>
      <c r="E1440" s="172" t="s">
        <v>4570</v>
      </c>
      <c r="F1440" s="177" t="s">
        <v>4690</v>
      </c>
      <c r="G1440" s="189" t="s">
        <v>4691</v>
      </c>
      <c r="H1440" s="174" t="s">
        <v>184</v>
      </c>
      <c r="I1440" s="186"/>
      <c r="J1440" s="174"/>
    </row>
    <row r="1441" spans="1:10" ht="120" customHeight="1">
      <c r="A1441" s="371"/>
      <c r="B1441" s="185" t="s">
        <v>4637</v>
      </c>
      <c r="C1441" s="172" t="s">
        <v>4692</v>
      </c>
      <c r="D1441" s="172" t="s">
        <v>4693</v>
      </c>
      <c r="E1441" s="172" t="s">
        <v>4570</v>
      </c>
      <c r="F1441" s="177" t="s">
        <v>4694</v>
      </c>
      <c r="G1441" s="189" t="s">
        <v>4695</v>
      </c>
      <c r="H1441" s="174" t="s">
        <v>184</v>
      </c>
      <c r="I1441" s="186"/>
      <c r="J1441" s="174"/>
    </row>
    <row r="1442" spans="1:10" ht="120" customHeight="1">
      <c r="A1442" s="371"/>
      <c r="B1442" s="185" t="s">
        <v>4637</v>
      </c>
      <c r="C1442" s="172" t="s">
        <v>4696</v>
      </c>
      <c r="D1442" s="172" t="s">
        <v>4697</v>
      </c>
      <c r="E1442" s="172" t="s">
        <v>4570</v>
      </c>
      <c r="F1442" s="177" t="s">
        <v>4698</v>
      </c>
      <c r="G1442" s="189" t="s">
        <v>4699</v>
      </c>
      <c r="H1442" s="174" t="s">
        <v>184</v>
      </c>
      <c r="I1442" s="186"/>
      <c r="J1442" s="174"/>
    </row>
    <row r="1443" spans="1:10" ht="120" customHeight="1">
      <c r="A1443" s="371"/>
      <c r="B1443" s="198" t="s">
        <v>4700</v>
      </c>
      <c r="C1443" s="172" t="s">
        <v>4701</v>
      </c>
      <c r="D1443" s="172" t="s">
        <v>4702</v>
      </c>
      <c r="E1443" s="172" t="s">
        <v>4570</v>
      </c>
      <c r="F1443" s="177" t="s">
        <v>11840</v>
      </c>
      <c r="G1443" s="189" t="s">
        <v>4703</v>
      </c>
      <c r="H1443" s="174" t="s">
        <v>184</v>
      </c>
      <c r="I1443" s="186"/>
      <c r="J1443" s="174"/>
    </row>
    <row r="1444" spans="1:10" ht="120" customHeight="1">
      <c r="A1444" s="371"/>
      <c r="B1444" s="198" t="s">
        <v>4700</v>
      </c>
      <c r="C1444" s="172" t="s">
        <v>4704</v>
      </c>
      <c r="D1444" s="172" t="s">
        <v>4705</v>
      </c>
      <c r="E1444" s="172" t="s">
        <v>4570</v>
      </c>
      <c r="F1444" s="177" t="s">
        <v>11841</v>
      </c>
      <c r="G1444" s="189" t="s">
        <v>4703</v>
      </c>
      <c r="H1444" s="174" t="s">
        <v>184</v>
      </c>
      <c r="I1444" s="186"/>
      <c r="J1444" s="174"/>
    </row>
    <row r="1445" spans="1:10" ht="120" customHeight="1">
      <c r="A1445" s="371"/>
      <c r="B1445" s="198" t="s">
        <v>4700</v>
      </c>
      <c r="C1445" s="172" t="s">
        <v>4706</v>
      </c>
      <c r="D1445" s="172" t="s">
        <v>4707</v>
      </c>
      <c r="E1445" s="172" t="s">
        <v>4570</v>
      </c>
      <c r="F1445" s="177" t="s">
        <v>11842</v>
      </c>
      <c r="G1445" s="189" t="s">
        <v>4703</v>
      </c>
      <c r="H1445" s="174" t="s">
        <v>184</v>
      </c>
      <c r="I1445" s="186"/>
      <c r="J1445" s="174"/>
    </row>
    <row r="1446" spans="1:10" ht="120" customHeight="1">
      <c r="A1446" s="371"/>
      <c r="B1446" s="198" t="s">
        <v>4700</v>
      </c>
      <c r="C1446" s="172" t="s">
        <v>4708</v>
      </c>
      <c r="D1446" s="172" t="s">
        <v>4709</v>
      </c>
      <c r="E1446" s="172" t="s">
        <v>4570</v>
      </c>
      <c r="F1446" s="172" t="s">
        <v>11843</v>
      </c>
      <c r="G1446" s="189" t="s">
        <v>4703</v>
      </c>
      <c r="H1446" s="174" t="s">
        <v>184</v>
      </c>
      <c r="I1446" s="186"/>
      <c r="J1446" s="174"/>
    </row>
    <row r="1447" spans="1:10" ht="120" customHeight="1">
      <c r="A1447" s="371"/>
      <c r="B1447" s="198" t="s">
        <v>4700</v>
      </c>
      <c r="C1447" s="172" t="s">
        <v>4710</v>
      </c>
      <c r="D1447" s="172" t="s">
        <v>4711</v>
      </c>
      <c r="E1447" s="172" t="s">
        <v>4570</v>
      </c>
      <c r="F1447" s="173" t="s">
        <v>11844</v>
      </c>
      <c r="G1447" s="189" t="s">
        <v>4712</v>
      </c>
      <c r="H1447" s="174" t="s">
        <v>184</v>
      </c>
      <c r="I1447" s="186"/>
      <c r="J1447" s="174"/>
    </row>
    <row r="1448" spans="1:10" ht="120" customHeight="1">
      <c r="A1448" s="371"/>
      <c r="B1448" s="198" t="s">
        <v>4700</v>
      </c>
      <c r="C1448" s="172" t="s">
        <v>4713</v>
      </c>
      <c r="D1448" s="172" t="s">
        <v>4714</v>
      </c>
      <c r="E1448" s="172" t="s">
        <v>4570</v>
      </c>
      <c r="F1448" s="173" t="s">
        <v>11845</v>
      </c>
      <c r="G1448" s="189" t="s">
        <v>4715</v>
      </c>
      <c r="H1448" s="174" t="s">
        <v>117</v>
      </c>
      <c r="I1448" s="186"/>
      <c r="J1448" s="174"/>
    </row>
    <row r="1449" spans="1:10" ht="120" customHeight="1">
      <c r="A1449" s="371"/>
      <c r="B1449" s="198" t="s">
        <v>4700</v>
      </c>
      <c r="C1449" s="172" t="s">
        <v>4716</v>
      </c>
      <c r="D1449" s="172" t="s">
        <v>4717</v>
      </c>
      <c r="E1449" s="172" t="s">
        <v>4570</v>
      </c>
      <c r="F1449" s="177" t="s">
        <v>11846</v>
      </c>
      <c r="G1449" s="189" t="s">
        <v>4718</v>
      </c>
      <c r="H1449" s="174" t="s">
        <v>184</v>
      </c>
      <c r="I1449" s="186"/>
      <c r="J1449" s="174"/>
    </row>
    <row r="1450" spans="1:10" ht="120" customHeight="1">
      <c r="A1450" s="371"/>
      <c r="B1450" s="185" t="s">
        <v>4719</v>
      </c>
      <c r="C1450" s="172" t="s">
        <v>11847</v>
      </c>
      <c r="D1450" s="172" t="s">
        <v>4721</v>
      </c>
      <c r="E1450" s="172" t="s">
        <v>4570</v>
      </c>
      <c r="F1450" s="177" t="s">
        <v>11848</v>
      </c>
      <c r="G1450" s="189" t="s">
        <v>4723</v>
      </c>
      <c r="H1450" s="174" t="s">
        <v>233</v>
      </c>
      <c r="I1450" s="186"/>
      <c r="J1450" s="174"/>
    </row>
    <row r="1451" spans="1:10" ht="120" customHeight="1">
      <c r="A1451" s="371"/>
      <c r="B1451" s="185" t="s">
        <v>4724</v>
      </c>
      <c r="C1451" s="172" t="s">
        <v>4725</v>
      </c>
      <c r="D1451" s="172" t="s">
        <v>4726</v>
      </c>
      <c r="E1451" s="172" t="s">
        <v>4570</v>
      </c>
      <c r="F1451" s="177" t="s">
        <v>4727</v>
      </c>
      <c r="G1451" s="189" t="s">
        <v>4723</v>
      </c>
      <c r="H1451" s="174" t="s">
        <v>184</v>
      </c>
      <c r="I1451" s="186"/>
      <c r="J1451" s="174"/>
    </row>
    <row r="1452" spans="1:10" ht="120" customHeight="1">
      <c r="A1452" s="371"/>
      <c r="B1452" s="185" t="s">
        <v>4719</v>
      </c>
      <c r="C1452" s="172" t="s">
        <v>4728</v>
      </c>
      <c r="D1452" s="172" t="s">
        <v>4729</v>
      </c>
      <c r="E1452" s="172" t="s">
        <v>4570</v>
      </c>
      <c r="F1452" s="177" t="s">
        <v>4730</v>
      </c>
      <c r="G1452" s="189" t="s">
        <v>4723</v>
      </c>
      <c r="H1452" s="174" t="s">
        <v>184</v>
      </c>
      <c r="I1452" s="186"/>
      <c r="J1452" s="174"/>
    </row>
    <row r="1453" spans="1:10" ht="120" customHeight="1">
      <c r="A1453" s="371"/>
      <c r="B1453" s="185" t="s">
        <v>4719</v>
      </c>
      <c r="C1453" s="172" t="s">
        <v>11849</v>
      </c>
      <c r="D1453" s="172" t="s">
        <v>4731</v>
      </c>
      <c r="E1453" s="172" t="s">
        <v>4570</v>
      </c>
      <c r="F1453" s="177" t="s">
        <v>4732</v>
      </c>
      <c r="G1453" s="189" t="s">
        <v>4733</v>
      </c>
      <c r="H1453" s="174" t="s">
        <v>184</v>
      </c>
      <c r="I1453" s="186"/>
      <c r="J1453" s="174"/>
    </row>
    <row r="1454" spans="1:10" ht="120" customHeight="1">
      <c r="A1454" s="371"/>
      <c r="B1454" s="185" t="s">
        <v>4719</v>
      </c>
      <c r="C1454" s="172" t="s">
        <v>4734</v>
      </c>
      <c r="D1454" s="172" t="s">
        <v>4735</v>
      </c>
      <c r="E1454" s="172" t="s">
        <v>4570</v>
      </c>
      <c r="F1454" s="177" t="s">
        <v>4736</v>
      </c>
      <c r="G1454" s="189" t="s">
        <v>4737</v>
      </c>
      <c r="H1454" s="174" t="s">
        <v>184</v>
      </c>
      <c r="I1454" s="186"/>
      <c r="J1454" s="174"/>
    </row>
    <row r="1455" spans="1:10" ht="120" customHeight="1">
      <c r="A1455" s="371"/>
      <c r="B1455" s="185" t="s">
        <v>4719</v>
      </c>
      <c r="C1455" s="172" t="s">
        <v>11850</v>
      </c>
      <c r="D1455" s="172" t="s">
        <v>4738</v>
      </c>
      <c r="E1455" s="172" t="s">
        <v>4570</v>
      </c>
      <c r="F1455" s="177" t="s">
        <v>11851</v>
      </c>
      <c r="G1455" s="189" t="s">
        <v>4739</v>
      </c>
      <c r="H1455" s="174" t="s">
        <v>117</v>
      </c>
      <c r="I1455" s="186"/>
      <c r="J1455" s="174"/>
    </row>
    <row r="1456" spans="1:10" ht="120" customHeight="1">
      <c r="A1456" s="372" t="s">
        <v>4740</v>
      </c>
      <c r="B1456" s="340" t="s">
        <v>11852</v>
      </c>
      <c r="C1456" s="275" t="s">
        <v>4742</v>
      </c>
      <c r="D1456" s="223" t="s">
        <v>4743</v>
      </c>
      <c r="E1456" s="319" t="s">
        <v>4744</v>
      </c>
      <c r="F1456" s="409" t="s">
        <v>4745</v>
      </c>
      <c r="G1456" s="429" t="s">
        <v>11853</v>
      </c>
      <c r="H1456" s="296" t="s">
        <v>117</v>
      </c>
      <c r="I1456" s="182"/>
      <c r="J1456" s="182"/>
    </row>
    <row r="1457" spans="1:10" ht="120" customHeight="1">
      <c r="A1457" s="373"/>
      <c r="B1457" s="246" t="s">
        <v>11852</v>
      </c>
      <c r="C1457" s="278" t="s">
        <v>4746</v>
      </c>
      <c r="D1457" s="24" t="s">
        <v>11854</v>
      </c>
      <c r="E1457" s="16" t="s">
        <v>5528</v>
      </c>
      <c r="F1457" s="438" t="s">
        <v>12558</v>
      </c>
      <c r="G1457" s="450" t="s">
        <v>12559</v>
      </c>
      <c r="H1457" s="182" t="s">
        <v>233</v>
      </c>
      <c r="I1457" s="341"/>
      <c r="J1457" s="182"/>
    </row>
    <row r="1458" spans="1:10" ht="120" customHeight="1">
      <c r="A1458" s="373"/>
      <c r="B1458" s="246" t="s">
        <v>11852</v>
      </c>
      <c r="C1458" s="24" t="s">
        <v>4750</v>
      </c>
      <c r="D1458" s="24" t="s">
        <v>11855</v>
      </c>
      <c r="E1458" s="16" t="s">
        <v>4744</v>
      </c>
      <c r="F1458" s="16" t="s">
        <v>12560</v>
      </c>
      <c r="G1458" s="450" t="s">
        <v>12561</v>
      </c>
      <c r="H1458" s="182" t="s">
        <v>184</v>
      </c>
      <c r="I1458" s="341"/>
      <c r="J1458" s="182"/>
    </row>
    <row r="1459" spans="1:10" ht="120" customHeight="1">
      <c r="A1459" s="373"/>
      <c r="B1459" s="246" t="s">
        <v>11852</v>
      </c>
      <c r="C1459" s="24" t="s">
        <v>11856</v>
      </c>
      <c r="D1459" s="24" t="s">
        <v>4751</v>
      </c>
      <c r="E1459" s="16" t="s">
        <v>4744</v>
      </c>
      <c r="F1459" s="222" t="s">
        <v>12562</v>
      </c>
      <c r="G1459" s="450" t="s">
        <v>12563</v>
      </c>
      <c r="H1459" s="182" t="s">
        <v>117</v>
      </c>
      <c r="I1459" s="341"/>
      <c r="J1459" s="182"/>
    </row>
    <row r="1460" spans="1:10" ht="120" customHeight="1">
      <c r="A1460" s="373"/>
      <c r="B1460" s="246" t="s">
        <v>11852</v>
      </c>
      <c r="C1460" s="24" t="s">
        <v>4752</v>
      </c>
      <c r="D1460" s="24" t="s">
        <v>11855</v>
      </c>
      <c r="E1460" s="16" t="s">
        <v>4744</v>
      </c>
      <c r="F1460" s="438" t="s">
        <v>12564</v>
      </c>
      <c r="G1460" s="451" t="s">
        <v>12565</v>
      </c>
      <c r="H1460" s="182" t="s">
        <v>117</v>
      </c>
      <c r="I1460" s="341"/>
      <c r="J1460" s="182"/>
    </row>
    <row r="1461" spans="1:10" ht="120" customHeight="1">
      <c r="A1461" s="373"/>
      <c r="B1461" s="342" t="s">
        <v>11857</v>
      </c>
      <c r="C1461" s="24" t="s">
        <v>4753</v>
      </c>
      <c r="D1461" s="24" t="s">
        <v>4754</v>
      </c>
      <c r="E1461" s="16" t="s">
        <v>4744</v>
      </c>
      <c r="F1461" s="450" t="s">
        <v>12566</v>
      </c>
      <c r="G1461" s="450" t="s">
        <v>12567</v>
      </c>
      <c r="H1461" s="182" t="s">
        <v>117</v>
      </c>
      <c r="I1461" s="341"/>
      <c r="J1461" s="182"/>
    </row>
    <row r="1462" spans="1:10" ht="120" customHeight="1">
      <c r="A1462" s="373"/>
      <c r="B1462" s="247" t="s">
        <v>11857</v>
      </c>
      <c r="C1462" s="24" t="s">
        <v>4755</v>
      </c>
      <c r="D1462" s="24" t="s">
        <v>4756</v>
      </c>
      <c r="E1462" s="16" t="s">
        <v>4744</v>
      </c>
      <c r="F1462" s="222" t="s">
        <v>12568</v>
      </c>
      <c r="G1462" s="450" t="s">
        <v>12569</v>
      </c>
      <c r="H1462" s="182" t="s">
        <v>117</v>
      </c>
      <c r="I1462" s="341"/>
      <c r="J1462" s="182"/>
    </row>
    <row r="1463" spans="1:10" ht="120" customHeight="1">
      <c r="A1463" s="373"/>
      <c r="B1463" s="247" t="s">
        <v>11857</v>
      </c>
      <c r="C1463" s="24" t="s">
        <v>4757</v>
      </c>
      <c r="D1463" s="24" t="s">
        <v>4758</v>
      </c>
      <c r="E1463" s="16" t="s">
        <v>4744</v>
      </c>
      <c r="F1463" s="222" t="s">
        <v>12570</v>
      </c>
      <c r="G1463" s="451" t="s">
        <v>12565</v>
      </c>
      <c r="H1463" s="182" t="s">
        <v>117</v>
      </c>
      <c r="I1463" s="341"/>
      <c r="J1463" s="182"/>
    </row>
    <row r="1464" spans="1:10" ht="120" customHeight="1">
      <c r="A1464" s="373"/>
      <c r="B1464" s="247" t="s">
        <v>11857</v>
      </c>
      <c r="C1464" s="24" t="s">
        <v>4759</v>
      </c>
      <c r="D1464" s="24" t="s">
        <v>4760</v>
      </c>
      <c r="E1464" s="16" t="s">
        <v>4744</v>
      </c>
      <c r="F1464" s="222" t="s">
        <v>12571</v>
      </c>
      <c r="G1464" s="451" t="s">
        <v>12565</v>
      </c>
      <c r="H1464" s="182" t="s">
        <v>117</v>
      </c>
      <c r="I1464" s="341"/>
      <c r="J1464" s="182"/>
    </row>
    <row r="1465" spans="1:10" ht="120" customHeight="1">
      <c r="A1465" s="374"/>
      <c r="B1465" s="343"/>
      <c r="C1465" s="344"/>
      <c r="D1465" s="228" t="s">
        <v>11858</v>
      </c>
      <c r="E1465" s="12"/>
      <c r="F1465" s="12"/>
      <c r="G1465" s="345"/>
      <c r="H1465" s="299"/>
      <c r="I1465" s="182"/>
      <c r="J1465" s="182"/>
    </row>
    <row r="1466" spans="1:10" ht="120" customHeight="1">
      <c r="A1466" s="358" t="s">
        <v>11859</v>
      </c>
      <c r="B1466" s="246" t="s">
        <v>11860</v>
      </c>
      <c r="C1466" s="278" t="s">
        <v>4762</v>
      </c>
      <c r="D1466" s="24" t="s">
        <v>4763</v>
      </c>
      <c r="E1466" s="16" t="s">
        <v>4764</v>
      </c>
      <c r="F1466" s="16" t="s">
        <v>11861</v>
      </c>
      <c r="G1466" s="204" t="s">
        <v>4765</v>
      </c>
      <c r="H1466" s="182" t="s">
        <v>117</v>
      </c>
      <c r="I1466" s="182"/>
      <c r="J1466" s="182"/>
    </row>
    <row r="1467" spans="1:10" ht="120" customHeight="1">
      <c r="A1467" s="359"/>
      <c r="B1467" s="246" t="s">
        <v>11860</v>
      </c>
      <c r="C1467" s="278" t="s">
        <v>4766</v>
      </c>
      <c r="D1467" s="24" t="s">
        <v>4767</v>
      </c>
      <c r="E1467" s="16" t="s">
        <v>4764</v>
      </c>
      <c r="F1467" s="16" t="s">
        <v>11862</v>
      </c>
      <c r="G1467" s="204" t="s">
        <v>4768</v>
      </c>
      <c r="H1467" s="182" t="s">
        <v>117</v>
      </c>
      <c r="I1467" s="182"/>
      <c r="J1467" s="182"/>
    </row>
    <row r="1468" spans="1:10" ht="120" customHeight="1">
      <c r="A1468" s="359"/>
      <c r="B1468" s="246" t="s">
        <v>11860</v>
      </c>
      <c r="C1468" s="278" t="s">
        <v>4769</v>
      </c>
      <c r="D1468" s="24" t="s">
        <v>4770</v>
      </c>
      <c r="E1468" s="16" t="s">
        <v>4764</v>
      </c>
      <c r="F1468" s="16" t="s">
        <v>11863</v>
      </c>
      <c r="G1468" s="204" t="s">
        <v>4772</v>
      </c>
      <c r="H1468" s="182" t="s">
        <v>233</v>
      </c>
      <c r="I1468" s="182"/>
      <c r="J1468" s="182"/>
    </row>
    <row r="1469" spans="1:10" ht="120" customHeight="1">
      <c r="A1469" s="359"/>
      <c r="B1469" s="246" t="s">
        <v>11860</v>
      </c>
      <c r="C1469" s="278" t="s">
        <v>4773</v>
      </c>
      <c r="D1469" s="24" t="s">
        <v>4774</v>
      </c>
      <c r="E1469" s="16" t="s">
        <v>4764</v>
      </c>
      <c r="F1469" s="16" t="s">
        <v>4775</v>
      </c>
      <c r="G1469" s="204" t="s">
        <v>4776</v>
      </c>
      <c r="H1469" s="182" t="s">
        <v>117</v>
      </c>
      <c r="I1469" s="182"/>
      <c r="J1469" s="182"/>
    </row>
    <row r="1470" spans="1:10" ht="120" customHeight="1">
      <c r="A1470" s="359"/>
      <c r="B1470" s="246" t="s">
        <v>11860</v>
      </c>
      <c r="C1470" s="278" t="s">
        <v>4777</v>
      </c>
      <c r="D1470" s="24" t="s">
        <v>4778</v>
      </c>
      <c r="E1470" s="16" t="s">
        <v>4764</v>
      </c>
      <c r="F1470" s="16" t="s">
        <v>4779</v>
      </c>
      <c r="G1470" s="204" t="s">
        <v>4776</v>
      </c>
      <c r="H1470" s="182" t="s">
        <v>117</v>
      </c>
      <c r="I1470" s="182"/>
      <c r="J1470" s="182"/>
    </row>
    <row r="1471" spans="1:10" ht="120" customHeight="1">
      <c r="A1471" s="359"/>
      <c r="B1471" s="246" t="s">
        <v>11860</v>
      </c>
      <c r="C1471" s="278" t="s">
        <v>4780</v>
      </c>
      <c r="D1471" s="24" t="s">
        <v>4781</v>
      </c>
      <c r="E1471" s="16" t="s">
        <v>4764</v>
      </c>
      <c r="F1471" s="16" t="s">
        <v>4782</v>
      </c>
      <c r="G1471" s="204" t="s">
        <v>4783</v>
      </c>
      <c r="H1471" s="182" t="s">
        <v>117</v>
      </c>
      <c r="I1471" s="182"/>
      <c r="J1471" s="182"/>
    </row>
    <row r="1472" spans="1:10" ht="120" customHeight="1">
      <c r="A1472" s="359"/>
      <c r="B1472" s="246" t="s">
        <v>11860</v>
      </c>
      <c r="C1472" s="278" t="s">
        <v>4784</v>
      </c>
      <c r="D1472" s="24" t="s">
        <v>4785</v>
      </c>
      <c r="E1472" s="24" t="s">
        <v>4786</v>
      </c>
      <c r="F1472" s="24" t="s">
        <v>4787</v>
      </c>
      <c r="G1472" s="207" t="s">
        <v>4788</v>
      </c>
      <c r="H1472" s="197" t="s">
        <v>117</v>
      </c>
      <c r="I1472" s="182"/>
      <c r="J1472" s="182"/>
    </row>
    <row r="1473" spans="1:10" ht="120" customHeight="1">
      <c r="A1473" s="359"/>
      <c r="B1473" s="246" t="s">
        <v>11860</v>
      </c>
      <c r="C1473" s="278" t="s">
        <v>4789</v>
      </c>
      <c r="D1473" s="24" t="s">
        <v>4790</v>
      </c>
      <c r="E1473" s="24" t="s">
        <v>4786</v>
      </c>
      <c r="F1473" s="24" t="s">
        <v>4791</v>
      </c>
      <c r="G1473" s="207" t="s">
        <v>4788</v>
      </c>
      <c r="H1473" s="197" t="s">
        <v>117</v>
      </c>
      <c r="I1473" s="182"/>
      <c r="J1473" s="182"/>
    </row>
    <row r="1474" spans="1:10" ht="120" customHeight="1">
      <c r="A1474" s="359"/>
      <c r="B1474" s="246" t="s">
        <v>11860</v>
      </c>
      <c r="C1474" s="278" t="s">
        <v>4792</v>
      </c>
      <c r="D1474" s="24" t="s">
        <v>4793</v>
      </c>
      <c r="E1474" s="24" t="s">
        <v>4764</v>
      </c>
      <c r="F1474" s="24" t="s">
        <v>4794</v>
      </c>
      <c r="G1474" s="207" t="s">
        <v>4795</v>
      </c>
      <c r="H1474" s="197" t="s">
        <v>117</v>
      </c>
      <c r="I1474" s="182"/>
      <c r="J1474" s="182"/>
    </row>
    <row r="1475" spans="1:10" ht="120" customHeight="1">
      <c r="A1475" s="359"/>
      <c r="B1475" s="340" t="s">
        <v>11860</v>
      </c>
      <c r="C1475" s="275" t="s">
        <v>4796</v>
      </c>
      <c r="D1475" s="223" t="s">
        <v>4797</v>
      </c>
      <c r="E1475" s="223" t="s">
        <v>4764</v>
      </c>
      <c r="F1475" s="223" t="s">
        <v>4798</v>
      </c>
      <c r="G1475" s="346" t="s">
        <v>4799</v>
      </c>
      <c r="H1475" s="452" t="s">
        <v>117</v>
      </c>
      <c r="I1475" s="197"/>
      <c r="J1475" s="182"/>
    </row>
    <row r="1476" spans="1:10" ht="120" customHeight="1">
      <c r="A1476" s="366"/>
      <c r="B1476" s="453" t="s">
        <v>11864</v>
      </c>
      <c r="C1476" s="24" t="s">
        <v>11865</v>
      </c>
      <c r="D1476" s="24" t="s">
        <v>11866</v>
      </c>
      <c r="E1476" s="24" t="s">
        <v>4764</v>
      </c>
      <c r="F1476" s="24" t="s">
        <v>11867</v>
      </c>
      <c r="G1476" s="207" t="s">
        <v>11868</v>
      </c>
      <c r="H1476" s="197" t="s">
        <v>11336</v>
      </c>
      <c r="I1476" s="347"/>
      <c r="J1476" s="182"/>
    </row>
    <row r="1477" spans="1:10" ht="120" customHeight="1">
      <c r="A1477" s="366"/>
      <c r="B1477" s="246" t="s">
        <v>11864</v>
      </c>
      <c r="C1477" s="24" t="s">
        <v>11869</v>
      </c>
      <c r="D1477" s="24" t="s">
        <v>11870</v>
      </c>
      <c r="E1477" s="24" t="s">
        <v>4764</v>
      </c>
      <c r="F1477" s="24" t="s">
        <v>11871</v>
      </c>
      <c r="G1477" s="207" t="s">
        <v>11872</v>
      </c>
      <c r="H1477" s="197" t="s">
        <v>11873</v>
      </c>
      <c r="I1477" s="347"/>
      <c r="J1477" s="182"/>
    </row>
    <row r="1478" spans="1:10" ht="120" customHeight="1">
      <c r="A1478" s="366"/>
      <c r="B1478" s="246" t="s">
        <v>11864</v>
      </c>
      <c r="C1478" s="24" t="s">
        <v>11874</v>
      </c>
      <c r="D1478" s="24" t="s">
        <v>11875</v>
      </c>
      <c r="E1478" s="24" t="s">
        <v>4764</v>
      </c>
      <c r="F1478" s="24" t="s">
        <v>11876</v>
      </c>
      <c r="G1478" s="207" t="s">
        <v>11877</v>
      </c>
      <c r="H1478" s="197" t="s">
        <v>11873</v>
      </c>
      <c r="I1478" s="347"/>
      <c r="J1478" s="182"/>
    </row>
    <row r="1479" spans="1:10" ht="120" customHeight="1">
      <c r="A1479" s="359" t="s">
        <v>11878</v>
      </c>
      <c r="B1479" s="343" t="s">
        <v>4800</v>
      </c>
      <c r="C1479" s="344" t="s">
        <v>4801</v>
      </c>
      <c r="D1479" s="228" t="s">
        <v>4802</v>
      </c>
      <c r="E1479" s="12" t="s">
        <v>4764</v>
      </c>
      <c r="F1479" s="12" t="s">
        <v>11879</v>
      </c>
      <c r="G1479" s="345" t="s">
        <v>4803</v>
      </c>
      <c r="H1479" s="299" t="s">
        <v>184</v>
      </c>
      <c r="I1479" s="182"/>
      <c r="J1479" s="182"/>
    </row>
    <row r="1480" spans="1:10" ht="120" customHeight="1">
      <c r="A1480" s="359"/>
      <c r="B1480" s="247" t="s">
        <v>4800</v>
      </c>
      <c r="C1480" s="278" t="s">
        <v>11880</v>
      </c>
      <c r="D1480" s="24" t="s">
        <v>11881</v>
      </c>
      <c r="E1480" s="16" t="s">
        <v>4764</v>
      </c>
      <c r="F1480" s="16" t="s">
        <v>11882</v>
      </c>
      <c r="G1480" s="204" t="s">
        <v>11883</v>
      </c>
      <c r="H1480" s="182" t="s">
        <v>117</v>
      </c>
      <c r="I1480" s="182"/>
      <c r="J1480" s="182"/>
    </row>
    <row r="1481" spans="1:10" ht="120" customHeight="1">
      <c r="A1481" s="359"/>
      <c r="B1481" s="247" t="s">
        <v>4800</v>
      </c>
      <c r="C1481" s="278" t="s">
        <v>11884</v>
      </c>
      <c r="D1481" s="24" t="s">
        <v>4805</v>
      </c>
      <c r="E1481" s="16" t="s">
        <v>4764</v>
      </c>
      <c r="F1481" s="16" t="s">
        <v>11885</v>
      </c>
      <c r="G1481" s="204" t="s">
        <v>4807</v>
      </c>
      <c r="H1481" s="182" t="s">
        <v>233</v>
      </c>
      <c r="I1481" s="182"/>
      <c r="J1481" s="182"/>
    </row>
    <row r="1482" spans="1:10" ht="120" customHeight="1">
      <c r="A1482" s="359"/>
      <c r="B1482" s="247" t="s">
        <v>4800</v>
      </c>
      <c r="C1482" s="278" t="s">
        <v>11886</v>
      </c>
      <c r="D1482" s="24" t="s">
        <v>4808</v>
      </c>
      <c r="E1482" s="16" t="s">
        <v>4764</v>
      </c>
      <c r="F1482" s="16" t="s">
        <v>11887</v>
      </c>
      <c r="G1482" s="204" t="s">
        <v>4809</v>
      </c>
      <c r="H1482" s="182" t="s">
        <v>117</v>
      </c>
      <c r="I1482" s="182"/>
      <c r="J1482" s="182"/>
    </row>
    <row r="1483" spans="1:10" ht="120" customHeight="1">
      <c r="A1483" s="359"/>
      <c r="B1483" s="247" t="s">
        <v>4800</v>
      </c>
      <c r="C1483" s="278" t="s">
        <v>11888</v>
      </c>
      <c r="D1483" s="24" t="s">
        <v>4810</v>
      </c>
      <c r="E1483" s="16" t="s">
        <v>4764</v>
      </c>
      <c r="F1483" s="24" t="s">
        <v>11889</v>
      </c>
      <c r="G1483" s="207" t="s">
        <v>11890</v>
      </c>
      <c r="H1483" s="197" t="s">
        <v>117</v>
      </c>
      <c r="I1483" s="182"/>
      <c r="J1483" s="182"/>
    </row>
    <row r="1484" spans="1:10" ht="120" customHeight="1">
      <c r="A1484" s="359"/>
      <c r="B1484" s="348" t="s">
        <v>4800</v>
      </c>
      <c r="C1484" s="275" t="s">
        <v>11891</v>
      </c>
      <c r="D1484" s="223" t="s">
        <v>4811</v>
      </c>
      <c r="E1484" s="319" t="s">
        <v>4764</v>
      </c>
      <c r="F1484" s="223" t="s">
        <v>11892</v>
      </c>
      <c r="G1484" s="346" t="s">
        <v>11890</v>
      </c>
      <c r="H1484" s="452" t="s">
        <v>117</v>
      </c>
      <c r="I1484" s="182"/>
      <c r="J1484" s="182"/>
    </row>
    <row r="1485" spans="1:10" ht="120" customHeight="1">
      <c r="A1485" s="366"/>
      <c r="B1485" s="342" t="s">
        <v>4800</v>
      </c>
      <c r="C1485" s="24" t="s">
        <v>11893</v>
      </c>
      <c r="D1485" s="24" t="s">
        <v>11894</v>
      </c>
      <c r="E1485" s="16" t="s">
        <v>4764</v>
      </c>
      <c r="F1485" s="24" t="s">
        <v>11895</v>
      </c>
      <c r="G1485" s="207" t="s">
        <v>11896</v>
      </c>
      <c r="H1485" s="197"/>
      <c r="I1485" s="341"/>
      <c r="J1485" s="182"/>
    </row>
    <row r="1486" spans="1:10" ht="120" customHeight="1">
      <c r="A1486" s="359"/>
      <c r="B1486" s="343" t="s">
        <v>11897</v>
      </c>
      <c r="C1486" s="344" t="s">
        <v>4813</v>
      </c>
      <c r="D1486" s="228" t="s">
        <v>4814</v>
      </c>
      <c r="E1486" s="12" t="s">
        <v>4815</v>
      </c>
      <c r="F1486" s="12" t="s">
        <v>4816</v>
      </c>
      <c r="G1486" s="345" t="s">
        <v>4817</v>
      </c>
      <c r="H1486" s="299" t="s">
        <v>117</v>
      </c>
      <c r="I1486" s="182"/>
      <c r="J1486" s="182"/>
    </row>
    <row r="1487" spans="1:10" ht="120" customHeight="1">
      <c r="A1487" s="359"/>
      <c r="B1487" s="247" t="s">
        <v>11897</v>
      </c>
      <c r="C1487" s="278" t="s">
        <v>4818</v>
      </c>
      <c r="D1487" s="24" t="s">
        <v>4819</v>
      </c>
      <c r="E1487" s="16" t="s">
        <v>4815</v>
      </c>
      <c r="F1487" s="16" t="s">
        <v>4820</v>
      </c>
      <c r="G1487" s="204" t="s">
        <v>4821</v>
      </c>
      <c r="H1487" s="182" t="s">
        <v>117</v>
      </c>
      <c r="I1487" s="182"/>
      <c r="J1487" s="182"/>
    </row>
    <row r="1488" spans="1:10" ht="120" customHeight="1">
      <c r="A1488" s="359"/>
      <c r="B1488" s="247" t="s">
        <v>11897</v>
      </c>
      <c r="C1488" s="278" t="s">
        <v>4822</v>
      </c>
      <c r="D1488" s="24" t="s">
        <v>4823</v>
      </c>
      <c r="E1488" s="16" t="s">
        <v>4815</v>
      </c>
      <c r="F1488" s="16" t="s">
        <v>4824</v>
      </c>
      <c r="G1488" s="204" t="s">
        <v>4825</v>
      </c>
      <c r="H1488" s="182" t="s">
        <v>233</v>
      </c>
      <c r="I1488" s="182"/>
      <c r="J1488" s="182"/>
    </row>
    <row r="1489" spans="1:10" ht="120" customHeight="1">
      <c r="A1489" s="359"/>
      <c r="B1489" s="247" t="s">
        <v>11897</v>
      </c>
      <c r="C1489" s="278" t="s">
        <v>4826</v>
      </c>
      <c r="D1489" s="24" t="s">
        <v>4827</v>
      </c>
      <c r="E1489" s="16" t="s">
        <v>4815</v>
      </c>
      <c r="F1489" s="16" t="s">
        <v>4828</v>
      </c>
      <c r="G1489" s="204" t="s">
        <v>4829</v>
      </c>
      <c r="H1489" s="182" t="s">
        <v>117</v>
      </c>
      <c r="I1489" s="182"/>
      <c r="J1489" s="182"/>
    </row>
    <row r="1490" spans="1:10" ht="120" customHeight="1">
      <c r="A1490" s="359"/>
      <c r="B1490" s="247" t="s">
        <v>11897</v>
      </c>
      <c r="C1490" s="278" t="s">
        <v>4830</v>
      </c>
      <c r="D1490" s="24" t="s">
        <v>4831</v>
      </c>
      <c r="E1490" s="16" t="s">
        <v>4815</v>
      </c>
      <c r="F1490" s="16" t="s">
        <v>4832</v>
      </c>
      <c r="G1490" s="204" t="s">
        <v>4833</v>
      </c>
      <c r="H1490" s="182" t="s">
        <v>117</v>
      </c>
      <c r="I1490" s="182"/>
      <c r="J1490" s="182"/>
    </row>
    <row r="1491" spans="1:10" ht="120" customHeight="1">
      <c r="A1491" s="359"/>
      <c r="B1491" s="247" t="s">
        <v>11897</v>
      </c>
      <c r="C1491" s="278" t="s">
        <v>4834</v>
      </c>
      <c r="D1491" s="24" t="s">
        <v>4835</v>
      </c>
      <c r="E1491" s="16" t="s">
        <v>4815</v>
      </c>
      <c r="F1491" s="16" t="s">
        <v>4836</v>
      </c>
      <c r="G1491" s="204" t="s">
        <v>4837</v>
      </c>
      <c r="H1491" s="182" t="s">
        <v>117</v>
      </c>
      <c r="I1491" s="182"/>
      <c r="J1491" s="182"/>
    </row>
    <row r="1492" spans="1:10" ht="120" customHeight="1">
      <c r="A1492" s="359"/>
      <c r="B1492" s="247" t="s">
        <v>11897</v>
      </c>
      <c r="C1492" s="278" t="s">
        <v>4838</v>
      </c>
      <c r="D1492" s="24" t="s">
        <v>4839</v>
      </c>
      <c r="E1492" s="16" t="s">
        <v>4815</v>
      </c>
      <c r="F1492" s="16" t="s">
        <v>4840</v>
      </c>
      <c r="G1492" s="204" t="s">
        <v>4841</v>
      </c>
      <c r="H1492" s="182" t="s">
        <v>117</v>
      </c>
      <c r="I1492" s="182"/>
      <c r="J1492" s="182"/>
    </row>
    <row r="1493" spans="1:10" ht="120" customHeight="1">
      <c r="A1493" s="360"/>
      <c r="B1493" s="247" t="s">
        <v>11897</v>
      </c>
      <c r="C1493" s="278" t="s">
        <v>4842</v>
      </c>
      <c r="D1493" s="24" t="s">
        <v>4843</v>
      </c>
      <c r="E1493" s="16" t="s">
        <v>4815</v>
      </c>
      <c r="F1493" s="16" t="s">
        <v>4844</v>
      </c>
      <c r="G1493" s="204" t="s">
        <v>4845</v>
      </c>
      <c r="H1493" s="182" t="s">
        <v>117</v>
      </c>
      <c r="I1493" s="182"/>
      <c r="J1493" s="182"/>
    </row>
    <row r="1494" spans="1:10" ht="120" customHeight="1">
      <c r="A1494" s="358" t="s">
        <v>11898</v>
      </c>
      <c r="B1494" s="246" t="s">
        <v>11899</v>
      </c>
      <c r="C1494" s="278" t="s">
        <v>11900</v>
      </c>
      <c r="D1494" s="24" t="s">
        <v>4848</v>
      </c>
      <c r="E1494" s="222" t="s">
        <v>4849</v>
      </c>
      <c r="F1494" s="222" t="s">
        <v>12572</v>
      </c>
      <c r="G1494" s="249" t="s">
        <v>11901</v>
      </c>
      <c r="H1494" s="337" t="s">
        <v>233</v>
      </c>
      <c r="I1494" s="182"/>
      <c r="J1494" s="182"/>
    </row>
    <row r="1495" spans="1:10" ht="120" customHeight="1">
      <c r="A1495" s="359"/>
      <c r="B1495" s="246" t="s">
        <v>4866</v>
      </c>
      <c r="C1495" s="278" t="s">
        <v>4852</v>
      </c>
      <c r="D1495" s="24" t="s">
        <v>4853</v>
      </c>
      <c r="E1495" s="16" t="s">
        <v>4849</v>
      </c>
      <c r="F1495" s="16" t="s">
        <v>12573</v>
      </c>
      <c r="G1495" s="204" t="s">
        <v>12574</v>
      </c>
      <c r="H1495" s="182" t="s">
        <v>184</v>
      </c>
      <c r="I1495" s="182"/>
      <c r="J1495" s="182"/>
    </row>
    <row r="1496" spans="1:10" ht="120" customHeight="1">
      <c r="A1496" s="359"/>
      <c r="B1496" s="246" t="s">
        <v>4866</v>
      </c>
      <c r="C1496" s="278" t="s">
        <v>4855</v>
      </c>
      <c r="D1496" s="24" t="s">
        <v>4856</v>
      </c>
      <c r="E1496" s="16" t="s">
        <v>4849</v>
      </c>
      <c r="F1496" s="16" t="s">
        <v>12575</v>
      </c>
      <c r="G1496" s="204" t="s">
        <v>11902</v>
      </c>
      <c r="H1496" s="182" t="s">
        <v>117</v>
      </c>
      <c r="I1496" s="182"/>
      <c r="J1496" s="182"/>
    </row>
    <row r="1497" spans="1:10" ht="120" customHeight="1">
      <c r="A1497" s="359"/>
      <c r="B1497" s="246" t="s">
        <v>4866</v>
      </c>
      <c r="C1497" s="278" t="s">
        <v>4858</v>
      </c>
      <c r="D1497" s="24" t="s">
        <v>4859</v>
      </c>
      <c r="E1497" s="16" t="s">
        <v>4849</v>
      </c>
      <c r="F1497" s="16" t="s">
        <v>12576</v>
      </c>
      <c r="G1497" s="204" t="s">
        <v>11903</v>
      </c>
      <c r="H1497" s="182" t="s">
        <v>117</v>
      </c>
      <c r="I1497" s="182"/>
      <c r="J1497" s="182"/>
    </row>
    <row r="1498" spans="1:10" ht="120" customHeight="1">
      <c r="A1498" s="359"/>
      <c r="B1498" s="246" t="s">
        <v>4866</v>
      </c>
      <c r="C1498" s="278" t="s">
        <v>11904</v>
      </c>
      <c r="D1498" s="24" t="s">
        <v>4861</v>
      </c>
      <c r="E1498" s="16" t="s">
        <v>4849</v>
      </c>
      <c r="F1498" s="16" t="s">
        <v>12577</v>
      </c>
      <c r="G1498" s="204" t="s">
        <v>4862</v>
      </c>
      <c r="H1498" s="182" t="s">
        <v>86</v>
      </c>
      <c r="I1498" s="182"/>
      <c r="J1498" s="182"/>
    </row>
    <row r="1499" spans="1:10" ht="120" customHeight="1">
      <c r="A1499" s="359"/>
      <c r="B1499" s="246" t="s">
        <v>4866</v>
      </c>
      <c r="C1499" s="278" t="s">
        <v>4863</v>
      </c>
      <c r="D1499" s="24" t="s">
        <v>4864</v>
      </c>
      <c r="E1499" s="16" t="s">
        <v>4849</v>
      </c>
      <c r="F1499" s="16" t="s">
        <v>12578</v>
      </c>
      <c r="G1499" s="204" t="s">
        <v>4865</v>
      </c>
      <c r="H1499" s="182" t="s">
        <v>929</v>
      </c>
      <c r="I1499" s="182"/>
      <c r="J1499" s="182"/>
    </row>
    <row r="1500" spans="1:10" ht="120" customHeight="1">
      <c r="A1500" s="359"/>
      <c r="B1500" s="246" t="s">
        <v>4866</v>
      </c>
      <c r="C1500" s="278" t="s">
        <v>4867</v>
      </c>
      <c r="D1500" s="24" t="s">
        <v>4868</v>
      </c>
      <c r="E1500" s="16" t="s">
        <v>4849</v>
      </c>
      <c r="F1500" s="16" t="s">
        <v>12579</v>
      </c>
      <c r="G1500" s="204" t="s">
        <v>4869</v>
      </c>
      <c r="H1500" s="182" t="s">
        <v>929</v>
      </c>
      <c r="I1500" s="182"/>
      <c r="J1500" s="182"/>
    </row>
    <row r="1501" spans="1:10" ht="120" customHeight="1">
      <c r="A1501" s="359"/>
      <c r="B1501" s="246" t="s">
        <v>4866</v>
      </c>
      <c r="C1501" s="278" t="s">
        <v>4870</v>
      </c>
      <c r="D1501" s="24" t="s">
        <v>4871</v>
      </c>
      <c r="E1501" s="16" t="s">
        <v>4849</v>
      </c>
      <c r="F1501" s="16" t="s">
        <v>11905</v>
      </c>
      <c r="G1501" s="204" t="s">
        <v>11906</v>
      </c>
      <c r="H1501" s="182" t="s">
        <v>117</v>
      </c>
      <c r="I1501" s="182"/>
      <c r="J1501" s="182"/>
    </row>
    <row r="1502" spans="1:10" ht="120" customHeight="1">
      <c r="A1502" s="359"/>
      <c r="B1502" s="246" t="s">
        <v>4866</v>
      </c>
      <c r="C1502" s="278" t="s">
        <v>4872</v>
      </c>
      <c r="D1502" s="24" t="s">
        <v>4873</v>
      </c>
      <c r="E1502" s="16" t="s">
        <v>4849</v>
      </c>
      <c r="F1502" s="16" t="s">
        <v>11907</v>
      </c>
      <c r="G1502" s="204" t="s">
        <v>4874</v>
      </c>
      <c r="H1502" s="182" t="s">
        <v>86</v>
      </c>
      <c r="I1502" s="182"/>
      <c r="J1502" s="182"/>
    </row>
    <row r="1503" spans="1:10" ht="120" customHeight="1">
      <c r="A1503" s="359"/>
      <c r="B1503" s="246" t="s">
        <v>4866</v>
      </c>
      <c r="C1503" s="278" t="s">
        <v>4875</v>
      </c>
      <c r="D1503" s="24" t="s">
        <v>4876</v>
      </c>
      <c r="E1503" s="16" t="s">
        <v>4877</v>
      </c>
      <c r="F1503" s="16" t="s">
        <v>12580</v>
      </c>
      <c r="G1503" s="204" t="s">
        <v>4878</v>
      </c>
      <c r="H1503" s="182" t="s">
        <v>86</v>
      </c>
      <c r="I1503" s="182"/>
      <c r="J1503" s="182"/>
    </row>
    <row r="1504" spans="1:10" ht="120" customHeight="1">
      <c r="A1504" s="359"/>
      <c r="B1504" s="247" t="s">
        <v>11908</v>
      </c>
      <c r="C1504" s="278" t="s">
        <v>4880</v>
      </c>
      <c r="D1504" s="24" t="s">
        <v>4881</v>
      </c>
      <c r="E1504" s="16" t="s">
        <v>4764</v>
      </c>
      <c r="F1504" s="16" t="s">
        <v>12581</v>
      </c>
      <c r="G1504" s="204" t="s">
        <v>4851</v>
      </c>
      <c r="H1504" s="182" t="s">
        <v>184</v>
      </c>
      <c r="I1504" s="182"/>
      <c r="J1504" s="182"/>
    </row>
    <row r="1505" spans="1:10" ht="120" customHeight="1">
      <c r="A1505" s="359"/>
      <c r="B1505" s="247" t="s">
        <v>11908</v>
      </c>
      <c r="C1505" s="278" t="s">
        <v>4882</v>
      </c>
      <c r="D1505" s="24" t="s">
        <v>4883</v>
      </c>
      <c r="E1505" s="16" t="s">
        <v>4764</v>
      </c>
      <c r="F1505" s="16" t="s">
        <v>12582</v>
      </c>
      <c r="G1505" s="204" t="s">
        <v>12583</v>
      </c>
      <c r="H1505" s="182" t="s">
        <v>233</v>
      </c>
      <c r="I1505" s="182"/>
      <c r="J1505" s="182"/>
    </row>
    <row r="1506" spans="1:10" ht="120" customHeight="1">
      <c r="A1506" s="359"/>
      <c r="B1506" s="246" t="s">
        <v>11909</v>
      </c>
      <c r="C1506" s="278" t="s">
        <v>11910</v>
      </c>
      <c r="D1506" s="24" t="s">
        <v>4885</v>
      </c>
      <c r="E1506" s="16" t="s">
        <v>4764</v>
      </c>
      <c r="F1506" s="16" t="s">
        <v>12584</v>
      </c>
      <c r="G1506" s="204" t="s">
        <v>11911</v>
      </c>
      <c r="H1506" s="182" t="s">
        <v>184</v>
      </c>
      <c r="I1506" s="182"/>
      <c r="J1506" s="182"/>
    </row>
    <row r="1507" spans="1:10" ht="120" customHeight="1">
      <c r="A1507" s="359"/>
      <c r="B1507" s="246" t="s">
        <v>11909</v>
      </c>
      <c r="C1507" s="278" t="s">
        <v>4886</v>
      </c>
      <c r="D1507" s="24" t="s">
        <v>4887</v>
      </c>
      <c r="E1507" s="16" t="s">
        <v>4764</v>
      </c>
      <c r="F1507" s="16" t="s">
        <v>12585</v>
      </c>
      <c r="G1507" s="204" t="s">
        <v>4860</v>
      </c>
      <c r="H1507" s="182" t="s">
        <v>117</v>
      </c>
      <c r="I1507" s="182"/>
      <c r="J1507" s="182"/>
    </row>
    <row r="1508" spans="1:10" ht="120" customHeight="1">
      <c r="A1508" s="359"/>
      <c r="B1508" s="247" t="s">
        <v>11912</v>
      </c>
      <c r="C1508" s="278" t="s">
        <v>4889</v>
      </c>
      <c r="D1508" s="24" t="s">
        <v>4890</v>
      </c>
      <c r="E1508" s="16" t="s">
        <v>4764</v>
      </c>
      <c r="F1508" s="16" t="s">
        <v>12586</v>
      </c>
      <c r="G1508" s="204" t="s">
        <v>4854</v>
      </c>
      <c r="H1508" s="182" t="s">
        <v>233</v>
      </c>
      <c r="I1508" s="182"/>
      <c r="J1508" s="182"/>
    </row>
    <row r="1509" spans="1:10" ht="120" customHeight="1">
      <c r="A1509" s="360"/>
      <c r="B1509" s="247" t="s">
        <v>11912</v>
      </c>
      <c r="C1509" s="278" t="s">
        <v>4892</v>
      </c>
      <c r="D1509" s="24" t="s">
        <v>4893</v>
      </c>
      <c r="E1509" s="16" t="s">
        <v>4764</v>
      </c>
      <c r="F1509" s="16" t="s">
        <v>12587</v>
      </c>
      <c r="G1509" s="204" t="s">
        <v>4857</v>
      </c>
      <c r="H1509" s="182" t="s">
        <v>117</v>
      </c>
      <c r="I1509" s="182"/>
      <c r="J1509" s="182"/>
    </row>
    <row r="1510" spans="1:10" ht="120" customHeight="1">
      <c r="A1510" s="358" t="s">
        <v>11913</v>
      </c>
      <c r="B1510" s="453" t="s">
        <v>11914</v>
      </c>
      <c r="C1510" s="24" t="s">
        <v>4895</v>
      </c>
      <c r="D1510" s="24" t="s">
        <v>4896</v>
      </c>
      <c r="E1510" s="16" t="s">
        <v>5528</v>
      </c>
      <c r="F1510" s="16" t="s">
        <v>12588</v>
      </c>
      <c r="G1510" s="204" t="s">
        <v>12589</v>
      </c>
      <c r="H1510" s="182" t="s">
        <v>233</v>
      </c>
      <c r="I1510" s="182"/>
      <c r="J1510" s="182"/>
    </row>
    <row r="1511" spans="1:10" ht="120" customHeight="1">
      <c r="A1511" s="359"/>
      <c r="B1511" s="246" t="s">
        <v>11914</v>
      </c>
      <c r="C1511" s="24" t="s">
        <v>11915</v>
      </c>
      <c r="D1511" s="24" t="s">
        <v>4899</v>
      </c>
      <c r="E1511" s="16" t="s">
        <v>4744</v>
      </c>
      <c r="F1511" s="16" t="s">
        <v>12590</v>
      </c>
      <c r="G1511" s="204" t="s">
        <v>12589</v>
      </c>
      <c r="H1511" s="182" t="s">
        <v>184</v>
      </c>
      <c r="I1511" s="182"/>
      <c r="J1511" s="182"/>
    </row>
    <row r="1512" spans="1:10" ht="120" customHeight="1">
      <c r="A1512" s="359"/>
      <c r="B1512" s="246" t="s">
        <v>11916</v>
      </c>
      <c r="C1512" s="24" t="s">
        <v>11917</v>
      </c>
      <c r="D1512" s="24" t="s">
        <v>4900</v>
      </c>
      <c r="E1512" s="16" t="s">
        <v>4744</v>
      </c>
      <c r="F1512" s="16" t="s">
        <v>12591</v>
      </c>
      <c r="G1512" s="204" t="s">
        <v>12589</v>
      </c>
      <c r="H1512" s="182" t="s">
        <v>117</v>
      </c>
      <c r="I1512" s="182"/>
      <c r="J1512" s="182"/>
    </row>
    <row r="1513" spans="1:10" ht="120" customHeight="1">
      <c r="A1513" s="359"/>
      <c r="B1513" s="246" t="s">
        <v>11916</v>
      </c>
      <c r="C1513" s="278" t="s">
        <v>4901</v>
      </c>
      <c r="D1513" s="24" t="s">
        <v>11918</v>
      </c>
      <c r="E1513" s="16" t="s">
        <v>4744</v>
      </c>
      <c r="F1513" s="16" t="s">
        <v>12592</v>
      </c>
      <c r="G1513" s="204" t="s">
        <v>4898</v>
      </c>
      <c r="H1513" s="182" t="s">
        <v>117</v>
      </c>
      <c r="I1513" s="182"/>
      <c r="J1513" s="182"/>
    </row>
    <row r="1514" spans="1:10" ht="120" customHeight="1">
      <c r="A1514" s="359"/>
      <c r="B1514" s="246" t="s">
        <v>11916</v>
      </c>
      <c r="C1514" s="278" t="s">
        <v>4902</v>
      </c>
      <c r="D1514" s="24" t="s">
        <v>4903</v>
      </c>
      <c r="E1514" s="16" t="s">
        <v>4744</v>
      </c>
      <c r="F1514" s="16" t="s">
        <v>12593</v>
      </c>
      <c r="G1514" s="204" t="s">
        <v>11919</v>
      </c>
      <c r="H1514" s="182" t="s">
        <v>117</v>
      </c>
      <c r="I1514" s="182"/>
      <c r="J1514" s="182"/>
    </row>
    <row r="1515" spans="1:10" ht="120" customHeight="1">
      <c r="A1515" s="359"/>
      <c r="B1515" s="246" t="s">
        <v>11916</v>
      </c>
      <c r="C1515" s="278" t="s">
        <v>4904</v>
      </c>
      <c r="D1515" s="24" t="s">
        <v>4905</v>
      </c>
      <c r="E1515" s="16" t="s">
        <v>4744</v>
      </c>
      <c r="F1515" s="16" t="s">
        <v>11920</v>
      </c>
      <c r="G1515" s="204" t="s">
        <v>4898</v>
      </c>
      <c r="H1515" s="182" t="s">
        <v>117</v>
      </c>
      <c r="I1515" s="182"/>
      <c r="J1515" s="182"/>
    </row>
    <row r="1516" spans="1:10" ht="120" customHeight="1">
      <c r="A1516" s="359"/>
      <c r="B1516" s="246" t="s">
        <v>11916</v>
      </c>
      <c r="C1516" s="278" t="s">
        <v>11921</v>
      </c>
      <c r="D1516" s="24" t="s">
        <v>4906</v>
      </c>
      <c r="E1516" s="16" t="s">
        <v>4744</v>
      </c>
      <c r="F1516" s="16" t="s">
        <v>12594</v>
      </c>
      <c r="G1516" s="204" t="s">
        <v>4898</v>
      </c>
      <c r="H1516" s="182" t="s">
        <v>117</v>
      </c>
      <c r="I1516" s="182"/>
      <c r="J1516" s="182"/>
    </row>
    <row r="1517" spans="1:10" ht="120" customHeight="1">
      <c r="A1517" s="359"/>
      <c r="B1517" s="246" t="s">
        <v>11916</v>
      </c>
      <c r="C1517" s="278" t="s">
        <v>4907</v>
      </c>
      <c r="D1517" s="24" t="s">
        <v>4908</v>
      </c>
      <c r="E1517" s="16" t="s">
        <v>4744</v>
      </c>
      <c r="F1517" s="16" t="s">
        <v>12595</v>
      </c>
      <c r="G1517" s="204" t="s">
        <v>4909</v>
      </c>
      <c r="H1517" s="182" t="s">
        <v>117</v>
      </c>
      <c r="I1517" s="182"/>
      <c r="J1517" s="182"/>
    </row>
    <row r="1518" spans="1:10" ht="120" customHeight="1">
      <c r="A1518" s="359"/>
      <c r="B1518" s="246" t="s">
        <v>11916</v>
      </c>
      <c r="C1518" s="278" t="s">
        <v>4910</v>
      </c>
      <c r="D1518" s="24" t="s">
        <v>4911</v>
      </c>
      <c r="E1518" s="16" t="s">
        <v>4744</v>
      </c>
      <c r="F1518" s="16" t="s">
        <v>12596</v>
      </c>
      <c r="G1518" s="204" t="s">
        <v>4898</v>
      </c>
      <c r="H1518" s="182" t="s">
        <v>117</v>
      </c>
      <c r="I1518" s="182"/>
      <c r="J1518" s="182"/>
    </row>
    <row r="1519" spans="1:10" ht="120" customHeight="1">
      <c r="A1519" s="359"/>
      <c r="B1519" s="246" t="s">
        <v>11916</v>
      </c>
      <c r="C1519" s="278" t="s">
        <v>4912</v>
      </c>
      <c r="D1519" s="24" t="s">
        <v>4913</v>
      </c>
      <c r="E1519" s="16" t="s">
        <v>4744</v>
      </c>
      <c r="F1519" s="16" t="s">
        <v>12597</v>
      </c>
      <c r="G1519" s="204" t="s">
        <v>4898</v>
      </c>
      <c r="H1519" s="182" t="s">
        <v>117</v>
      </c>
      <c r="I1519" s="182"/>
      <c r="J1519" s="182"/>
    </row>
    <row r="1520" spans="1:10" ht="120" customHeight="1">
      <c r="A1520" s="359"/>
      <c r="B1520" s="246" t="s">
        <v>11916</v>
      </c>
      <c r="C1520" s="278" t="s">
        <v>4914</v>
      </c>
      <c r="D1520" s="24" t="s">
        <v>4915</v>
      </c>
      <c r="E1520" s="16" t="s">
        <v>4744</v>
      </c>
      <c r="F1520" s="16" t="s">
        <v>12598</v>
      </c>
      <c r="G1520" s="204" t="s">
        <v>4898</v>
      </c>
      <c r="H1520" s="182" t="s">
        <v>117</v>
      </c>
      <c r="I1520" s="182"/>
      <c r="J1520" s="182"/>
    </row>
    <row r="1521" spans="1:10" ht="120" customHeight="1">
      <c r="A1521" s="359"/>
      <c r="B1521" s="246" t="s">
        <v>11916</v>
      </c>
      <c r="C1521" s="278" t="s">
        <v>4916</v>
      </c>
      <c r="D1521" s="24" t="s">
        <v>4917</v>
      </c>
      <c r="E1521" s="16" t="s">
        <v>4744</v>
      </c>
      <c r="F1521" s="16" t="s">
        <v>12599</v>
      </c>
      <c r="G1521" s="204" t="s">
        <v>4898</v>
      </c>
      <c r="H1521" s="182" t="s">
        <v>117</v>
      </c>
      <c r="I1521" s="182"/>
      <c r="J1521" s="182"/>
    </row>
    <row r="1522" spans="1:10" ht="120" customHeight="1">
      <c r="A1522" s="359"/>
      <c r="B1522" s="246" t="s">
        <v>11916</v>
      </c>
      <c r="C1522" s="278" t="s">
        <v>4918</v>
      </c>
      <c r="D1522" s="24" t="s">
        <v>4919</v>
      </c>
      <c r="E1522" s="16" t="s">
        <v>4744</v>
      </c>
      <c r="F1522" s="16" t="s">
        <v>12600</v>
      </c>
      <c r="G1522" s="204" t="s">
        <v>4898</v>
      </c>
      <c r="H1522" s="182" t="s">
        <v>117</v>
      </c>
      <c r="I1522" s="182"/>
      <c r="J1522" s="182"/>
    </row>
    <row r="1523" spans="1:10" ht="120" customHeight="1">
      <c r="A1523" s="359"/>
      <c r="B1523" s="246" t="s">
        <v>11916</v>
      </c>
      <c r="C1523" s="278" t="s">
        <v>4920</v>
      </c>
      <c r="D1523" s="24" t="s">
        <v>4921</v>
      </c>
      <c r="E1523" s="16" t="s">
        <v>4744</v>
      </c>
      <c r="F1523" s="16" t="s">
        <v>12601</v>
      </c>
      <c r="G1523" s="204" t="s">
        <v>12602</v>
      </c>
      <c r="H1523" s="182" t="s">
        <v>117</v>
      </c>
      <c r="I1523" s="182"/>
      <c r="J1523" s="182"/>
    </row>
    <row r="1524" spans="1:10" ht="120" customHeight="1">
      <c r="A1524" s="359"/>
      <c r="B1524" s="247" t="s">
        <v>11922</v>
      </c>
      <c r="C1524" s="278" t="s">
        <v>4923</v>
      </c>
      <c r="D1524" s="24" t="s">
        <v>4924</v>
      </c>
      <c r="E1524" s="16" t="s">
        <v>4744</v>
      </c>
      <c r="F1524" s="16" t="s">
        <v>12603</v>
      </c>
      <c r="G1524" s="204" t="s">
        <v>4926</v>
      </c>
      <c r="H1524" s="182" t="s">
        <v>233</v>
      </c>
      <c r="I1524" s="182"/>
      <c r="J1524" s="182"/>
    </row>
    <row r="1525" spans="1:10" ht="120" customHeight="1">
      <c r="A1525" s="359"/>
      <c r="B1525" s="247" t="s">
        <v>11922</v>
      </c>
      <c r="C1525" s="278" t="s">
        <v>4927</v>
      </c>
      <c r="D1525" s="24" t="s">
        <v>4928</v>
      </c>
      <c r="E1525" s="16" t="s">
        <v>4744</v>
      </c>
      <c r="F1525" s="16" t="s">
        <v>12604</v>
      </c>
      <c r="G1525" s="204" t="s">
        <v>4926</v>
      </c>
      <c r="H1525" s="182" t="s">
        <v>184</v>
      </c>
      <c r="I1525" s="182"/>
      <c r="J1525" s="182"/>
    </row>
    <row r="1526" spans="1:10" ht="120" customHeight="1">
      <c r="A1526" s="359"/>
      <c r="B1526" s="247" t="s">
        <v>11922</v>
      </c>
      <c r="C1526" s="278" t="s">
        <v>11923</v>
      </c>
      <c r="D1526" s="24" t="s">
        <v>4929</v>
      </c>
      <c r="E1526" s="16" t="s">
        <v>4744</v>
      </c>
      <c r="F1526" s="16" t="s">
        <v>12605</v>
      </c>
      <c r="G1526" s="204" t="s">
        <v>4926</v>
      </c>
      <c r="H1526" s="182" t="s">
        <v>117</v>
      </c>
      <c r="I1526" s="182"/>
      <c r="J1526" s="182"/>
    </row>
    <row r="1527" spans="1:10" ht="120" customHeight="1">
      <c r="A1527" s="359"/>
      <c r="B1527" s="247" t="s">
        <v>11922</v>
      </c>
      <c r="C1527" s="278" t="s">
        <v>4930</v>
      </c>
      <c r="D1527" s="24" t="s">
        <v>4931</v>
      </c>
      <c r="E1527" s="16" t="s">
        <v>4744</v>
      </c>
      <c r="F1527" s="16" t="s">
        <v>12606</v>
      </c>
      <c r="G1527" s="204" t="s">
        <v>4926</v>
      </c>
      <c r="H1527" s="182" t="s">
        <v>117</v>
      </c>
      <c r="I1527" s="182"/>
      <c r="J1527" s="182"/>
    </row>
    <row r="1528" spans="1:10" ht="120" customHeight="1">
      <c r="A1528" s="359"/>
      <c r="B1528" s="247" t="s">
        <v>11922</v>
      </c>
      <c r="C1528" s="278" t="s">
        <v>4932</v>
      </c>
      <c r="D1528" s="24" t="s">
        <v>4933</v>
      </c>
      <c r="E1528" s="16" t="s">
        <v>4744</v>
      </c>
      <c r="F1528" s="16" t="s">
        <v>12607</v>
      </c>
      <c r="G1528" s="204" t="s">
        <v>4926</v>
      </c>
      <c r="H1528" s="182" t="s">
        <v>117</v>
      </c>
      <c r="I1528" s="182"/>
      <c r="J1528" s="182"/>
    </row>
    <row r="1529" spans="1:10" ht="120" customHeight="1">
      <c r="A1529" s="359"/>
      <c r="B1529" s="247" t="s">
        <v>11922</v>
      </c>
      <c r="C1529" s="278" t="s">
        <v>4934</v>
      </c>
      <c r="D1529" s="24" t="s">
        <v>4935</v>
      </c>
      <c r="E1529" s="16" t="s">
        <v>4744</v>
      </c>
      <c r="F1529" s="16" t="s">
        <v>12608</v>
      </c>
      <c r="G1529" s="204" t="s">
        <v>4926</v>
      </c>
      <c r="H1529" s="182" t="s">
        <v>117</v>
      </c>
      <c r="I1529" s="182"/>
      <c r="J1529" s="182"/>
    </row>
    <row r="1530" spans="1:10" ht="120" customHeight="1">
      <c r="A1530" s="359"/>
      <c r="B1530" s="247" t="s">
        <v>11922</v>
      </c>
      <c r="C1530" s="278" t="s">
        <v>4936</v>
      </c>
      <c r="D1530" s="24" t="s">
        <v>4937</v>
      </c>
      <c r="E1530" s="16" t="s">
        <v>4744</v>
      </c>
      <c r="F1530" s="16" t="s">
        <v>12609</v>
      </c>
      <c r="G1530" s="204" t="s">
        <v>4926</v>
      </c>
      <c r="H1530" s="182" t="s">
        <v>117</v>
      </c>
      <c r="I1530" s="182"/>
      <c r="J1530" s="182"/>
    </row>
    <row r="1531" spans="1:10" ht="120" customHeight="1">
      <c r="A1531" s="359"/>
      <c r="B1531" s="247" t="s">
        <v>11922</v>
      </c>
      <c r="C1531" s="278" t="s">
        <v>4938</v>
      </c>
      <c r="D1531" s="24" t="s">
        <v>4939</v>
      </c>
      <c r="E1531" s="16" t="s">
        <v>4744</v>
      </c>
      <c r="F1531" s="16" t="s">
        <v>12610</v>
      </c>
      <c r="G1531" s="204" t="s">
        <v>4940</v>
      </c>
      <c r="H1531" s="182" t="s">
        <v>117</v>
      </c>
      <c r="I1531" s="182"/>
      <c r="J1531" s="182"/>
    </row>
    <row r="1532" spans="1:10" ht="120" customHeight="1">
      <c r="A1532" s="359"/>
      <c r="B1532" s="247" t="s">
        <v>11922</v>
      </c>
      <c r="C1532" s="278" t="s">
        <v>4941</v>
      </c>
      <c r="D1532" s="24" t="s">
        <v>11924</v>
      </c>
      <c r="E1532" s="16" t="s">
        <v>4744</v>
      </c>
      <c r="F1532" s="16" t="s">
        <v>12611</v>
      </c>
      <c r="G1532" s="204" t="s">
        <v>4926</v>
      </c>
      <c r="H1532" s="182" t="s">
        <v>117</v>
      </c>
      <c r="I1532" s="182"/>
      <c r="J1532" s="182"/>
    </row>
    <row r="1533" spans="1:10" ht="120" customHeight="1">
      <c r="A1533" s="359"/>
      <c r="B1533" s="247" t="s">
        <v>11922</v>
      </c>
      <c r="C1533" s="278" t="s">
        <v>4942</v>
      </c>
      <c r="D1533" s="24" t="s">
        <v>4943</v>
      </c>
      <c r="E1533" s="16" t="s">
        <v>4744</v>
      </c>
      <c r="F1533" s="16" t="s">
        <v>12612</v>
      </c>
      <c r="G1533" s="204" t="s">
        <v>4926</v>
      </c>
      <c r="H1533" s="182" t="s">
        <v>117</v>
      </c>
      <c r="I1533" s="182"/>
      <c r="J1533" s="182"/>
    </row>
    <row r="1534" spans="1:10" ht="120" customHeight="1">
      <c r="A1534" s="359"/>
      <c r="B1534" s="247" t="s">
        <v>11922</v>
      </c>
      <c r="C1534" s="278" t="s">
        <v>4944</v>
      </c>
      <c r="D1534" s="24" t="s">
        <v>4945</v>
      </c>
      <c r="E1534" s="16" t="s">
        <v>4744</v>
      </c>
      <c r="F1534" s="16" t="s">
        <v>12613</v>
      </c>
      <c r="G1534" s="204" t="s">
        <v>4926</v>
      </c>
      <c r="H1534" s="182" t="s">
        <v>117</v>
      </c>
      <c r="I1534" s="182"/>
      <c r="J1534" s="182"/>
    </row>
    <row r="1535" spans="1:10" ht="120" customHeight="1">
      <c r="A1535" s="359"/>
      <c r="B1535" s="247" t="s">
        <v>11922</v>
      </c>
      <c r="C1535" s="278" t="s">
        <v>4946</v>
      </c>
      <c r="D1535" s="24" t="s">
        <v>4947</v>
      </c>
      <c r="E1535" s="16" t="s">
        <v>4744</v>
      </c>
      <c r="F1535" s="16" t="s">
        <v>12614</v>
      </c>
      <c r="G1535" s="204" t="s">
        <v>4926</v>
      </c>
      <c r="H1535" s="182" t="s">
        <v>117</v>
      </c>
      <c r="I1535" s="182"/>
      <c r="J1535" s="182"/>
    </row>
    <row r="1536" spans="1:10" ht="120" customHeight="1">
      <c r="A1536" s="359"/>
      <c r="B1536" s="247" t="s">
        <v>11922</v>
      </c>
      <c r="C1536" s="278" t="s">
        <v>4948</v>
      </c>
      <c r="D1536" s="223" t="s">
        <v>4949</v>
      </c>
      <c r="E1536" s="16" t="s">
        <v>4744</v>
      </c>
      <c r="F1536" s="16" t="s">
        <v>12615</v>
      </c>
      <c r="G1536" s="204" t="s">
        <v>4926</v>
      </c>
      <c r="H1536" s="182" t="s">
        <v>117</v>
      </c>
      <c r="I1536" s="182"/>
      <c r="J1536" s="182"/>
    </row>
    <row r="1537" spans="1:10" ht="120" customHeight="1">
      <c r="A1537" s="359"/>
      <c r="B1537" s="246" t="s">
        <v>11925</v>
      </c>
      <c r="C1537" s="349" t="s">
        <v>11926</v>
      </c>
      <c r="D1537" s="350" t="s">
        <v>4952</v>
      </c>
      <c r="E1537" s="351" t="s">
        <v>4744</v>
      </c>
      <c r="F1537" s="16" t="s">
        <v>12616</v>
      </c>
      <c r="G1537" s="204" t="s">
        <v>11927</v>
      </c>
      <c r="H1537" s="182" t="s">
        <v>233</v>
      </c>
      <c r="I1537" s="182"/>
      <c r="J1537" s="182"/>
    </row>
    <row r="1538" spans="1:10" ht="120" customHeight="1">
      <c r="A1538" s="359"/>
      <c r="B1538" s="246" t="s">
        <v>11925</v>
      </c>
      <c r="C1538" s="278" t="s">
        <v>11928</v>
      </c>
      <c r="D1538" s="228" t="s">
        <v>4956</v>
      </c>
      <c r="E1538" s="16" t="s">
        <v>4744</v>
      </c>
      <c r="F1538" s="16" t="s">
        <v>4957</v>
      </c>
      <c r="G1538" s="204" t="s">
        <v>4958</v>
      </c>
      <c r="H1538" s="182" t="s">
        <v>233</v>
      </c>
      <c r="I1538" s="182"/>
      <c r="J1538" s="182"/>
    </row>
    <row r="1539" spans="1:10" ht="120" customHeight="1">
      <c r="A1539" s="359"/>
      <c r="B1539" s="246" t="s">
        <v>11925</v>
      </c>
      <c r="C1539" s="278" t="s">
        <v>4959</v>
      </c>
      <c r="D1539" s="24" t="s">
        <v>4960</v>
      </c>
      <c r="E1539" s="16" t="s">
        <v>4744</v>
      </c>
      <c r="F1539" s="16" t="s">
        <v>4961</v>
      </c>
      <c r="G1539" s="204" t="s">
        <v>4954</v>
      </c>
      <c r="H1539" s="182" t="s">
        <v>184</v>
      </c>
      <c r="I1539" s="182"/>
      <c r="J1539" s="182"/>
    </row>
    <row r="1540" spans="1:10" ht="120" customHeight="1">
      <c r="A1540" s="359"/>
      <c r="B1540" s="246" t="s">
        <v>11925</v>
      </c>
      <c r="C1540" s="278" t="s">
        <v>11929</v>
      </c>
      <c r="D1540" s="24" t="s">
        <v>4962</v>
      </c>
      <c r="E1540" s="16" t="s">
        <v>4744</v>
      </c>
      <c r="F1540" s="16" t="s">
        <v>4963</v>
      </c>
      <c r="G1540" s="204" t="s">
        <v>4958</v>
      </c>
      <c r="H1540" s="182" t="s">
        <v>184</v>
      </c>
      <c r="I1540" s="182"/>
      <c r="J1540" s="182"/>
    </row>
    <row r="1541" spans="1:10" ht="120" customHeight="1">
      <c r="A1541" s="359"/>
      <c r="B1541" s="246" t="s">
        <v>11925</v>
      </c>
      <c r="C1541" s="278" t="s">
        <v>4964</v>
      </c>
      <c r="D1541" s="24" t="s">
        <v>4965</v>
      </c>
      <c r="E1541" s="16" t="s">
        <v>4744</v>
      </c>
      <c r="F1541" s="16" t="s">
        <v>4966</v>
      </c>
      <c r="G1541" s="204" t="s">
        <v>4954</v>
      </c>
      <c r="H1541" s="182" t="s">
        <v>117</v>
      </c>
      <c r="I1541" s="182"/>
      <c r="J1541" s="182"/>
    </row>
    <row r="1542" spans="1:10" ht="120" customHeight="1">
      <c r="A1542" s="359"/>
      <c r="B1542" s="246" t="s">
        <v>11925</v>
      </c>
      <c r="C1542" s="278" t="s">
        <v>4967</v>
      </c>
      <c r="D1542" s="24" t="s">
        <v>4968</v>
      </c>
      <c r="E1542" s="16" t="s">
        <v>4744</v>
      </c>
      <c r="F1542" s="16" t="s">
        <v>4969</v>
      </c>
      <c r="G1542" s="204" t="s">
        <v>4958</v>
      </c>
      <c r="H1542" s="182" t="s">
        <v>117</v>
      </c>
      <c r="I1542" s="182"/>
      <c r="J1542" s="182"/>
    </row>
    <row r="1543" spans="1:10" ht="120" customHeight="1">
      <c r="A1543" s="359"/>
      <c r="B1543" s="246" t="s">
        <v>11925</v>
      </c>
      <c r="C1543" s="278" t="s">
        <v>4970</v>
      </c>
      <c r="D1543" s="24" t="s">
        <v>4971</v>
      </c>
      <c r="E1543" s="16" t="s">
        <v>4744</v>
      </c>
      <c r="F1543" s="16" t="s">
        <v>4972</v>
      </c>
      <c r="G1543" s="204" t="s">
        <v>4954</v>
      </c>
      <c r="H1543" s="182" t="s">
        <v>117</v>
      </c>
      <c r="I1543" s="182"/>
      <c r="J1543" s="182"/>
    </row>
    <row r="1544" spans="1:10" ht="120" customHeight="1">
      <c r="A1544" s="359"/>
      <c r="B1544" s="246" t="s">
        <v>11925</v>
      </c>
      <c r="C1544" s="278" t="s">
        <v>4973</v>
      </c>
      <c r="D1544" s="24" t="s">
        <v>4974</v>
      </c>
      <c r="E1544" s="16" t="s">
        <v>4744</v>
      </c>
      <c r="F1544" s="16" t="s">
        <v>4975</v>
      </c>
      <c r="G1544" s="204" t="s">
        <v>4958</v>
      </c>
      <c r="H1544" s="182" t="s">
        <v>117</v>
      </c>
      <c r="I1544" s="182"/>
      <c r="J1544" s="182"/>
    </row>
    <row r="1545" spans="1:10" ht="120" customHeight="1">
      <c r="A1545" s="359"/>
      <c r="B1545" s="246" t="s">
        <v>11925</v>
      </c>
      <c r="C1545" s="278" t="s">
        <v>4976</v>
      </c>
      <c r="D1545" s="24" t="s">
        <v>4977</v>
      </c>
      <c r="E1545" s="16" t="s">
        <v>4744</v>
      </c>
      <c r="F1545" s="16" t="s">
        <v>4978</v>
      </c>
      <c r="G1545" s="204" t="s">
        <v>4954</v>
      </c>
      <c r="H1545" s="182" t="s">
        <v>117</v>
      </c>
      <c r="I1545" s="182"/>
      <c r="J1545" s="182"/>
    </row>
    <row r="1546" spans="1:10" ht="120" customHeight="1">
      <c r="A1546" s="359"/>
      <c r="B1546" s="246" t="s">
        <v>11925</v>
      </c>
      <c r="C1546" s="278" t="s">
        <v>11930</v>
      </c>
      <c r="D1546" s="24" t="s">
        <v>4979</v>
      </c>
      <c r="E1546" s="16" t="s">
        <v>4744</v>
      </c>
      <c r="F1546" s="16" t="s">
        <v>4980</v>
      </c>
      <c r="G1546" s="204" t="s">
        <v>4958</v>
      </c>
      <c r="H1546" s="182" t="s">
        <v>117</v>
      </c>
      <c r="I1546" s="182"/>
      <c r="J1546" s="182"/>
    </row>
    <row r="1547" spans="1:10" ht="120" customHeight="1">
      <c r="A1547" s="359"/>
      <c r="B1547" s="246" t="s">
        <v>11925</v>
      </c>
      <c r="C1547" s="278" t="s">
        <v>11931</v>
      </c>
      <c r="D1547" s="24" t="s">
        <v>4981</v>
      </c>
      <c r="E1547" s="16" t="s">
        <v>4744</v>
      </c>
      <c r="F1547" s="16" t="s">
        <v>4982</v>
      </c>
      <c r="G1547" s="204" t="s">
        <v>4954</v>
      </c>
      <c r="H1547" s="182" t="s">
        <v>117</v>
      </c>
      <c r="I1547" s="182"/>
      <c r="J1547" s="182"/>
    </row>
    <row r="1548" spans="1:10" ht="120" customHeight="1">
      <c r="A1548" s="359"/>
      <c r="B1548" s="246" t="s">
        <v>11925</v>
      </c>
      <c r="C1548" s="278" t="s">
        <v>4983</v>
      </c>
      <c r="D1548" s="24" t="s">
        <v>4984</v>
      </c>
      <c r="E1548" s="16" t="s">
        <v>4744</v>
      </c>
      <c r="F1548" s="16" t="s">
        <v>4985</v>
      </c>
      <c r="G1548" s="204" t="s">
        <v>4958</v>
      </c>
      <c r="H1548" s="182" t="s">
        <v>117</v>
      </c>
      <c r="I1548" s="182"/>
      <c r="J1548" s="182"/>
    </row>
    <row r="1549" spans="1:10" ht="120" customHeight="1">
      <c r="A1549" s="359"/>
      <c r="B1549" s="246" t="s">
        <v>11925</v>
      </c>
      <c r="C1549" s="278" t="s">
        <v>4986</v>
      </c>
      <c r="D1549" s="24" t="s">
        <v>4987</v>
      </c>
      <c r="E1549" s="16" t="s">
        <v>4744</v>
      </c>
      <c r="F1549" s="24" t="s">
        <v>4988</v>
      </c>
      <c r="G1549" s="207" t="s">
        <v>4954</v>
      </c>
      <c r="H1549" s="182" t="s">
        <v>117</v>
      </c>
      <c r="I1549" s="182"/>
      <c r="J1549" s="182"/>
    </row>
    <row r="1550" spans="1:10" ht="120" customHeight="1">
      <c r="A1550" s="359"/>
      <c r="B1550" s="246" t="s">
        <v>11925</v>
      </c>
      <c r="C1550" s="278" t="s">
        <v>4989</v>
      </c>
      <c r="D1550" s="24" t="s">
        <v>4990</v>
      </c>
      <c r="E1550" s="16" t="s">
        <v>4744</v>
      </c>
      <c r="F1550" s="16" t="s">
        <v>4991</v>
      </c>
      <c r="G1550" s="204" t="s">
        <v>4958</v>
      </c>
      <c r="H1550" s="182" t="s">
        <v>117</v>
      </c>
      <c r="I1550" s="182"/>
      <c r="J1550" s="182"/>
    </row>
    <row r="1551" spans="1:10" ht="120" customHeight="1">
      <c r="A1551" s="359"/>
      <c r="B1551" s="246" t="s">
        <v>11925</v>
      </c>
      <c r="C1551" s="278" t="s">
        <v>4992</v>
      </c>
      <c r="D1551" s="24" t="s">
        <v>4993</v>
      </c>
      <c r="E1551" s="16" t="s">
        <v>4744</v>
      </c>
      <c r="F1551" s="16" t="s">
        <v>11932</v>
      </c>
      <c r="G1551" s="204" t="s">
        <v>4954</v>
      </c>
      <c r="H1551" s="182" t="s">
        <v>117</v>
      </c>
      <c r="I1551" s="182"/>
      <c r="J1551" s="182"/>
    </row>
    <row r="1552" spans="1:10" ht="120" customHeight="1">
      <c r="A1552" s="359"/>
      <c r="B1552" s="246" t="s">
        <v>11925</v>
      </c>
      <c r="C1552" s="278" t="s">
        <v>4994</v>
      </c>
      <c r="D1552" s="24" t="s">
        <v>4995</v>
      </c>
      <c r="E1552" s="16" t="s">
        <v>4744</v>
      </c>
      <c r="F1552" s="16" t="s">
        <v>4996</v>
      </c>
      <c r="G1552" s="204" t="s">
        <v>4958</v>
      </c>
      <c r="H1552" s="182" t="s">
        <v>117</v>
      </c>
      <c r="I1552" s="182"/>
      <c r="J1552" s="182"/>
    </row>
    <row r="1553" spans="1:10" ht="120" customHeight="1">
      <c r="A1553" s="359"/>
      <c r="B1553" s="247" t="s">
        <v>11933</v>
      </c>
      <c r="C1553" s="278" t="s">
        <v>4998</v>
      </c>
      <c r="D1553" s="24" t="s">
        <v>4999</v>
      </c>
      <c r="E1553" s="16" t="s">
        <v>4744</v>
      </c>
      <c r="F1553" s="16" t="s">
        <v>11934</v>
      </c>
      <c r="G1553" s="204" t="s">
        <v>11935</v>
      </c>
      <c r="H1553" s="182" t="s">
        <v>233</v>
      </c>
      <c r="I1553" s="182"/>
      <c r="J1553" s="182"/>
    </row>
    <row r="1554" spans="1:10" ht="120" customHeight="1">
      <c r="A1554" s="359"/>
      <c r="B1554" s="247" t="s">
        <v>11933</v>
      </c>
      <c r="C1554" s="278" t="s">
        <v>5002</v>
      </c>
      <c r="D1554" s="24" t="s">
        <v>5003</v>
      </c>
      <c r="E1554" s="16" t="s">
        <v>4744</v>
      </c>
      <c r="F1554" s="16" t="s">
        <v>5004</v>
      </c>
      <c r="G1554" s="204" t="s">
        <v>5001</v>
      </c>
      <c r="H1554" s="182" t="s">
        <v>184</v>
      </c>
      <c r="I1554" s="182"/>
      <c r="J1554" s="182"/>
    </row>
    <row r="1555" spans="1:10" ht="120" customHeight="1">
      <c r="A1555" s="359"/>
      <c r="B1555" s="247" t="s">
        <v>11933</v>
      </c>
      <c r="C1555" s="278" t="s">
        <v>5005</v>
      </c>
      <c r="D1555" s="24" t="s">
        <v>5006</v>
      </c>
      <c r="E1555" s="16" t="s">
        <v>4744</v>
      </c>
      <c r="F1555" s="16" t="s">
        <v>5007</v>
      </c>
      <c r="G1555" s="204" t="s">
        <v>5001</v>
      </c>
      <c r="H1555" s="182" t="s">
        <v>117</v>
      </c>
      <c r="I1555" s="182"/>
      <c r="J1555" s="182"/>
    </row>
    <row r="1556" spans="1:10" ht="120" customHeight="1">
      <c r="A1556" s="359"/>
      <c r="B1556" s="247" t="s">
        <v>11933</v>
      </c>
      <c r="C1556" s="278" t="s">
        <v>5008</v>
      </c>
      <c r="D1556" s="24" t="s">
        <v>5009</v>
      </c>
      <c r="E1556" s="16" t="s">
        <v>4744</v>
      </c>
      <c r="F1556" s="16" t="s">
        <v>5010</v>
      </c>
      <c r="G1556" s="204" t="s">
        <v>5001</v>
      </c>
      <c r="H1556" s="182" t="s">
        <v>117</v>
      </c>
      <c r="I1556" s="182"/>
      <c r="J1556" s="182"/>
    </row>
    <row r="1557" spans="1:10" ht="120" customHeight="1">
      <c r="A1557" s="359"/>
      <c r="B1557" s="342" t="s">
        <v>11933</v>
      </c>
      <c r="C1557" s="278" t="s">
        <v>5011</v>
      </c>
      <c r="D1557" s="278" t="s">
        <v>5012</v>
      </c>
      <c r="E1557" s="278" t="s">
        <v>4744</v>
      </c>
      <c r="F1557" s="222" t="s">
        <v>5013</v>
      </c>
      <c r="G1557" s="249" t="s">
        <v>5001</v>
      </c>
      <c r="H1557" s="337" t="s">
        <v>117</v>
      </c>
      <c r="I1557" s="182"/>
      <c r="J1557" s="182"/>
    </row>
    <row r="1558" spans="1:10" ht="120" customHeight="1">
      <c r="A1558" s="359"/>
      <c r="B1558" s="342" t="s">
        <v>11933</v>
      </c>
      <c r="C1558" s="278" t="s">
        <v>5014</v>
      </c>
      <c r="D1558" s="278" t="s">
        <v>5015</v>
      </c>
      <c r="E1558" s="278" t="s">
        <v>4744</v>
      </c>
      <c r="F1558" s="222" t="s">
        <v>5016</v>
      </c>
      <c r="G1558" s="249" t="s">
        <v>5001</v>
      </c>
      <c r="H1558" s="337" t="s">
        <v>117</v>
      </c>
      <c r="I1558" s="182"/>
      <c r="J1558" s="182"/>
    </row>
    <row r="1559" spans="1:10" ht="120" customHeight="1">
      <c r="A1559" s="359"/>
      <c r="B1559" s="342" t="s">
        <v>11933</v>
      </c>
      <c r="C1559" s="278" t="s">
        <v>5017</v>
      </c>
      <c r="D1559" s="278" t="s">
        <v>5018</v>
      </c>
      <c r="E1559" s="278" t="s">
        <v>4744</v>
      </c>
      <c r="F1559" s="222" t="s">
        <v>5019</v>
      </c>
      <c r="G1559" s="249" t="s">
        <v>5001</v>
      </c>
      <c r="H1559" s="337" t="s">
        <v>117</v>
      </c>
      <c r="I1559" s="182"/>
      <c r="J1559" s="182"/>
    </row>
    <row r="1560" spans="1:10" ht="120" customHeight="1">
      <c r="A1560" s="359"/>
      <c r="B1560" s="342" t="s">
        <v>11933</v>
      </c>
      <c r="C1560" s="278" t="s">
        <v>5020</v>
      </c>
      <c r="D1560" s="278" t="s">
        <v>5021</v>
      </c>
      <c r="E1560" s="278" t="s">
        <v>4744</v>
      </c>
      <c r="F1560" s="222" t="s">
        <v>5022</v>
      </c>
      <c r="G1560" s="249" t="s">
        <v>5001</v>
      </c>
      <c r="H1560" s="337" t="s">
        <v>117</v>
      </c>
      <c r="I1560" s="182"/>
      <c r="J1560" s="182"/>
    </row>
    <row r="1561" spans="1:10" ht="120" customHeight="1">
      <c r="A1561" s="359"/>
      <c r="B1561" s="342" t="s">
        <v>11933</v>
      </c>
      <c r="C1561" s="278" t="s">
        <v>5023</v>
      </c>
      <c r="D1561" s="278" t="s">
        <v>5024</v>
      </c>
      <c r="E1561" s="278" t="s">
        <v>4744</v>
      </c>
      <c r="F1561" s="222" t="s">
        <v>5025</v>
      </c>
      <c r="G1561" s="249" t="s">
        <v>5001</v>
      </c>
      <c r="H1561" s="337" t="s">
        <v>117</v>
      </c>
      <c r="I1561" s="182"/>
      <c r="J1561" s="182"/>
    </row>
    <row r="1562" spans="1:10" ht="120" customHeight="1">
      <c r="A1562" s="359"/>
      <c r="B1562" s="342" t="s">
        <v>11933</v>
      </c>
      <c r="C1562" s="278" t="s">
        <v>5026</v>
      </c>
      <c r="D1562" s="278" t="s">
        <v>5027</v>
      </c>
      <c r="E1562" s="278" t="s">
        <v>4744</v>
      </c>
      <c r="F1562" s="222" t="s">
        <v>5028</v>
      </c>
      <c r="G1562" s="249" t="s">
        <v>5001</v>
      </c>
      <c r="H1562" s="337" t="s">
        <v>117</v>
      </c>
      <c r="I1562" s="182"/>
      <c r="J1562" s="182"/>
    </row>
    <row r="1563" spans="1:10" ht="120" customHeight="1">
      <c r="A1563" s="359"/>
      <c r="B1563" s="247" t="s">
        <v>11933</v>
      </c>
      <c r="C1563" s="278" t="s">
        <v>11936</v>
      </c>
      <c r="D1563" s="24" t="s">
        <v>5029</v>
      </c>
      <c r="E1563" s="24" t="s">
        <v>4744</v>
      </c>
      <c r="F1563" s="16" t="s">
        <v>5030</v>
      </c>
      <c r="G1563" s="204" t="s">
        <v>5001</v>
      </c>
      <c r="H1563" s="182" t="s">
        <v>117</v>
      </c>
      <c r="I1563" s="182"/>
      <c r="J1563" s="182"/>
    </row>
    <row r="1564" spans="1:10" ht="120" customHeight="1">
      <c r="A1564" s="359"/>
      <c r="B1564" s="348" t="s">
        <v>11933</v>
      </c>
      <c r="C1564" s="275" t="s">
        <v>5031</v>
      </c>
      <c r="D1564" s="223" t="s">
        <v>5032</v>
      </c>
      <c r="E1564" s="223" t="s">
        <v>4744</v>
      </c>
      <c r="F1564" s="319" t="s">
        <v>5033</v>
      </c>
      <c r="G1564" s="320" t="s">
        <v>5001</v>
      </c>
      <c r="H1564" s="296" t="s">
        <v>117</v>
      </c>
      <c r="I1564" s="182"/>
      <c r="J1564" s="182"/>
    </row>
    <row r="1565" spans="1:10" ht="120" customHeight="1">
      <c r="A1565" s="366"/>
      <c r="B1565" s="247" t="s">
        <v>11933</v>
      </c>
      <c r="C1565" s="24" t="s">
        <v>11937</v>
      </c>
      <c r="D1565" s="24" t="s">
        <v>11938</v>
      </c>
      <c r="E1565" s="24" t="s">
        <v>4744</v>
      </c>
      <c r="F1565" s="16" t="s">
        <v>11939</v>
      </c>
      <c r="G1565" s="204" t="s">
        <v>11940</v>
      </c>
      <c r="H1565" s="182" t="s">
        <v>86</v>
      </c>
      <c r="I1565" s="341"/>
      <c r="J1565" s="182"/>
    </row>
    <row r="1566" spans="1:10" ht="120" customHeight="1">
      <c r="A1566" s="359"/>
      <c r="B1566" s="343" t="s">
        <v>11933</v>
      </c>
      <c r="C1566" s="344" t="s">
        <v>5034</v>
      </c>
      <c r="D1566" s="228" t="s">
        <v>5035</v>
      </c>
      <c r="E1566" s="12" t="s">
        <v>4744</v>
      </c>
      <c r="F1566" s="12" t="s">
        <v>5036</v>
      </c>
      <c r="G1566" s="345" t="s">
        <v>5037</v>
      </c>
      <c r="H1566" s="299" t="s">
        <v>184</v>
      </c>
      <c r="I1566" s="182"/>
      <c r="J1566" s="182"/>
    </row>
    <row r="1567" spans="1:10" ht="120" customHeight="1">
      <c r="A1567" s="359"/>
      <c r="B1567" s="247" t="s">
        <v>11933</v>
      </c>
      <c r="C1567" s="278" t="s">
        <v>5038</v>
      </c>
      <c r="D1567" s="24" t="s">
        <v>5039</v>
      </c>
      <c r="E1567" s="16" t="s">
        <v>4744</v>
      </c>
      <c r="F1567" s="16" t="s">
        <v>5040</v>
      </c>
      <c r="G1567" s="204" t="s">
        <v>5041</v>
      </c>
      <c r="H1567" s="182" t="s">
        <v>117</v>
      </c>
      <c r="I1567" s="182"/>
      <c r="J1567" s="182"/>
    </row>
    <row r="1568" spans="1:10" ht="120" customHeight="1">
      <c r="A1568" s="359"/>
      <c r="B1568" s="247" t="s">
        <v>11933</v>
      </c>
      <c r="C1568" s="278" t="s">
        <v>5042</v>
      </c>
      <c r="D1568" s="24" t="s">
        <v>5043</v>
      </c>
      <c r="E1568" s="16" t="s">
        <v>4744</v>
      </c>
      <c r="F1568" s="16" t="s">
        <v>5044</v>
      </c>
      <c r="G1568" s="204" t="s">
        <v>5045</v>
      </c>
      <c r="H1568" s="182" t="s">
        <v>117</v>
      </c>
      <c r="I1568" s="182"/>
      <c r="J1568" s="182"/>
    </row>
    <row r="1569" spans="1:10" ht="120" customHeight="1">
      <c r="A1569" s="359"/>
      <c r="B1569" s="247" t="s">
        <v>11933</v>
      </c>
      <c r="C1569" s="278" t="s">
        <v>5046</v>
      </c>
      <c r="D1569" s="24" t="s">
        <v>5047</v>
      </c>
      <c r="E1569" s="16" t="s">
        <v>5048</v>
      </c>
      <c r="F1569" s="16" t="s">
        <v>5049</v>
      </c>
      <c r="G1569" s="204" t="s">
        <v>5050</v>
      </c>
      <c r="H1569" s="182" t="s">
        <v>117</v>
      </c>
      <c r="I1569" s="182"/>
      <c r="J1569" s="182"/>
    </row>
    <row r="1570" spans="1:10" ht="120" customHeight="1">
      <c r="A1570" s="359"/>
      <c r="B1570" s="247" t="s">
        <v>11933</v>
      </c>
      <c r="C1570" s="278" t="s">
        <v>5051</v>
      </c>
      <c r="D1570" s="24" t="s">
        <v>5052</v>
      </c>
      <c r="E1570" s="16" t="s">
        <v>4744</v>
      </c>
      <c r="F1570" s="16" t="s">
        <v>5053</v>
      </c>
      <c r="G1570" s="204" t="s">
        <v>5054</v>
      </c>
      <c r="H1570" s="182" t="s">
        <v>117</v>
      </c>
      <c r="I1570" s="182"/>
      <c r="J1570" s="182"/>
    </row>
    <row r="1571" spans="1:10" ht="120" customHeight="1">
      <c r="A1571" s="359"/>
      <c r="B1571" s="246" t="s">
        <v>11941</v>
      </c>
      <c r="C1571" s="278" t="s">
        <v>11942</v>
      </c>
      <c r="D1571" s="24" t="s">
        <v>5055</v>
      </c>
      <c r="E1571" s="16" t="s">
        <v>4744</v>
      </c>
      <c r="F1571" s="16" t="s">
        <v>5056</v>
      </c>
      <c r="G1571" s="204" t="s">
        <v>5057</v>
      </c>
      <c r="H1571" s="182" t="s">
        <v>184</v>
      </c>
      <c r="I1571" s="182"/>
      <c r="J1571" s="182"/>
    </row>
    <row r="1572" spans="1:10" ht="120" customHeight="1">
      <c r="A1572" s="359"/>
      <c r="B1572" s="246" t="s">
        <v>11941</v>
      </c>
      <c r="C1572" s="278" t="s">
        <v>5058</v>
      </c>
      <c r="D1572" s="24" t="s">
        <v>5059</v>
      </c>
      <c r="E1572" s="16" t="s">
        <v>4744</v>
      </c>
      <c r="F1572" s="16" t="s">
        <v>5060</v>
      </c>
      <c r="G1572" s="204" t="s">
        <v>5061</v>
      </c>
      <c r="H1572" s="182" t="s">
        <v>117</v>
      </c>
      <c r="I1572" s="182"/>
      <c r="J1572" s="182"/>
    </row>
    <row r="1573" spans="1:10" ht="120" customHeight="1">
      <c r="A1573" s="359"/>
      <c r="B1573" s="246" t="s">
        <v>11941</v>
      </c>
      <c r="C1573" s="278" t="s">
        <v>5062</v>
      </c>
      <c r="D1573" s="24" t="s">
        <v>5063</v>
      </c>
      <c r="E1573" s="16" t="s">
        <v>4744</v>
      </c>
      <c r="F1573" s="16" t="s">
        <v>5064</v>
      </c>
      <c r="G1573" s="204" t="s">
        <v>5065</v>
      </c>
      <c r="H1573" s="182" t="s">
        <v>117</v>
      </c>
      <c r="I1573" s="182"/>
      <c r="J1573" s="182"/>
    </row>
    <row r="1574" spans="1:10" ht="120" customHeight="1">
      <c r="A1574" s="360"/>
      <c r="B1574" s="246" t="s">
        <v>11941</v>
      </c>
      <c r="C1574" s="278" t="s">
        <v>11943</v>
      </c>
      <c r="D1574" s="24" t="s">
        <v>11944</v>
      </c>
      <c r="E1574" s="16" t="s">
        <v>4744</v>
      </c>
      <c r="F1574" s="16" t="s">
        <v>5066</v>
      </c>
      <c r="G1574" s="204" t="s">
        <v>5065</v>
      </c>
      <c r="H1574" s="182" t="s">
        <v>117</v>
      </c>
      <c r="I1574" s="182"/>
      <c r="J1574" s="182"/>
    </row>
    <row r="1575" spans="1:10" ht="120" customHeight="1">
      <c r="A1575" s="361" t="s">
        <v>11945</v>
      </c>
      <c r="B1575" s="247" t="s">
        <v>11946</v>
      </c>
      <c r="C1575" s="278" t="s">
        <v>11947</v>
      </c>
      <c r="D1575" s="24" t="s">
        <v>5069</v>
      </c>
      <c r="E1575" s="16" t="s">
        <v>5070</v>
      </c>
      <c r="F1575" s="16" t="s">
        <v>12617</v>
      </c>
      <c r="G1575" s="204" t="s">
        <v>12618</v>
      </c>
      <c r="H1575" s="182" t="s">
        <v>233</v>
      </c>
      <c r="I1575" s="182"/>
      <c r="J1575" s="182"/>
    </row>
    <row r="1576" spans="1:10" ht="120" customHeight="1">
      <c r="A1576" s="362"/>
      <c r="B1576" s="247" t="s">
        <v>11946</v>
      </c>
      <c r="C1576" s="278" t="s">
        <v>11948</v>
      </c>
      <c r="D1576" s="24" t="s">
        <v>5073</v>
      </c>
      <c r="E1576" s="16" t="s">
        <v>5070</v>
      </c>
      <c r="F1576" s="16" t="s">
        <v>12619</v>
      </c>
      <c r="G1576" s="204" t="s">
        <v>11951</v>
      </c>
      <c r="H1576" s="182" t="s">
        <v>184</v>
      </c>
      <c r="I1576" s="182"/>
      <c r="J1576" s="182"/>
    </row>
    <row r="1577" spans="1:10" ht="120" customHeight="1">
      <c r="A1577" s="362"/>
      <c r="B1577" s="247" t="s">
        <v>11946</v>
      </c>
      <c r="C1577" s="278" t="s">
        <v>5074</v>
      </c>
      <c r="D1577" s="24" t="s">
        <v>5075</v>
      </c>
      <c r="E1577" s="16" t="s">
        <v>5070</v>
      </c>
      <c r="F1577" s="16" t="s">
        <v>12620</v>
      </c>
      <c r="G1577" s="204" t="s">
        <v>11951</v>
      </c>
      <c r="H1577" s="182" t="s">
        <v>24</v>
      </c>
      <c r="I1577" s="182"/>
      <c r="J1577" s="182"/>
    </row>
    <row r="1578" spans="1:10" ht="120" customHeight="1">
      <c r="A1578" s="362"/>
      <c r="B1578" s="247" t="s">
        <v>11946</v>
      </c>
      <c r="C1578" s="278" t="s">
        <v>5076</v>
      </c>
      <c r="D1578" s="24" t="s">
        <v>5077</v>
      </c>
      <c r="E1578" s="16" t="s">
        <v>5070</v>
      </c>
      <c r="F1578" s="16" t="s">
        <v>12621</v>
      </c>
      <c r="G1578" s="204" t="s">
        <v>11951</v>
      </c>
      <c r="H1578" s="182" t="s">
        <v>24</v>
      </c>
      <c r="I1578" s="182"/>
      <c r="J1578" s="182"/>
    </row>
    <row r="1579" spans="1:10" ht="120" customHeight="1">
      <c r="A1579" s="362"/>
      <c r="B1579" s="247" t="s">
        <v>11946</v>
      </c>
      <c r="C1579" s="278" t="s">
        <v>11949</v>
      </c>
      <c r="D1579" s="24" t="s">
        <v>5078</v>
      </c>
      <c r="E1579" s="16" t="s">
        <v>5070</v>
      </c>
      <c r="F1579" s="16" t="s">
        <v>5079</v>
      </c>
      <c r="G1579" s="204" t="s">
        <v>5080</v>
      </c>
      <c r="H1579" s="182" t="s">
        <v>24</v>
      </c>
      <c r="I1579" s="182"/>
      <c r="J1579" s="182"/>
    </row>
    <row r="1580" spans="1:10" ht="120" customHeight="1">
      <c r="A1580" s="362"/>
      <c r="B1580" s="247" t="s">
        <v>11946</v>
      </c>
      <c r="C1580" s="278" t="s">
        <v>11950</v>
      </c>
      <c r="D1580" s="24" t="s">
        <v>5081</v>
      </c>
      <c r="E1580" s="16" t="s">
        <v>5070</v>
      </c>
      <c r="F1580" s="16" t="s">
        <v>12622</v>
      </c>
      <c r="G1580" s="204" t="s">
        <v>11951</v>
      </c>
      <c r="H1580" s="182" t="s">
        <v>24</v>
      </c>
      <c r="I1580" s="182"/>
      <c r="J1580" s="182"/>
    </row>
    <row r="1581" spans="1:10" ht="120" customHeight="1">
      <c r="A1581" s="362"/>
      <c r="B1581" s="247" t="s">
        <v>11946</v>
      </c>
      <c r="C1581" s="278" t="s">
        <v>5082</v>
      </c>
      <c r="D1581" s="24" t="s">
        <v>5083</v>
      </c>
      <c r="E1581" s="16" t="s">
        <v>11960</v>
      </c>
      <c r="F1581" s="16" t="s">
        <v>5084</v>
      </c>
      <c r="G1581" s="204" t="s">
        <v>11951</v>
      </c>
      <c r="H1581" s="182" t="s">
        <v>184</v>
      </c>
      <c r="I1581" s="182"/>
      <c r="J1581" s="182"/>
    </row>
    <row r="1582" spans="1:10" ht="120" customHeight="1">
      <c r="A1582" s="362"/>
      <c r="B1582" s="247" t="s">
        <v>11946</v>
      </c>
      <c r="C1582" s="278" t="s">
        <v>11952</v>
      </c>
      <c r="D1582" s="24" t="s">
        <v>5085</v>
      </c>
      <c r="E1582" s="16" t="s">
        <v>11960</v>
      </c>
      <c r="F1582" s="16" t="s">
        <v>12623</v>
      </c>
      <c r="G1582" s="204" t="s">
        <v>12624</v>
      </c>
      <c r="H1582" s="182" t="s">
        <v>24</v>
      </c>
      <c r="I1582" s="182"/>
      <c r="J1582" s="182"/>
    </row>
    <row r="1583" spans="1:10" ht="120" customHeight="1">
      <c r="A1583" s="362"/>
      <c r="B1583" s="247" t="s">
        <v>11946</v>
      </c>
      <c r="C1583" s="278" t="s">
        <v>11953</v>
      </c>
      <c r="D1583" s="24" t="s">
        <v>5086</v>
      </c>
      <c r="E1583" s="16" t="s">
        <v>11960</v>
      </c>
      <c r="F1583" s="16" t="s">
        <v>12625</v>
      </c>
      <c r="G1583" s="204" t="s">
        <v>5072</v>
      </c>
      <c r="H1583" s="182" t="s">
        <v>24</v>
      </c>
      <c r="I1583" s="182"/>
      <c r="J1583" s="182"/>
    </row>
    <row r="1584" spans="1:10" ht="120" customHeight="1">
      <c r="A1584" s="362"/>
      <c r="B1584" s="247" t="s">
        <v>11946</v>
      </c>
      <c r="C1584" s="278" t="s">
        <v>11954</v>
      </c>
      <c r="D1584" s="24" t="s">
        <v>12626</v>
      </c>
      <c r="E1584" s="16" t="s">
        <v>11960</v>
      </c>
      <c r="F1584" s="16" t="s">
        <v>12627</v>
      </c>
      <c r="G1584" s="204" t="s">
        <v>5072</v>
      </c>
      <c r="H1584" s="182" t="s">
        <v>24</v>
      </c>
      <c r="I1584" s="182"/>
      <c r="J1584" s="182"/>
    </row>
    <row r="1585" spans="1:10" ht="120" customHeight="1">
      <c r="A1585" s="362"/>
      <c r="B1585" s="247" t="s">
        <v>11946</v>
      </c>
      <c r="C1585" s="278" t="s">
        <v>5087</v>
      </c>
      <c r="D1585" s="24" t="s">
        <v>12628</v>
      </c>
      <c r="E1585" s="16" t="s">
        <v>11960</v>
      </c>
      <c r="F1585" s="16" t="s">
        <v>12629</v>
      </c>
      <c r="G1585" s="204" t="s">
        <v>11955</v>
      </c>
      <c r="H1585" s="182" t="s">
        <v>24</v>
      </c>
      <c r="I1585" s="182"/>
      <c r="J1585" s="182"/>
    </row>
    <row r="1586" spans="1:10" ht="120" customHeight="1">
      <c r="A1586" s="362"/>
      <c r="B1586" s="247" t="s">
        <v>11946</v>
      </c>
      <c r="C1586" s="278" t="s">
        <v>11956</v>
      </c>
      <c r="D1586" s="24" t="s">
        <v>5088</v>
      </c>
      <c r="E1586" s="16" t="s">
        <v>11960</v>
      </c>
      <c r="F1586" s="16" t="s">
        <v>12630</v>
      </c>
      <c r="G1586" s="204" t="s">
        <v>12631</v>
      </c>
      <c r="H1586" s="182" t="s">
        <v>184</v>
      </c>
      <c r="I1586" s="182"/>
      <c r="J1586" s="182"/>
    </row>
    <row r="1587" spans="1:10" ht="120" customHeight="1">
      <c r="A1587" s="362"/>
      <c r="B1587" s="247" t="s">
        <v>11946</v>
      </c>
      <c r="C1587" s="278" t="s">
        <v>11957</v>
      </c>
      <c r="D1587" s="24" t="s">
        <v>5089</v>
      </c>
      <c r="E1587" s="16" t="s">
        <v>11960</v>
      </c>
      <c r="F1587" s="16" t="s">
        <v>12632</v>
      </c>
      <c r="G1587" s="204" t="s">
        <v>12633</v>
      </c>
      <c r="H1587" s="182" t="s">
        <v>24</v>
      </c>
      <c r="I1587" s="182"/>
      <c r="J1587" s="182"/>
    </row>
    <row r="1588" spans="1:10" ht="120" customHeight="1">
      <c r="A1588" s="362"/>
      <c r="B1588" s="247" t="s">
        <v>11946</v>
      </c>
      <c r="C1588" s="278" t="s">
        <v>5090</v>
      </c>
      <c r="D1588" s="24" t="s">
        <v>5091</v>
      </c>
      <c r="E1588" s="16" t="s">
        <v>11960</v>
      </c>
      <c r="F1588" s="16" t="s">
        <v>5092</v>
      </c>
      <c r="G1588" s="204" t="s">
        <v>5093</v>
      </c>
      <c r="H1588" s="182" t="s">
        <v>24</v>
      </c>
      <c r="I1588" s="182"/>
      <c r="J1588" s="182"/>
    </row>
    <row r="1589" spans="1:10" ht="120" customHeight="1">
      <c r="A1589" s="362"/>
      <c r="B1589" s="247" t="s">
        <v>11946</v>
      </c>
      <c r="C1589" s="278" t="s">
        <v>5094</v>
      </c>
      <c r="D1589" s="24" t="s">
        <v>5095</v>
      </c>
      <c r="E1589" s="16" t="s">
        <v>11960</v>
      </c>
      <c r="F1589" s="16" t="s">
        <v>12634</v>
      </c>
      <c r="G1589" s="204" t="s">
        <v>11951</v>
      </c>
      <c r="H1589" s="182" t="s">
        <v>184</v>
      </c>
      <c r="I1589" s="182"/>
      <c r="J1589" s="182"/>
    </row>
    <row r="1590" spans="1:10" ht="120" customHeight="1">
      <c r="A1590" s="362"/>
      <c r="B1590" s="348" t="s">
        <v>11946</v>
      </c>
      <c r="C1590" s="275" t="s">
        <v>5096</v>
      </c>
      <c r="D1590" s="223" t="s">
        <v>5097</v>
      </c>
      <c r="E1590" s="319" t="s">
        <v>11960</v>
      </c>
      <c r="F1590" s="319" t="s">
        <v>12635</v>
      </c>
      <c r="G1590" s="320" t="s">
        <v>11951</v>
      </c>
      <c r="H1590" s="296" t="s">
        <v>24</v>
      </c>
      <c r="I1590" s="182"/>
      <c r="J1590" s="182"/>
    </row>
    <row r="1591" spans="1:10" ht="120" customHeight="1">
      <c r="A1591" s="367"/>
      <c r="B1591" s="247" t="s">
        <v>11946</v>
      </c>
      <c r="C1591" s="24" t="s">
        <v>11958</v>
      </c>
      <c r="D1591" s="24" t="s">
        <v>11959</v>
      </c>
      <c r="E1591" s="16" t="s">
        <v>11960</v>
      </c>
      <c r="F1591" s="16" t="s">
        <v>11961</v>
      </c>
      <c r="G1591" s="204" t="s">
        <v>11951</v>
      </c>
      <c r="H1591" s="182" t="s">
        <v>24</v>
      </c>
      <c r="I1591" s="330" t="s">
        <v>11962</v>
      </c>
      <c r="J1591" s="182"/>
    </row>
    <row r="1592" spans="1:10" ht="120" customHeight="1">
      <c r="A1592" s="362"/>
      <c r="B1592" s="352" t="s">
        <v>11963</v>
      </c>
      <c r="C1592" s="344" t="s">
        <v>11964</v>
      </c>
      <c r="D1592" s="228" t="s">
        <v>5100</v>
      </c>
      <c r="E1592" s="12" t="s">
        <v>11960</v>
      </c>
      <c r="F1592" s="12" t="s">
        <v>12636</v>
      </c>
      <c r="G1592" s="345" t="s">
        <v>5102</v>
      </c>
      <c r="H1592" s="299" t="s">
        <v>233</v>
      </c>
      <c r="I1592" s="182"/>
      <c r="J1592" s="182"/>
    </row>
    <row r="1593" spans="1:10" ht="120" customHeight="1">
      <c r="A1593" s="362"/>
      <c r="B1593" s="290" t="s">
        <v>11963</v>
      </c>
      <c r="C1593" s="278" t="s">
        <v>5103</v>
      </c>
      <c r="D1593" s="24" t="s">
        <v>5104</v>
      </c>
      <c r="E1593" s="16" t="s">
        <v>11960</v>
      </c>
      <c r="F1593" s="16" t="s">
        <v>12637</v>
      </c>
      <c r="G1593" s="204" t="s">
        <v>5102</v>
      </c>
      <c r="H1593" s="182" t="s">
        <v>184</v>
      </c>
      <c r="I1593" s="182"/>
      <c r="J1593" s="182"/>
    </row>
    <row r="1594" spans="1:10" ht="120" customHeight="1">
      <c r="A1594" s="362"/>
      <c r="B1594" s="290" t="s">
        <v>11963</v>
      </c>
      <c r="C1594" s="278" t="s">
        <v>11965</v>
      </c>
      <c r="D1594" s="24" t="s">
        <v>5105</v>
      </c>
      <c r="E1594" s="16" t="s">
        <v>11960</v>
      </c>
      <c r="F1594" s="16" t="s">
        <v>12638</v>
      </c>
      <c r="G1594" s="204" t="s">
        <v>5102</v>
      </c>
      <c r="H1594" s="182" t="s">
        <v>24</v>
      </c>
      <c r="I1594" s="182"/>
      <c r="J1594" s="182"/>
    </row>
    <row r="1595" spans="1:10" ht="120" customHeight="1">
      <c r="A1595" s="362"/>
      <c r="B1595" s="290" t="s">
        <v>11963</v>
      </c>
      <c r="C1595" s="278" t="s">
        <v>5106</v>
      </c>
      <c r="D1595" s="24" t="s">
        <v>5107</v>
      </c>
      <c r="E1595" s="16" t="s">
        <v>11960</v>
      </c>
      <c r="F1595" s="16" t="s">
        <v>12639</v>
      </c>
      <c r="G1595" s="204" t="s">
        <v>5102</v>
      </c>
      <c r="H1595" s="182" t="s">
        <v>24</v>
      </c>
      <c r="I1595" s="182"/>
      <c r="J1595" s="182"/>
    </row>
    <row r="1596" spans="1:10" ht="120" customHeight="1">
      <c r="A1596" s="362"/>
      <c r="B1596" s="290" t="s">
        <v>11963</v>
      </c>
      <c r="C1596" s="278" t="s">
        <v>5108</v>
      </c>
      <c r="D1596" s="24" t="s">
        <v>5109</v>
      </c>
      <c r="E1596" s="16" t="s">
        <v>11960</v>
      </c>
      <c r="F1596" s="16" t="s">
        <v>12640</v>
      </c>
      <c r="G1596" s="204" t="s">
        <v>5102</v>
      </c>
      <c r="H1596" s="182" t="s">
        <v>24</v>
      </c>
      <c r="I1596" s="182"/>
      <c r="J1596" s="182"/>
    </row>
    <row r="1597" spans="1:10" ht="120" customHeight="1">
      <c r="A1597" s="362"/>
      <c r="B1597" s="290" t="s">
        <v>11963</v>
      </c>
      <c r="C1597" s="278" t="s">
        <v>11966</v>
      </c>
      <c r="D1597" s="24" t="s">
        <v>5110</v>
      </c>
      <c r="E1597" s="16" t="s">
        <v>11960</v>
      </c>
      <c r="F1597" s="16" t="s">
        <v>5111</v>
      </c>
      <c r="G1597" s="204" t="s">
        <v>5102</v>
      </c>
      <c r="H1597" s="182" t="s">
        <v>24</v>
      </c>
      <c r="I1597" s="182"/>
      <c r="J1597" s="182"/>
    </row>
    <row r="1598" spans="1:10" ht="120" customHeight="1">
      <c r="A1598" s="362"/>
      <c r="B1598" s="353" t="s">
        <v>11963</v>
      </c>
      <c r="C1598" s="275" t="s">
        <v>5112</v>
      </c>
      <c r="D1598" s="223" t="s">
        <v>5113</v>
      </c>
      <c r="E1598" s="319" t="s">
        <v>11960</v>
      </c>
      <c r="F1598" s="319" t="s">
        <v>5114</v>
      </c>
      <c r="G1598" s="320" t="s">
        <v>5115</v>
      </c>
      <c r="H1598" s="296" t="s">
        <v>86</v>
      </c>
      <c r="I1598" s="182"/>
      <c r="J1598" s="182"/>
    </row>
    <row r="1599" spans="1:10" ht="120" customHeight="1">
      <c r="A1599" s="367"/>
      <c r="B1599" s="290" t="s">
        <v>11963</v>
      </c>
      <c r="C1599" s="24" t="s">
        <v>11967</v>
      </c>
      <c r="D1599" s="24" t="s">
        <v>11968</v>
      </c>
      <c r="E1599" s="16" t="s">
        <v>5070</v>
      </c>
      <c r="F1599" s="16" t="s">
        <v>11969</v>
      </c>
      <c r="G1599" s="204" t="s">
        <v>5102</v>
      </c>
      <c r="H1599" s="182"/>
      <c r="I1599" s="341"/>
      <c r="J1599" s="182"/>
    </row>
    <row r="1600" spans="1:10" ht="120" customHeight="1">
      <c r="A1600" s="362"/>
      <c r="B1600" s="354" t="s">
        <v>11963</v>
      </c>
      <c r="C1600" s="454" t="s">
        <v>11970</v>
      </c>
      <c r="D1600" s="454" t="s">
        <v>5116</v>
      </c>
      <c r="E1600" s="455" t="s">
        <v>5117</v>
      </c>
      <c r="F1600" s="455" t="s">
        <v>5118</v>
      </c>
      <c r="G1600" s="456" t="s">
        <v>5119</v>
      </c>
      <c r="H1600" s="457" t="s">
        <v>86</v>
      </c>
      <c r="I1600" s="182"/>
      <c r="J1600" s="182"/>
    </row>
    <row r="1601" spans="1:10" ht="120" customHeight="1">
      <c r="A1601" s="367"/>
      <c r="B1601" s="290" t="s">
        <v>11963</v>
      </c>
      <c r="C1601" s="24" t="s">
        <v>11971</v>
      </c>
      <c r="D1601" s="24" t="s">
        <v>11972</v>
      </c>
      <c r="E1601" s="16" t="s">
        <v>11973</v>
      </c>
      <c r="F1601" s="16" t="s">
        <v>11974</v>
      </c>
      <c r="G1601" s="204" t="s">
        <v>11975</v>
      </c>
      <c r="H1601" s="182" t="s">
        <v>117</v>
      </c>
      <c r="I1601" s="341"/>
      <c r="J1601" s="182"/>
    </row>
    <row r="1602" spans="1:10" ht="120" customHeight="1">
      <c r="A1602" s="362"/>
      <c r="B1602" s="355" t="s">
        <v>11976</v>
      </c>
      <c r="C1602" s="344" t="s">
        <v>11977</v>
      </c>
      <c r="D1602" s="228" t="s">
        <v>5122</v>
      </c>
      <c r="E1602" s="12" t="s">
        <v>11960</v>
      </c>
      <c r="F1602" s="12" t="s">
        <v>12641</v>
      </c>
      <c r="G1602" s="345" t="s">
        <v>5124</v>
      </c>
      <c r="H1602" s="299" t="s">
        <v>233</v>
      </c>
      <c r="I1602" s="182"/>
      <c r="J1602" s="182"/>
    </row>
    <row r="1603" spans="1:10" ht="120" customHeight="1">
      <c r="A1603" s="362"/>
      <c r="B1603" s="246" t="s">
        <v>11976</v>
      </c>
      <c r="C1603" s="278" t="s">
        <v>11978</v>
      </c>
      <c r="D1603" s="24" t="s">
        <v>11979</v>
      </c>
      <c r="E1603" s="16" t="s">
        <v>11960</v>
      </c>
      <c r="F1603" s="16" t="s">
        <v>12642</v>
      </c>
      <c r="G1603" s="204" t="s">
        <v>5124</v>
      </c>
      <c r="H1603" s="182" t="s">
        <v>184</v>
      </c>
      <c r="I1603" s="182"/>
      <c r="J1603" s="182"/>
    </row>
    <row r="1604" spans="1:10" ht="120" customHeight="1">
      <c r="A1604" s="362"/>
      <c r="B1604" s="246" t="s">
        <v>11976</v>
      </c>
      <c r="C1604" s="278" t="s">
        <v>11980</v>
      </c>
      <c r="D1604" s="24" t="s">
        <v>11981</v>
      </c>
      <c r="E1604" s="16" t="s">
        <v>11982</v>
      </c>
      <c r="F1604" s="16" t="s">
        <v>11983</v>
      </c>
      <c r="G1604" s="204" t="s">
        <v>11984</v>
      </c>
      <c r="H1604" s="182" t="s">
        <v>117</v>
      </c>
      <c r="I1604" s="182"/>
      <c r="J1604" s="182"/>
    </row>
    <row r="1605" spans="1:10" ht="120" customHeight="1">
      <c r="A1605" s="362"/>
      <c r="B1605" s="246" t="s">
        <v>11976</v>
      </c>
      <c r="C1605" s="278" t="s">
        <v>5125</v>
      </c>
      <c r="D1605" s="24" t="s">
        <v>11985</v>
      </c>
      <c r="E1605" s="16" t="s">
        <v>5070</v>
      </c>
      <c r="F1605" s="16" t="s">
        <v>5126</v>
      </c>
      <c r="G1605" s="204" t="s">
        <v>5124</v>
      </c>
      <c r="H1605" s="182" t="s">
        <v>184</v>
      </c>
      <c r="I1605" s="182"/>
      <c r="J1605" s="182"/>
    </row>
    <row r="1606" spans="1:10" ht="120" customHeight="1">
      <c r="A1606" s="362"/>
      <c r="B1606" s="246" t="s">
        <v>11976</v>
      </c>
      <c r="C1606" s="278" t="s">
        <v>5127</v>
      </c>
      <c r="D1606" s="24" t="s">
        <v>11986</v>
      </c>
      <c r="E1606" s="16" t="s">
        <v>5070</v>
      </c>
      <c r="F1606" s="16" t="s">
        <v>5128</v>
      </c>
      <c r="G1606" s="204" t="s">
        <v>5124</v>
      </c>
      <c r="H1606" s="182" t="s">
        <v>184</v>
      </c>
      <c r="I1606" s="182"/>
      <c r="J1606" s="182"/>
    </row>
    <row r="1607" spans="1:10" ht="120" customHeight="1">
      <c r="A1607" s="362"/>
      <c r="B1607" s="246" t="s">
        <v>11976</v>
      </c>
      <c r="C1607" s="278" t="s">
        <v>5129</v>
      </c>
      <c r="D1607" s="24" t="s">
        <v>11987</v>
      </c>
      <c r="E1607" s="16" t="s">
        <v>5070</v>
      </c>
      <c r="F1607" s="16" t="s">
        <v>5130</v>
      </c>
      <c r="G1607" s="204" t="s">
        <v>5124</v>
      </c>
      <c r="H1607" s="182" t="s">
        <v>117</v>
      </c>
      <c r="I1607" s="182"/>
      <c r="J1607" s="182"/>
    </row>
    <row r="1608" spans="1:10" ht="120" customHeight="1">
      <c r="A1608" s="362"/>
      <c r="B1608" s="246" t="s">
        <v>11976</v>
      </c>
      <c r="C1608" s="278" t="s">
        <v>11988</v>
      </c>
      <c r="D1608" s="24" t="s">
        <v>5131</v>
      </c>
      <c r="E1608" s="16" t="s">
        <v>5070</v>
      </c>
      <c r="F1608" s="16" t="s">
        <v>5132</v>
      </c>
      <c r="G1608" s="204" t="s">
        <v>5124</v>
      </c>
      <c r="H1608" s="182" t="s">
        <v>117</v>
      </c>
      <c r="I1608" s="182"/>
      <c r="J1608" s="182"/>
    </row>
    <row r="1609" spans="1:10" ht="120" customHeight="1">
      <c r="A1609" s="362"/>
      <c r="B1609" s="246" t="s">
        <v>11976</v>
      </c>
      <c r="C1609" s="278" t="s">
        <v>5133</v>
      </c>
      <c r="D1609" s="24" t="s">
        <v>5134</v>
      </c>
      <c r="E1609" s="16" t="s">
        <v>5070</v>
      </c>
      <c r="F1609" s="16" t="s">
        <v>11989</v>
      </c>
      <c r="G1609" s="204" t="s">
        <v>5115</v>
      </c>
      <c r="H1609" s="182" t="s">
        <v>86</v>
      </c>
      <c r="I1609" s="182"/>
      <c r="J1609" s="182"/>
    </row>
    <row r="1610" spans="1:10" ht="120" customHeight="1">
      <c r="A1610" s="362"/>
      <c r="B1610" s="340" t="s">
        <v>11976</v>
      </c>
      <c r="C1610" s="275" t="s">
        <v>11990</v>
      </c>
      <c r="D1610" s="223" t="s">
        <v>5135</v>
      </c>
      <c r="E1610" s="319" t="s">
        <v>5070</v>
      </c>
      <c r="F1610" s="319" t="s">
        <v>11991</v>
      </c>
      <c r="G1610" s="320" t="s">
        <v>12643</v>
      </c>
      <c r="H1610" s="296" t="s">
        <v>86</v>
      </c>
      <c r="I1610" s="182"/>
      <c r="J1610" s="182"/>
    </row>
    <row r="1611" spans="1:10" ht="120" customHeight="1">
      <c r="A1611" s="367"/>
      <c r="B1611" s="342" t="s">
        <v>11992</v>
      </c>
      <c r="C1611" s="24" t="s">
        <v>5136</v>
      </c>
      <c r="D1611" s="24" t="s">
        <v>5137</v>
      </c>
      <c r="E1611" s="16" t="s">
        <v>5070</v>
      </c>
      <c r="F1611" s="16" t="s">
        <v>12644</v>
      </c>
      <c r="G1611" s="204" t="s">
        <v>5138</v>
      </c>
      <c r="H1611" s="182" t="s">
        <v>184</v>
      </c>
      <c r="I1611" s="341"/>
      <c r="J1611" s="182"/>
    </row>
    <row r="1612" spans="1:10" ht="120" customHeight="1">
      <c r="A1612" s="367"/>
      <c r="B1612" s="342" t="s">
        <v>11992</v>
      </c>
      <c r="C1612" s="24" t="s">
        <v>5139</v>
      </c>
      <c r="D1612" s="24" t="s">
        <v>5140</v>
      </c>
      <c r="E1612" s="16" t="s">
        <v>5070</v>
      </c>
      <c r="F1612" s="16" t="s">
        <v>12645</v>
      </c>
      <c r="G1612" s="204" t="s">
        <v>5138</v>
      </c>
      <c r="H1612" s="182" t="s">
        <v>184</v>
      </c>
      <c r="I1612" s="341"/>
      <c r="J1612" s="182"/>
    </row>
    <row r="1613" spans="1:10" ht="120" customHeight="1">
      <c r="A1613" s="367"/>
      <c r="B1613" s="342" t="s">
        <v>11992</v>
      </c>
      <c r="C1613" s="24" t="s">
        <v>5141</v>
      </c>
      <c r="D1613" s="24" t="s">
        <v>5142</v>
      </c>
      <c r="E1613" s="16" t="s">
        <v>5070</v>
      </c>
      <c r="F1613" s="16" t="s">
        <v>12646</v>
      </c>
      <c r="G1613" s="204" t="s">
        <v>5138</v>
      </c>
      <c r="H1613" s="182" t="s">
        <v>184</v>
      </c>
      <c r="I1613" s="341"/>
      <c r="J1613" s="182"/>
    </row>
    <row r="1614" spans="1:10" ht="120" customHeight="1">
      <c r="A1614" s="367"/>
      <c r="B1614" s="342" t="s">
        <v>11992</v>
      </c>
      <c r="C1614" s="24" t="s">
        <v>5143</v>
      </c>
      <c r="D1614" s="24" t="s">
        <v>5144</v>
      </c>
      <c r="E1614" s="16" t="s">
        <v>5070</v>
      </c>
      <c r="F1614" s="16" t="s">
        <v>12647</v>
      </c>
      <c r="G1614" s="204" t="s">
        <v>5138</v>
      </c>
      <c r="H1614" s="182" t="s">
        <v>184</v>
      </c>
      <c r="I1614" s="341"/>
      <c r="J1614" s="182"/>
    </row>
    <row r="1615" spans="1:10" ht="120" customHeight="1">
      <c r="A1615" s="367"/>
      <c r="B1615" s="342" t="s">
        <v>11992</v>
      </c>
      <c r="C1615" s="24" t="s">
        <v>5145</v>
      </c>
      <c r="D1615" s="24" t="s">
        <v>5146</v>
      </c>
      <c r="E1615" s="16" t="s">
        <v>5070</v>
      </c>
      <c r="F1615" s="16" t="s">
        <v>12648</v>
      </c>
      <c r="G1615" s="204" t="s">
        <v>5138</v>
      </c>
      <c r="H1615" s="182" t="s">
        <v>117</v>
      </c>
      <c r="I1615" s="341"/>
      <c r="J1615" s="182"/>
    </row>
    <row r="1616" spans="1:10" ht="120" customHeight="1">
      <c r="A1616" s="367"/>
      <c r="B1616" s="342" t="s">
        <v>11992</v>
      </c>
      <c r="C1616" s="24" t="s">
        <v>5147</v>
      </c>
      <c r="D1616" s="24" t="s">
        <v>5148</v>
      </c>
      <c r="E1616" s="16" t="s">
        <v>5070</v>
      </c>
      <c r="F1616" s="16" t="s">
        <v>12649</v>
      </c>
      <c r="G1616" s="204" t="s">
        <v>5138</v>
      </c>
      <c r="H1616" s="182" t="s">
        <v>117</v>
      </c>
      <c r="I1616" s="341"/>
      <c r="J1616" s="182"/>
    </row>
    <row r="1617" spans="1:10" ht="120" customHeight="1">
      <c r="A1617" s="367"/>
      <c r="B1617" s="342" t="s">
        <v>11992</v>
      </c>
      <c r="C1617" s="24" t="s">
        <v>11993</v>
      </c>
      <c r="D1617" s="24" t="s">
        <v>5149</v>
      </c>
      <c r="E1617" s="16" t="s">
        <v>5070</v>
      </c>
      <c r="F1617" s="16" t="s">
        <v>5150</v>
      </c>
      <c r="G1617" s="204" t="s">
        <v>5151</v>
      </c>
      <c r="H1617" s="182" t="s">
        <v>86</v>
      </c>
      <c r="I1617" s="341"/>
      <c r="J1617" s="182"/>
    </row>
    <row r="1618" spans="1:10" ht="120" customHeight="1">
      <c r="A1618" s="367"/>
      <c r="B1618" s="342" t="s">
        <v>11992</v>
      </c>
      <c r="C1618" s="24" t="s">
        <v>5152</v>
      </c>
      <c r="D1618" s="24" t="s">
        <v>5153</v>
      </c>
      <c r="E1618" s="16" t="s">
        <v>5070</v>
      </c>
      <c r="F1618" s="16" t="s">
        <v>5154</v>
      </c>
      <c r="G1618" s="204" t="s">
        <v>12650</v>
      </c>
      <c r="H1618" s="182" t="s">
        <v>86</v>
      </c>
      <c r="I1618" s="341"/>
      <c r="J1618" s="182"/>
    </row>
    <row r="1619" spans="1:10" ht="120" customHeight="1">
      <c r="A1619" s="362"/>
      <c r="B1619" s="343" t="s">
        <v>11994</v>
      </c>
      <c r="C1619" s="344" t="s">
        <v>11995</v>
      </c>
      <c r="D1619" s="228" t="s">
        <v>5157</v>
      </c>
      <c r="E1619" s="12" t="s">
        <v>5070</v>
      </c>
      <c r="F1619" s="12" t="s">
        <v>5158</v>
      </c>
      <c r="G1619" s="12" t="s">
        <v>5159</v>
      </c>
      <c r="H1619" s="299" t="s">
        <v>233</v>
      </c>
      <c r="I1619" s="182"/>
      <c r="J1619" s="182"/>
    </row>
    <row r="1620" spans="1:10" ht="120" customHeight="1">
      <c r="A1620" s="362"/>
      <c r="B1620" s="247" t="s">
        <v>11994</v>
      </c>
      <c r="C1620" s="278" t="s">
        <v>11996</v>
      </c>
      <c r="D1620" s="24" t="s">
        <v>12651</v>
      </c>
      <c r="E1620" s="16" t="s">
        <v>5070</v>
      </c>
      <c r="F1620" s="16" t="s">
        <v>12652</v>
      </c>
      <c r="G1620" s="16" t="s">
        <v>12653</v>
      </c>
      <c r="H1620" s="182" t="s">
        <v>86</v>
      </c>
      <c r="I1620" s="182"/>
      <c r="J1620" s="182"/>
    </row>
    <row r="1621" spans="1:10" ht="120" customHeight="1">
      <c r="A1621" s="362"/>
      <c r="B1621" s="246" t="s">
        <v>11997</v>
      </c>
      <c r="C1621" s="278" t="s">
        <v>5161</v>
      </c>
      <c r="D1621" s="24" t="s">
        <v>5162</v>
      </c>
      <c r="E1621" s="16" t="s">
        <v>5070</v>
      </c>
      <c r="F1621" s="16" t="s">
        <v>5163</v>
      </c>
      <c r="G1621" s="204" t="s">
        <v>5164</v>
      </c>
      <c r="H1621" s="182" t="s">
        <v>233</v>
      </c>
      <c r="I1621" s="182"/>
      <c r="J1621" s="182"/>
    </row>
    <row r="1622" spans="1:10" ht="120" customHeight="1">
      <c r="A1622" s="362"/>
      <c r="B1622" s="246" t="s">
        <v>11997</v>
      </c>
      <c r="C1622" s="278" t="s">
        <v>5165</v>
      </c>
      <c r="D1622" s="24" t="s">
        <v>5166</v>
      </c>
      <c r="E1622" s="16" t="s">
        <v>11998</v>
      </c>
      <c r="F1622" s="16" t="s">
        <v>11999</v>
      </c>
      <c r="G1622" s="204" t="s">
        <v>12000</v>
      </c>
      <c r="H1622" s="182" t="s">
        <v>184</v>
      </c>
      <c r="I1622" s="182"/>
      <c r="J1622" s="182"/>
    </row>
    <row r="1623" spans="1:10" ht="120" customHeight="1">
      <c r="A1623" s="362"/>
      <c r="B1623" s="246" t="s">
        <v>11997</v>
      </c>
      <c r="C1623" s="278" t="s">
        <v>5167</v>
      </c>
      <c r="D1623" s="24" t="s">
        <v>12001</v>
      </c>
      <c r="E1623" s="16" t="s">
        <v>11998</v>
      </c>
      <c r="F1623" s="16" t="s">
        <v>12002</v>
      </c>
      <c r="G1623" s="204" t="s">
        <v>5168</v>
      </c>
      <c r="H1623" s="182" t="s">
        <v>184</v>
      </c>
      <c r="I1623" s="182"/>
      <c r="J1623" s="182"/>
    </row>
    <row r="1624" spans="1:10" ht="120" customHeight="1">
      <c r="A1624" s="362"/>
      <c r="B1624" s="246" t="s">
        <v>11997</v>
      </c>
      <c r="C1624" s="278" t="s">
        <v>5169</v>
      </c>
      <c r="D1624" s="24" t="s">
        <v>5170</v>
      </c>
      <c r="E1624" s="16" t="s">
        <v>5070</v>
      </c>
      <c r="F1624" s="16" t="s">
        <v>5171</v>
      </c>
      <c r="G1624" s="204" t="s">
        <v>5172</v>
      </c>
      <c r="H1624" s="182" t="s">
        <v>117</v>
      </c>
      <c r="I1624" s="182"/>
      <c r="J1624" s="182"/>
    </row>
    <row r="1625" spans="1:10" ht="120" customHeight="1">
      <c r="A1625" s="362"/>
      <c r="B1625" s="246" t="s">
        <v>11997</v>
      </c>
      <c r="C1625" s="278" t="s">
        <v>5173</v>
      </c>
      <c r="D1625" s="24" t="s">
        <v>5174</v>
      </c>
      <c r="E1625" s="16" t="s">
        <v>5070</v>
      </c>
      <c r="F1625" s="16" t="s">
        <v>5175</v>
      </c>
      <c r="G1625" s="204" t="s">
        <v>5176</v>
      </c>
      <c r="H1625" s="182" t="s">
        <v>117</v>
      </c>
      <c r="I1625" s="182"/>
      <c r="J1625" s="182"/>
    </row>
    <row r="1626" spans="1:10" ht="120" customHeight="1">
      <c r="A1626" s="362"/>
      <c r="B1626" s="246" t="s">
        <v>11997</v>
      </c>
      <c r="C1626" s="278" t="s">
        <v>5177</v>
      </c>
      <c r="D1626" s="24" t="s">
        <v>5178</v>
      </c>
      <c r="E1626" s="16" t="s">
        <v>5070</v>
      </c>
      <c r="F1626" s="16" t="s">
        <v>5179</v>
      </c>
      <c r="G1626" s="204" t="s">
        <v>5180</v>
      </c>
      <c r="H1626" s="182" t="s">
        <v>117</v>
      </c>
      <c r="I1626" s="182"/>
      <c r="J1626" s="182"/>
    </row>
    <row r="1627" spans="1:10" ht="120" customHeight="1">
      <c r="A1627" s="362"/>
      <c r="B1627" s="246" t="s">
        <v>11997</v>
      </c>
      <c r="C1627" s="278" t="s">
        <v>5181</v>
      </c>
      <c r="D1627" s="24" t="s">
        <v>5182</v>
      </c>
      <c r="E1627" s="16" t="s">
        <v>5070</v>
      </c>
      <c r="F1627" s="16" t="s">
        <v>5183</v>
      </c>
      <c r="G1627" s="204" t="s">
        <v>5184</v>
      </c>
      <c r="H1627" s="182" t="s">
        <v>117</v>
      </c>
      <c r="I1627" s="182"/>
      <c r="J1627" s="182"/>
    </row>
    <row r="1628" spans="1:10" ht="120" customHeight="1">
      <c r="A1628" s="362"/>
      <c r="B1628" s="246" t="s">
        <v>11997</v>
      </c>
      <c r="C1628" s="278" t="s">
        <v>5185</v>
      </c>
      <c r="D1628" s="24" t="s">
        <v>5186</v>
      </c>
      <c r="E1628" s="16" t="s">
        <v>5070</v>
      </c>
      <c r="F1628" s="16" t="s">
        <v>5187</v>
      </c>
      <c r="G1628" s="204" t="s">
        <v>5188</v>
      </c>
      <c r="H1628" s="182" t="s">
        <v>117</v>
      </c>
      <c r="I1628" s="182"/>
      <c r="J1628" s="182"/>
    </row>
    <row r="1629" spans="1:10" ht="120" customHeight="1">
      <c r="A1629" s="362"/>
      <c r="B1629" s="246" t="s">
        <v>11997</v>
      </c>
      <c r="C1629" s="278" t="s">
        <v>5189</v>
      </c>
      <c r="D1629" s="24" t="s">
        <v>5190</v>
      </c>
      <c r="E1629" s="16" t="s">
        <v>5070</v>
      </c>
      <c r="F1629" s="16" t="s">
        <v>5191</v>
      </c>
      <c r="G1629" s="204" t="s">
        <v>5192</v>
      </c>
      <c r="H1629" s="182" t="s">
        <v>117</v>
      </c>
      <c r="I1629" s="182"/>
      <c r="J1629" s="182"/>
    </row>
    <row r="1630" spans="1:10" ht="120" customHeight="1">
      <c r="A1630" s="362"/>
      <c r="B1630" s="246" t="s">
        <v>11997</v>
      </c>
      <c r="C1630" s="278" t="s">
        <v>5193</v>
      </c>
      <c r="D1630" s="24" t="s">
        <v>5194</v>
      </c>
      <c r="E1630" s="16" t="s">
        <v>5070</v>
      </c>
      <c r="F1630" s="16" t="s">
        <v>5195</v>
      </c>
      <c r="G1630" s="204" t="s">
        <v>5196</v>
      </c>
      <c r="H1630" s="182" t="s">
        <v>117</v>
      </c>
      <c r="I1630" s="182"/>
      <c r="J1630" s="182"/>
    </row>
    <row r="1631" spans="1:10" ht="120" customHeight="1">
      <c r="A1631" s="362"/>
      <c r="B1631" s="25" t="s">
        <v>5197</v>
      </c>
      <c r="C1631" s="278" t="s">
        <v>12003</v>
      </c>
      <c r="D1631" s="24" t="s">
        <v>12004</v>
      </c>
      <c r="E1631" s="16" t="s">
        <v>5070</v>
      </c>
      <c r="F1631" s="16" t="s">
        <v>5200</v>
      </c>
      <c r="G1631" s="204" t="s">
        <v>5201</v>
      </c>
      <c r="H1631" s="182" t="s">
        <v>30</v>
      </c>
      <c r="I1631" s="182"/>
      <c r="J1631" s="182"/>
    </row>
    <row r="1632" spans="1:10" ht="120" customHeight="1">
      <c r="A1632" s="362"/>
      <c r="B1632" s="356" t="s">
        <v>5197</v>
      </c>
      <c r="C1632" s="275" t="s">
        <v>12005</v>
      </c>
      <c r="D1632" s="223" t="s">
        <v>12006</v>
      </c>
      <c r="E1632" s="319" t="s">
        <v>4744</v>
      </c>
      <c r="F1632" s="319" t="s">
        <v>12654</v>
      </c>
      <c r="G1632" s="320" t="s">
        <v>12007</v>
      </c>
      <c r="H1632" s="296" t="s">
        <v>41</v>
      </c>
      <c r="I1632" s="182"/>
      <c r="J1632" s="182"/>
    </row>
    <row r="1633" spans="1:10" ht="120" customHeight="1">
      <c r="A1633" s="367"/>
      <c r="B1633" s="25" t="s">
        <v>5197</v>
      </c>
      <c r="C1633" s="24" t="s">
        <v>12008</v>
      </c>
      <c r="D1633" s="24" t="s">
        <v>12009</v>
      </c>
      <c r="E1633" s="16" t="s">
        <v>12010</v>
      </c>
      <c r="F1633" s="16" t="s">
        <v>12011</v>
      </c>
      <c r="G1633" s="204" t="s">
        <v>12012</v>
      </c>
      <c r="H1633" s="182"/>
      <c r="I1633" s="341"/>
      <c r="J1633" s="182"/>
    </row>
    <row r="1634" spans="1:10" ht="120" customHeight="1">
      <c r="A1634" s="363"/>
      <c r="B1634" s="357" t="s">
        <v>5197</v>
      </c>
      <c r="C1634" s="344" t="s">
        <v>5202</v>
      </c>
      <c r="D1634" s="228" t="s">
        <v>5203</v>
      </c>
      <c r="E1634" s="12" t="s">
        <v>4744</v>
      </c>
      <c r="F1634" s="12" t="s">
        <v>5204</v>
      </c>
      <c r="G1634" s="345" t="s">
        <v>5205</v>
      </c>
      <c r="H1634" s="299" t="s">
        <v>41</v>
      </c>
      <c r="I1634" s="182"/>
      <c r="J1634" s="182"/>
    </row>
    <row r="1635" spans="1:10" ht="120" customHeight="1">
      <c r="A1635" s="358" t="s">
        <v>12013</v>
      </c>
      <c r="B1635" s="246" t="s">
        <v>12014</v>
      </c>
      <c r="C1635" s="278" t="s">
        <v>12015</v>
      </c>
      <c r="D1635" s="24" t="s">
        <v>12016</v>
      </c>
      <c r="E1635" s="16" t="s">
        <v>5528</v>
      </c>
      <c r="F1635" s="16" t="s">
        <v>5206</v>
      </c>
      <c r="G1635" s="204" t="s">
        <v>12017</v>
      </c>
      <c r="H1635" s="182" t="s">
        <v>117</v>
      </c>
      <c r="I1635" s="182"/>
      <c r="J1635" s="182"/>
    </row>
    <row r="1636" spans="1:10" ht="120" customHeight="1">
      <c r="A1636" s="359"/>
      <c r="B1636" s="246" t="s">
        <v>12014</v>
      </c>
      <c r="C1636" s="278" t="s">
        <v>5207</v>
      </c>
      <c r="D1636" s="24" t="s">
        <v>12018</v>
      </c>
      <c r="E1636" s="16" t="s">
        <v>5528</v>
      </c>
      <c r="F1636" s="16" t="s">
        <v>5208</v>
      </c>
      <c r="G1636" s="204" t="s">
        <v>5209</v>
      </c>
      <c r="H1636" s="182" t="s">
        <v>184</v>
      </c>
      <c r="I1636" s="182"/>
      <c r="J1636" s="182"/>
    </row>
    <row r="1637" spans="1:10" ht="120" customHeight="1">
      <c r="A1637" s="359"/>
      <c r="B1637" s="246" t="s">
        <v>12014</v>
      </c>
      <c r="C1637" s="278" t="s">
        <v>5210</v>
      </c>
      <c r="D1637" s="24" t="s">
        <v>5211</v>
      </c>
      <c r="E1637" s="16" t="s">
        <v>4744</v>
      </c>
      <c r="F1637" s="16" t="s">
        <v>5212</v>
      </c>
      <c r="G1637" s="204" t="s">
        <v>5209</v>
      </c>
      <c r="H1637" s="182" t="s">
        <v>117</v>
      </c>
      <c r="I1637" s="182"/>
      <c r="J1637" s="182"/>
    </row>
    <row r="1638" spans="1:10" ht="120" customHeight="1">
      <c r="A1638" s="359"/>
      <c r="B1638" s="246" t="s">
        <v>12014</v>
      </c>
      <c r="C1638" s="278" t="s">
        <v>5213</v>
      </c>
      <c r="D1638" s="24" t="s">
        <v>5214</v>
      </c>
      <c r="E1638" s="16" t="s">
        <v>4744</v>
      </c>
      <c r="F1638" s="16" t="s">
        <v>5215</v>
      </c>
      <c r="G1638" s="204" t="s">
        <v>5209</v>
      </c>
      <c r="H1638" s="182" t="s">
        <v>117</v>
      </c>
      <c r="I1638" s="182"/>
      <c r="J1638" s="182"/>
    </row>
    <row r="1639" spans="1:10" ht="120" customHeight="1">
      <c r="A1639" s="359"/>
      <c r="B1639" s="247" t="s">
        <v>12019</v>
      </c>
      <c r="C1639" s="278" t="s">
        <v>12020</v>
      </c>
      <c r="D1639" s="24" t="s">
        <v>5218</v>
      </c>
      <c r="E1639" s="16" t="s">
        <v>4744</v>
      </c>
      <c r="F1639" s="16" t="s">
        <v>12655</v>
      </c>
      <c r="G1639" s="204" t="s">
        <v>12656</v>
      </c>
      <c r="H1639" s="182" t="s">
        <v>233</v>
      </c>
      <c r="I1639" s="182"/>
      <c r="J1639" s="182"/>
    </row>
    <row r="1640" spans="1:10" ht="120" customHeight="1">
      <c r="A1640" s="359"/>
      <c r="B1640" s="247" t="s">
        <v>12019</v>
      </c>
      <c r="C1640" s="278" t="s">
        <v>12021</v>
      </c>
      <c r="D1640" s="24" t="s">
        <v>5221</v>
      </c>
      <c r="E1640" s="16" t="s">
        <v>4744</v>
      </c>
      <c r="F1640" s="16" t="s">
        <v>12657</v>
      </c>
      <c r="G1640" s="204" t="s">
        <v>5220</v>
      </c>
      <c r="H1640" s="182" t="s">
        <v>117</v>
      </c>
      <c r="I1640" s="182"/>
      <c r="J1640" s="182"/>
    </row>
    <row r="1641" spans="1:10" ht="120" customHeight="1">
      <c r="A1641" s="359"/>
      <c r="B1641" s="247" t="s">
        <v>12019</v>
      </c>
      <c r="C1641" s="278" t="s">
        <v>5222</v>
      </c>
      <c r="D1641" s="24" t="s">
        <v>5223</v>
      </c>
      <c r="E1641" s="16" t="s">
        <v>4744</v>
      </c>
      <c r="F1641" s="16" t="s">
        <v>12658</v>
      </c>
      <c r="G1641" s="204" t="s">
        <v>12022</v>
      </c>
      <c r="H1641" s="182" t="s">
        <v>184</v>
      </c>
      <c r="I1641" s="182"/>
      <c r="J1641" s="182"/>
    </row>
    <row r="1642" spans="1:10" ht="120" customHeight="1">
      <c r="A1642" s="359"/>
      <c r="B1642" s="247" t="s">
        <v>12019</v>
      </c>
      <c r="C1642" s="278" t="s">
        <v>5224</v>
      </c>
      <c r="D1642" s="24" t="s">
        <v>5225</v>
      </c>
      <c r="E1642" s="16" t="s">
        <v>4744</v>
      </c>
      <c r="F1642" s="16" t="s">
        <v>12659</v>
      </c>
      <c r="G1642" s="204" t="s">
        <v>5220</v>
      </c>
      <c r="H1642" s="182" t="s">
        <v>117</v>
      </c>
      <c r="I1642" s="182"/>
      <c r="J1642" s="182"/>
    </row>
    <row r="1643" spans="1:10" ht="120" customHeight="1">
      <c r="A1643" s="359"/>
      <c r="B1643" s="247" t="s">
        <v>12019</v>
      </c>
      <c r="C1643" s="278" t="s">
        <v>5226</v>
      </c>
      <c r="D1643" s="24" t="s">
        <v>5227</v>
      </c>
      <c r="E1643" s="16" t="s">
        <v>4744</v>
      </c>
      <c r="F1643" s="16" t="s">
        <v>12660</v>
      </c>
      <c r="G1643" s="204" t="s">
        <v>12022</v>
      </c>
      <c r="H1643" s="182" t="s">
        <v>117</v>
      </c>
      <c r="I1643" s="182"/>
      <c r="J1643" s="182"/>
    </row>
    <row r="1644" spans="1:10" ht="120" customHeight="1">
      <c r="A1644" s="359"/>
      <c r="B1644" s="246" t="s">
        <v>12023</v>
      </c>
      <c r="C1644" s="278" t="s">
        <v>5228</v>
      </c>
      <c r="D1644" s="24" t="s">
        <v>5229</v>
      </c>
      <c r="E1644" s="16" t="s">
        <v>4744</v>
      </c>
      <c r="F1644" s="16" t="s">
        <v>12024</v>
      </c>
      <c r="G1644" s="204" t="s">
        <v>12025</v>
      </c>
      <c r="H1644" s="182" t="s">
        <v>117</v>
      </c>
      <c r="I1644" s="182"/>
      <c r="J1644" s="182"/>
    </row>
    <row r="1645" spans="1:10" ht="120" customHeight="1">
      <c r="A1645" s="359"/>
      <c r="B1645" s="246" t="s">
        <v>12023</v>
      </c>
      <c r="C1645" s="278" t="s">
        <v>5230</v>
      </c>
      <c r="D1645" s="24" t="s">
        <v>5231</v>
      </c>
      <c r="E1645" s="16" t="s">
        <v>5528</v>
      </c>
      <c r="F1645" s="16" t="s">
        <v>5232</v>
      </c>
      <c r="G1645" s="204" t="s">
        <v>12026</v>
      </c>
      <c r="H1645" s="182" t="s">
        <v>117</v>
      </c>
      <c r="I1645" s="182"/>
      <c r="J1645" s="182"/>
    </row>
    <row r="1646" spans="1:10" ht="120" customHeight="1">
      <c r="A1646" s="359"/>
      <c r="B1646" s="246" t="s">
        <v>12023</v>
      </c>
      <c r="C1646" s="278" t="s">
        <v>5234</v>
      </c>
      <c r="D1646" s="24" t="s">
        <v>5235</v>
      </c>
      <c r="E1646" s="16" t="s">
        <v>4744</v>
      </c>
      <c r="F1646" s="16" t="s">
        <v>5236</v>
      </c>
      <c r="G1646" s="204" t="s">
        <v>5233</v>
      </c>
      <c r="H1646" s="182" t="s">
        <v>184</v>
      </c>
      <c r="I1646" s="182"/>
      <c r="J1646" s="182"/>
    </row>
    <row r="1647" spans="1:10" ht="120" customHeight="1">
      <c r="A1647" s="359"/>
      <c r="B1647" s="246" t="s">
        <v>12027</v>
      </c>
      <c r="C1647" s="278" t="s">
        <v>5237</v>
      </c>
      <c r="D1647" s="24" t="s">
        <v>5238</v>
      </c>
      <c r="E1647" s="16" t="s">
        <v>4744</v>
      </c>
      <c r="F1647" s="16" t="s">
        <v>5239</v>
      </c>
      <c r="G1647" s="204" t="s">
        <v>5240</v>
      </c>
      <c r="H1647" s="182" t="s">
        <v>117</v>
      </c>
      <c r="I1647" s="182"/>
      <c r="J1647" s="182"/>
    </row>
    <row r="1648" spans="1:10" ht="120" customHeight="1">
      <c r="A1648" s="359"/>
      <c r="B1648" s="246" t="s">
        <v>12027</v>
      </c>
      <c r="C1648" s="278" t="s">
        <v>5241</v>
      </c>
      <c r="D1648" s="24" t="s">
        <v>5242</v>
      </c>
      <c r="E1648" s="16" t="s">
        <v>4744</v>
      </c>
      <c r="F1648" s="16" t="s">
        <v>5243</v>
      </c>
      <c r="G1648" s="204" t="s">
        <v>5244</v>
      </c>
      <c r="H1648" s="182" t="s">
        <v>184</v>
      </c>
      <c r="I1648" s="182"/>
      <c r="J1648" s="182"/>
    </row>
    <row r="1649" spans="1:10" ht="120" customHeight="1">
      <c r="A1649" s="359"/>
      <c r="B1649" s="246" t="s">
        <v>12027</v>
      </c>
      <c r="C1649" s="278" t="s">
        <v>5245</v>
      </c>
      <c r="D1649" s="24" t="s">
        <v>5246</v>
      </c>
      <c r="E1649" s="16" t="s">
        <v>4744</v>
      </c>
      <c r="F1649" s="16" t="s">
        <v>5247</v>
      </c>
      <c r="G1649" s="204" t="s">
        <v>5244</v>
      </c>
      <c r="H1649" s="182" t="s">
        <v>117</v>
      </c>
      <c r="I1649" s="182"/>
      <c r="J1649" s="182"/>
    </row>
    <row r="1650" spans="1:10" ht="120" customHeight="1">
      <c r="A1650" s="359"/>
      <c r="B1650" s="247" t="s">
        <v>12028</v>
      </c>
      <c r="C1650" s="278" t="s">
        <v>5248</v>
      </c>
      <c r="D1650" s="24" t="s">
        <v>5249</v>
      </c>
      <c r="E1650" s="16" t="s">
        <v>4744</v>
      </c>
      <c r="F1650" s="16" t="s">
        <v>12029</v>
      </c>
      <c r="G1650" s="204" t="s">
        <v>5250</v>
      </c>
      <c r="H1650" s="182" t="s">
        <v>86</v>
      </c>
      <c r="I1650" s="182"/>
      <c r="J1650" s="182"/>
    </row>
    <row r="1651" spans="1:10" ht="120" customHeight="1">
      <c r="A1651" s="359"/>
      <c r="B1651" s="247" t="s">
        <v>12028</v>
      </c>
      <c r="C1651" s="278" t="s">
        <v>5251</v>
      </c>
      <c r="D1651" s="24" t="s">
        <v>5252</v>
      </c>
      <c r="E1651" s="16" t="s">
        <v>4744</v>
      </c>
      <c r="F1651" s="16" t="s">
        <v>5253</v>
      </c>
      <c r="G1651" s="204" t="s">
        <v>5254</v>
      </c>
      <c r="H1651" s="182" t="s">
        <v>117</v>
      </c>
      <c r="I1651" s="182"/>
      <c r="J1651" s="182"/>
    </row>
    <row r="1652" spans="1:10" ht="120" customHeight="1">
      <c r="A1652" s="359"/>
      <c r="B1652" s="247" t="s">
        <v>12028</v>
      </c>
      <c r="C1652" s="278" t="s">
        <v>5255</v>
      </c>
      <c r="D1652" s="24" t="s">
        <v>5256</v>
      </c>
      <c r="E1652" s="16" t="s">
        <v>4744</v>
      </c>
      <c r="F1652" s="16" t="s">
        <v>12661</v>
      </c>
      <c r="G1652" s="204" t="s">
        <v>5257</v>
      </c>
      <c r="H1652" s="182" t="s">
        <v>86</v>
      </c>
      <c r="I1652" s="182"/>
      <c r="J1652" s="182"/>
    </row>
    <row r="1653" spans="1:10" ht="120" customHeight="1">
      <c r="A1653" s="359"/>
      <c r="B1653" s="246" t="s">
        <v>12030</v>
      </c>
      <c r="C1653" s="278" t="s">
        <v>12031</v>
      </c>
      <c r="D1653" s="24" t="s">
        <v>5259</v>
      </c>
      <c r="E1653" s="16" t="s">
        <v>4744</v>
      </c>
      <c r="F1653" s="16" t="s">
        <v>5260</v>
      </c>
      <c r="G1653" s="204" t="s">
        <v>5261</v>
      </c>
      <c r="H1653" s="182" t="s">
        <v>184</v>
      </c>
      <c r="I1653" s="182"/>
      <c r="J1653" s="182"/>
    </row>
    <row r="1654" spans="1:10" ht="120" customHeight="1">
      <c r="A1654" s="359"/>
      <c r="B1654" s="246" t="s">
        <v>12030</v>
      </c>
      <c r="C1654" s="278" t="s">
        <v>5262</v>
      </c>
      <c r="D1654" s="24" t="s">
        <v>5263</v>
      </c>
      <c r="E1654" s="16" t="s">
        <v>4744</v>
      </c>
      <c r="F1654" s="16" t="s">
        <v>5264</v>
      </c>
      <c r="G1654" s="204" t="s">
        <v>5265</v>
      </c>
      <c r="H1654" s="182" t="s">
        <v>233</v>
      </c>
      <c r="I1654" s="182"/>
      <c r="J1654" s="182"/>
    </row>
    <row r="1655" spans="1:10" ht="120" customHeight="1">
      <c r="A1655" s="359"/>
      <c r="B1655" s="246" t="s">
        <v>12030</v>
      </c>
      <c r="C1655" s="278" t="s">
        <v>5266</v>
      </c>
      <c r="D1655" s="24" t="s">
        <v>5267</v>
      </c>
      <c r="E1655" s="16" t="s">
        <v>4744</v>
      </c>
      <c r="F1655" s="16" t="s">
        <v>5268</v>
      </c>
      <c r="G1655" s="204" t="s">
        <v>5269</v>
      </c>
      <c r="H1655" s="182" t="s">
        <v>117</v>
      </c>
      <c r="I1655" s="182"/>
      <c r="J1655" s="182"/>
    </row>
    <row r="1656" spans="1:10" ht="120" customHeight="1">
      <c r="A1656" s="359"/>
      <c r="B1656" s="246" t="s">
        <v>12030</v>
      </c>
      <c r="C1656" s="278" t="s">
        <v>5270</v>
      </c>
      <c r="D1656" s="24" t="s">
        <v>5271</v>
      </c>
      <c r="E1656" s="16" t="s">
        <v>4744</v>
      </c>
      <c r="F1656" s="16" t="s">
        <v>5272</v>
      </c>
      <c r="G1656" s="204" t="s">
        <v>5273</v>
      </c>
      <c r="H1656" s="182" t="s">
        <v>117</v>
      </c>
      <c r="I1656" s="182"/>
      <c r="J1656" s="182"/>
    </row>
    <row r="1657" spans="1:10" ht="120" customHeight="1">
      <c r="A1657" s="359"/>
      <c r="B1657" s="247" t="s">
        <v>12032</v>
      </c>
      <c r="C1657" s="278" t="s">
        <v>5274</v>
      </c>
      <c r="D1657" s="24" t="s">
        <v>5275</v>
      </c>
      <c r="E1657" s="16" t="s">
        <v>4744</v>
      </c>
      <c r="F1657" s="16" t="s">
        <v>5276</v>
      </c>
      <c r="G1657" s="204" t="s">
        <v>5277</v>
      </c>
      <c r="H1657" s="182" t="s">
        <v>184</v>
      </c>
      <c r="I1657" s="182"/>
      <c r="J1657" s="182"/>
    </row>
    <row r="1658" spans="1:10" ht="120" customHeight="1">
      <c r="A1658" s="359"/>
      <c r="B1658" s="247" t="s">
        <v>12032</v>
      </c>
      <c r="C1658" s="278" t="s">
        <v>5278</v>
      </c>
      <c r="D1658" s="24" t="s">
        <v>5279</v>
      </c>
      <c r="E1658" s="16" t="s">
        <v>4744</v>
      </c>
      <c r="F1658" s="16" t="s">
        <v>5280</v>
      </c>
      <c r="G1658" s="204" t="s">
        <v>5281</v>
      </c>
      <c r="H1658" s="182" t="s">
        <v>117</v>
      </c>
      <c r="I1658" s="182"/>
      <c r="J1658" s="182"/>
    </row>
    <row r="1659" spans="1:10" ht="120" customHeight="1">
      <c r="A1659" s="360"/>
      <c r="B1659" s="247" t="s">
        <v>12032</v>
      </c>
      <c r="C1659" s="278" t="s">
        <v>12033</v>
      </c>
      <c r="D1659" s="24" t="s">
        <v>12034</v>
      </c>
      <c r="E1659" s="16" t="s">
        <v>4744</v>
      </c>
      <c r="F1659" s="16" t="s">
        <v>5282</v>
      </c>
      <c r="G1659" s="204" t="s">
        <v>5283</v>
      </c>
      <c r="H1659" s="182" t="s">
        <v>929</v>
      </c>
      <c r="I1659" s="182"/>
      <c r="J1659" s="182"/>
    </row>
    <row r="1660" spans="1:10" ht="120" customHeight="1">
      <c r="A1660" s="361" t="s">
        <v>5284</v>
      </c>
      <c r="B1660" s="200" t="s">
        <v>12035</v>
      </c>
      <c r="C1660" s="286" t="s">
        <v>5286</v>
      </c>
      <c r="D1660" s="200" t="s">
        <v>5287</v>
      </c>
      <c r="E1660" s="200" t="s">
        <v>4744</v>
      </c>
      <c r="F1660" s="200" t="s">
        <v>12662</v>
      </c>
      <c r="G1660" s="205" t="s">
        <v>5288</v>
      </c>
      <c r="H1660" s="458" t="s">
        <v>929</v>
      </c>
      <c r="I1660" s="182"/>
      <c r="J1660" s="182"/>
    </row>
    <row r="1661" spans="1:10" ht="120" customHeight="1">
      <c r="A1661" s="362"/>
      <c r="B1661" s="200" t="s">
        <v>12035</v>
      </c>
      <c r="C1661" s="286" t="s">
        <v>12036</v>
      </c>
      <c r="D1661" s="200" t="s">
        <v>5289</v>
      </c>
      <c r="E1661" s="200" t="s">
        <v>4744</v>
      </c>
      <c r="F1661" s="200" t="s">
        <v>12663</v>
      </c>
      <c r="G1661" s="205" t="s">
        <v>5290</v>
      </c>
      <c r="H1661" s="458" t="s">
        <v>929</v>
      </c>
      <c r="I1661" s="182"/>
      <c r="J1661" s="182"/>
    </row>
    <row r="1662" spans="1:10" ht="120" customHeight="1">
      <c r="A1662" s="362"/>
      <c r="B1662" s="200" t="s">
        <v>12035</v>
      </c>
      <c r="C1662" s="286" t="s">
        <v>5291</v>
      </c>
      <c r="D1662" s="200" t="s">
        <v>5292</v>
      </c>
      <c r="E1662" s="200" t="s">
        <v>4744</v>
      </c>
      <c r="F1662" s="200" t="s">
        <v>12664</v>
      </c>
      <c r="G1662" s="205" t="s">
        <v>5293</v>
      </c>
      <c r="H1662" s="458" t="s">
        <v>929</v>
      </c>
      <c r="I1662" s="182"/>
      <c r="J1662" s="182"/>
    </row>
    <row r="1663" spans="1:10" ht="120" customHeight="1">
      <c r="A1663" s="362"/>
      <c r="B1663" s="200" t="s">
        <v>12035</v>
      </c>
      <c r="C1663" s="286" t="s">
        <v>5294</v>
      </c>
      <c r="D1663" s="200" t="s">
        <v>5295</v>
      </c>
      <c r="E1663" s="200" t="s">
        <v>4744</v>
      </c>
      <c r="F1663" s="200" t="s">
        <v>12665</v>
      </c>
      <c r="G1663" s="205" t="s">
        <v>5296</v>
      </c>
      <c r="H1663" s="458" t="s">
        <v>929</v>
      </c>
      <c r="I1663" s="182"/>
      <c r="J1663" s="182"/>
    </row>
    <row r="1664" spans="1:10" ht="120" customHeight="1">
      <c r="A1664" s="362"/>
      <c r="B1664" s="200" t="s">
        <v>12035</v>
      </c>
      <c r="C1664" s="286" t="s">
        <v>5297</v>
      </c>
      <c r="D1664" s="200" t="s">
        <v>5298</v>
      </c>
      <c r="E1664" s="200" t="s">
        <v>4744</v>
      </c>
      <c r="F1664" s="200" t="s">
        <v>12666</v>
      </c>
      <c r="G1664" s="205" t="s">
        <v>5299</v>
      </c>
      <c r="H1664" s="458" t="s">
        <v>86</v>
      </c>
      <c r="I1664" s="182"/>
      <c r="J1664" s="182"/>
    </row>
    <row r="1665" spans="1:10" ht="120" customHeight="1">
      <c r="A1665" s="362"/>
      <c r="B1665" s="200" t="s">
        <v>12035</v>
      </c>
      <c r="C1665" s="286" t="s">
        <v>5300</v>
      </c>
      <c r="D1665" s="200" t="s">
        <v>5301</v>
      </c>
      <c r="E1665" s="200" t="s">
        <v>4744</v>
      </c>
      <c r="F1665" s="200" t="s">
        <v>12667</v>
      </c>
      <c r="G1665" s="205" t="s">
        <v>5302</v>
      </c>
      <c r="H1665" s="458" t="s">
        <v>929</v>
      </c>
      <c r="I1665" s="182"/>
      <c r="J1665" s="182"/>
    </row>
    <row r="1666" spans="1:10" ht="120" customHeight="1">
      <c r="A1666" s="362"/>
      <c r="B1666" s="200" t="s">
        <v>12035</v>
      </c>
      <c r="C1666" s="286" t="s">
        <v>5303</v>
      </c>
      <c r="D1666" s="200" t="s">
        <v>5304</v>
      </c>
      <c r="E1666" s="200" t="s">
        <v>4744</v>
      </c>
      <c r="F1666" s="200" t="s">
        <v>12668</v>
      </c>
      <c r="G1666" s="205" t="s">
        <v>5305</v>
      </c>
      <c r="H1666" s="458" t="s">
        <v>929</v>
      </c>
      <c r="I1666" s="182"/>
      <c r="J1666" s="182"/>
    </row>
    <row r="1667" spans="1:10" ht="120" customHeight="1">
      <c r="A1667" s="362"/>
      <c r="B1667" s="200" t="s">
        <v>12035</v>
      </c>
      <c r="C1667" s="286" t="s">
        <v>5306</v>
      </c>
      <c r="D1667" s="200" t="s">
        <v>5307</v>
      </c>
      <c r="E1667" s="200" t="s">
        <v>4744</v>
      </c>
      <c r="F1667" s="200" t="s">
        <v>12669</v>
      </c>
      <c r="G1667" s="205" t="s">
        <v>5308</v>
      </c>
      <c r="H1667" s="458" t="s">
        <v>929</v>
      </c>
      <c r="I1667" s="182"/>
      <c r="J1667" s="182"/>
    </row>
    <row r="1668" spans="1:10" ht="120" customHeight="1">
      <c r="A1668" s="362"/>
      <c r="B1668" s="200" t="s">
        <v>12035</v>
      </c>
      <c r="C1668" s="286" t="s">
        <v>5309</v>
      </c>
      <c r="D1668" s="200" t="s">
        <v>5310</v>
      </c>
      <c r="E1668" s="200" t="s">
        <v>4744</v>
      </c>
      <c r="F1668" s="200" t="s">
        <v>12670</v>
      </c>
      <c r="G1668" s="205" t="s">
        <v>5311</v>
      </c>
      <c r="H1668" s="458" t="s">
        <v>929</v>
      </c>
      <c r="I1668" s="182"/>
      <c r="J1668" s="182"/>
    </row>
    <row r="1669" spans="1:10" ht="120" customHeight="1">
      <c r="A1669" s="362"/>
      <c r="B1669" s="246" t="s">
        <v>12035</v>
      </c>
      <c r="C1669" s="278" t="s">
        <v>12037</v>
      </c>
      <c r="D1669" s="24" t="s">
        <v>5313</v>
      </c>
      <c r="E1669" s="16" t="s">
        <v>4744</v>
      </c>
      <c r="F1669" s="16" t="s">
        <v>5314</v>
      </c>
      <c r="G1669" s="204" t="s">
        <v>5315</v>
      </c>
      <c r="H1669" s="182" t="s">
        <v>233</v>
      </c>
      <c r="I1669" s="182"/>
      <c r="J1669" s="182"/>
    </row>
    <row r="1670" spans="1:10" ht="120" customHeight="1">
      <c r="A1670" s="362"/>
      <c r="B1670" s="246" t="s">
        <v>12035</v>
      </c>
      <c r="C1670" s="278" t="s">
        <v>12038</v>
      </c>
      <c r="D1670" s="24" t="s">
        <v>5316</v>
      </c>
      <c r="E1670" s="16" t="s">
        <v>4744</v>
      </c>
      <c r="F1670" s="16" t="s">
        <v>5317</v>
      </c>
      <c r="G1670" s="204" t="s">
        <v>5315</v>
      </c>
      <c r="H1670" s="182" t="s">
        <v>117</v>
      </c>
      <c r="I1670" s="182"/>
      <c r="J1670" s="182"/>
    </row>
    <row r="1671" spans="1:10" ht="120" customHeight="1">
      <c r="A1671" s="362"/>
      <c r="B1671" s="246" t="s">
        <v>12035</v>
      </c>
      <c r="C1671" s="278" t="s">
        <v>12039</v>
      </c>
      <c r="D1671" s="24" t="s">
        <v>5318</v>
      </c>
      <c r="E1671" s="16" t="s">
        <v>4744</v>
      </c>
      <c r="F1671" s="16" t="s">
        <v>5319</v>
      </c>
      <c r="G1671" s="204" t="s">
        <v>5320</v>
      </c>
      <c r="H1671" s="182" t="s">
        <v>184</v>
      </c>
      <c r="I1671" s="182"/>
      <c r="J1671" s="182"/>
    </row>
    <row r="1672" spans="1:10" ht="120" customHeight="1">
      <c r="A1672" s="362"/>
      <c r="B1672" s="246" t="s">
        <v>12035</v>
      </c>
      <c r="C1672" s="278" t="s">
        <v>5321</v>
      </c>
      <c r="D1672" s="24" t="s">
        <v>5322</v>
      </c>
      <c r="E1672" s="16" t="s">
        <v>4744</v>
      </c>
      <c r="F1672" s="16" t="s">
        <v>5323</v>
      </c>
      <c r="G1672" s="204" t="s">
        <v>5324</v>
      </c>
      <c r="H1672" s="182" t="s">
        <v>233</v>
      </c>
      <c r="I1672" s="182"/>
      <c r="J1672" s="182"/>
    </row>
    <row r="1673" spans="1:10" ht="120" customHeight="1">
      <c r="A1673" s="362"/>
      <c r="B1673" s="246" t="s">
        <v>12035</v>
      </c>
      <c r="C1673" s="278" t="s">
        <v>5325</v>
      </c>
      <c r="D1673" s="24" t="s">
        <v>5326</v>
      </c>
      <c r="E1673" s="16" t="s">
        <v>4744</v>
      </c>
      <c r="F1673" s="16" t="s">
        <v>5327</v>
      </c>
      <c r="G1673" s="204" t="s">
        <v>5324</v>
      </c>
      <c r="H1673" s="182" t="s">
        <v>117</v>
      </c>
      <c r="I1673" s="182"/>
      <c r="J1673" s="182"/>
    </row>
    <row r="1674" spans="1:10" ht="120" customHeight="1">
      <c r="A1674" s="362"/>
      <c r="B1674" s="246" t="s">
        <v>12035</v>
      </c>
      <c r="C1674" s="278" t="s">
        <v>5328</v>
      </c>
      <c r="D1674" s="24" t="s">
        <v>5329</v>
      </c>
      <c r="E1674" s="16" t="s">
        <v>4744</v>
      </c>
      <c r="F1674" s="16" t="s">
        <v>5330</v>
      </c>
      <c r="G1674" s="204" t="s">
        <v>5324</v>
      </c>
      <c r="H1674" s="182" t="s">
        <v>117</v>
      </c>
      <c r="I1674" s="182"/>
      <c r="J1674" s="182"/>
    </row>
    <row r="1675" spans="1:10" ht="120" customHeight="1">
      <c r="A1675" s="362"/>
      <c r="B1675" s="246" t="s">
        <v>12035</v>
      </c>
      <c r="C1675" s="278" t="s">
        <v>12040</v>
      </c>
      <c r="D1675" s="24" t="s">
        <v>5331</v>
      </c>
      <c r="E1675" s="16" t="s">
        <v>4744</v>
      </c>
      <c r="F1675" s="16" t="s">
        <v>5332</v>
      </c>
      <c r="G1675" s="204" t="s">
        <v>5333</v>
      </c>
      <c r="H1675" s="182" t="s">
        <v>117</v>
      </c>
      <c r="I1675" s="182"/>
      <c r="J1675" s="182"/>
    </row>
    <row r="1676" spans="1:10" ht="120" customHeight="1">
      <c r="A1676" s="362"/>
      <c r="B1676" s="246" t="s">
        <v>12035</v>
      </c>
      <c r="C1676" s="278" t="s">
        <v>5334</v>
      </c>
      <c r="D1676" s="24" t="s">
        <v>5335</v>
      </c>
      <c r="E1676" s="16" t="s">
        <v>4744</v>
      </c>
      <c r="F1676" s="16" t="s">
        <v>5336</v>
      </c>
      <c r="G1676" s="204" t="s">
        <v>5333</v>
      </c>
      <c r="H1676" s="182" t="s">
        <v>117</v>
      </c>
      <c r="I1676" s="182"/>
      <c r="J1676" s="182"/>
    </row>
    <row r="1677" spans="1:10" ht="120" customHeight="1">
      <c r="A1677" s="362"/>
      <c r="B1677" s="246" t="s">
        <v>12035</v>
      </c>
      <c r="C1677" s="278" t="s">
        <v>12041</v>
      </c>
      <c r="D1677" s="24" t="s">
        <v>5337</v>
      </c>
      <c r="E1677" s="16" t="s">
        <v>4744</v>
      </c>
      <c r="F1677" s="16" t="s">
        <v>5338</v>
      </c>
      <c r="G1677" s="204" t="s">
        <v>5339</v>
      </c>
      <c r="H1677" s="182" t="s">
        <v>117</v>
      </c>
      <c r="I1677" s="182"/>
      <c r="J1677" s="182"/>
    </row>
    <row r="1678" spans="1:10" ht="120" customHeight="1">
      <c r="A1678" s="362"/>
      <c r="B1678" s="246" t="s">
        <v>12035</v>
      </c>
      <c r="C1678" s="278" t="s">
        <v>5340</v>
      </c>
      <c r="D1678" s="24" t="s">
        <v>5341</v>
      </c>
      <c r="E1678" s="16" t="s">
        <v>4744</v>
      </c>
      <c r="F1678" s="16" t="s">
        <v>5342</v>
      </c>
      <c r="G1678" s="204" t="s">
        <v>5343</v>
      </c>
      <c r="H1678" s="182" t="s">
        <v>117</v>
      </c>
      <c r="I1678" s="182"/>
      <c r="J1678" s="182"/>
    </row>
    <row r="1679" spans="1:10" ht="120" customHeight="1">
      <c r="A1679" s="362"/>
      <c r="B1679" s="246" t="s">
        <v>12035</v>
      </c>
      <c r="C1679" s="278" t="s">
        <v>5344</v>
      </c>
      <c r="D1679" s="24" t="s">
        <v>5345</v>
      </c>
      <c r="E1679" s="16" t="s">
        <v>4744</v>
      </c>
      <c r="F1679" s="16" t="s">
        <v>5346</v>
      </c>
      <c r="G1679" s="204" t="s">
        <v>5343</v>
      </c>
      <c r="H1679" s="182" t="s">
        <v>117</v>
      </c>
      <c r="I1679" s="182"/>
      <c r="J1679" s="182"/>
    </row>
    <row r="1680" spans="1:10" ht="120" customHeight="1">
      <c r="A1680" s="362"/>
      <c r="B1680" s="246" t="s">
        <v>12035</v>
      </c>
      <c r="C1680" s="278" t="s">
        <v>5347</v>
      </c>
      <c r="D1680" s="24" t="s">
        <v>5348</v>
      </c>
      <c r="E1680" s="16" t="s">
        <v>4744</v>
      </c>
      <c r="F1680" s="16" t="s">
        <v>5349</v>
      </c>
      <c r="G1680" s="204" t="s">
        <v>5343</v>
      </c>
      <c r="H1680" s="182" t="s">
        <v>117</v>
      </c>
      <c r="I1680" s="182"/>
      <c r="J1680" s="182"/>
    </row>
    <row r="1681" spans="1:10" ht="120" customHeight="1">
      <c r="A1681" s="362"/>
      <c r="B1681" s="246" t="s">
        <v>12035</v>
      </c>
      <c r="C1681" s="278" t="s">
        <v>5350</v>
      </c>
      <c r="D1681" s="24" t="s">
        <v>5351</v>
      </c>
      <c r="E1681" s="16" t="s">
        <v>5352</v>
      </c>
      <c r="F1681" s="16" t="s">
        <v>5353</v>
      </c>
      <c r="G1681" s="204" t="s">
        <v>5354</v>
      </c>
      <c r="H1681" s="182" t="s">
        <v>117</v>
      </c>
      <c r="I1681" s="182"/>
      <c r="J1681" s="182"/>
    </row>
    <row r="1682" spans="1:10" ht="120" customHeight="1">
      <c r="A1682" s="362"/>
      <c r="B1682" s="246" t="s">
        <v>12035</v>
      </c>
      <c r="C1682" s="278" t="s">
        <v>5355</v>
      </c>
      <c r="D1682" s="24" t="s">
        <v>5356</v>
      </c>
      <c r="E1682" s="16" t="s">
        <v>4744</v>
      </c>
      <c r="F1682" s="16" t="s">
        <v>5357</v>
      </c>
      <c r="G1682" s="204" t="s">
        <v>5358</v>
      </c>
      <c r="H1682" s="182" t="s">
        <v>117</v>
      </c>
      <c r="I1682" s="182"/>
      <c r="J1682" s="182"/>
    </row>
    <row r="1683" spans="1:10" ht="120" customHeight="1">
      <c r="A1683" s="362"/>
      <c r="B1683" s="246" t="s">
        <v>12035</v>
      </c>
      <c r="C1683" s="278" t="s">
        <v>5359</v>
      </c>
      <c r="D1683" s="24" t="s">
        <v>5360</v>
      </c>
      <c r="E1683" s="16" t="s">
        <v>4744</v>
      </c>
      <c r="F1683" s="16" t="s">
        <v>5361</v>
      </c>
      <c r="G1683" s="204" t="s">
        <v>5362</v>
      </c>
      <c r="H1683" s="182" t="s">
        <v>117</v>
      </c>
      <c r="I1683" s="182"/>
      <c r="J1683" s="182"/>
    </row>
    <row r="1684" spans="1:10" ht="120" customHeight="1">
      <c r="A1684" s="362"/>
      <c r="B1684" s="246" t="s">
        <v>12035</v>
      </c>
      <c r="C1684" s="278" t="s">
        <v>5363</v>
      </c>
      <c r="D1684" s="24" t="s">
        <v>5364</v>
      </c>
      <c r="E1684" s="16" t="s">
        <v>4744</v>
      </c>
      <c r="F1684" s="16" t="s">
        <v>5365</v>
      </c>
      <c r="G1684" s="204" t="s">
        <v>5366</v>
      </c>
      <c r="H1684" s="182" t="s">
        <v>117</v>
      </c>
      <c r="I1684" s="182"/>
      <c r="J1684" s="182"/>
    </row>
    <row r="1685" spans="1:10" ht="120" customHeight="1">
      <c r="A1685" s="362"/>
      <c r="B1685" s="246" t="s">
        <v>12035</v>
      </c>
      <c r="C1685" s="278" t="s">
        <v>12042</v>
      </c>
      <c r="D1685" s="24" t="s">
        <v>5367</v>
      </c>
      <c r="E1685" s="16" t="s">
        <v>4744</v>
      </c>
      <c r="F1685" s="16" t="s">
        <v>5368</v>
      </c>
      <c r="G1685" s="204" t="s">
        <v>5369</v>
      </c>
      <c r="H1685" s="182" t="s">
        <v>117</v>
      </c>
      <c r="I1685" s="182"/>
      <c r="J1685" s="182"/>
    </row>
    <row r="1686" spans="1:10" ht="120" customHeight="1">
      <c r="A1686" s="362"/>
      <c r="B1686" s="246" t="s">
        <v>12035</v>
      </c>
      <c r="C1686" s="278" t="s">
        <v>12043</v>
      </c>
      <c r="D1686" s="24" t="s">
        <v>5370</v>
      </c>
      <c r="E1686" s="16" t="s">
        <v>5371</v>
      </c>
      <c r="F1686" s="16" t="s">
        <v>5372</v>
      </c>
      <c r="G1686" s="204" t="s">
        <v>5373</v>
      </c>
      <c r="H1686" s="182" t="s">
        <v>117</v>
      </c>
      <c r="I1686" s="182"/>
      <c r="J1686" s="182"/>
    </row>
    <row r="1687" spans="1:10" ht="120" customHeight="1">
      <c r="A1687" s="362"/>
      <c r="B1687" s="246" t="s">
        <v>12035</v>
      </c>
      <c r="C1687" s="278" t="s">
        <v>5374</v>
      </c>
      <c r="D1687" s="24" t="s">
        <v>5375</v>
      </c>
      <c r="E1687" s="16" t="s">
        <v>5376</v>
      </c>
      <c r="F1687" s="16" t="s">
        <v>5377</v>
      </c>
      <c r="G1687" s="204" t="s">
        <v>5378</v>
      </c>
      <c r="H1687" s="182" t="s">
        <v>117</v>
      </c>
      <c r="I1687" s="182"/>
      <c r="J1687" s="182"/>
    </row>
    <row r="1688" spans="1:10" ht="120" customHeight="1">
      <c r="A1688" s="362"/>
      <c r="B1688" s="246" t="s">
        <v>12035</v>
      </c>
      <c r="C1688" s="278" t="s">
        <v>5379</v>
      </c>
      <c r="D1688" s="24" t="s">
        <v>5380</v>
      </c>
      <c r="E1688" s="16" t="s">
        <v>5381</v>
      </c>
      <c r="F1688" s="16" t="s">
        <v>5382</v>
      </c>
      <c r="G1688" s="204" t="s">
        <v>5378</v>
      </c>
      <c r="H1688" s="182" t="s">
        <v>117</v>
      </c>
      <c r="I1688" s="182"/>
      <c r="J1688" s="182"/>
    </row>
    <row r="1689" spans="1:10" ht="120" customHeight="1">
      <c r="A1689" s="362"/>
      <c r="B1689" s="246" t="s">
        <v>12035</v>
      </c>
      <c r="C1689" s="278" t="s">
        <v>5383</v>
      </c>
      <c r="D1689" s="24" t="s">
        <v>5384</v>
      </c>
      <c r="E1689" s="16" t="s">
        <v>4744</v>
      </c>
      <c r="F1689" s="16" t="s">
        <v>5385</v>
      </c>
      <c r="G1689" s="204" t="s">
        <v>5386</v>
      </c>
      <c r="H1689" s="182" t="s">
        <v>117</v>
      </c>
      <c r="I1689" s="182"/>
      <c r="J1689" s="182"/>
    </row>
    <row r="1690" spans="1:10" ht="120" customHeight="1">
      <c r="A1690" s="362"/>
      <c r="B1690" s="246" t="s">
        <v>12035</v>
      </c>
      <c r="C1690" s="278" t="s">
        <v>5387</v>
      </c>
      <c r="D1690" s="24" t="s">
        <v>5388</v>
      </c>
      <c r="E1690" s="16" t="s">
        <v>4744</v>
      </c>
      <c r="F1690" s="16" t="s">
        <v>5389</v>
      </c>
      <c r="G1690" s="204" t="s">
        <v>5390</v>
      </c>
      <c r="H1690" s="182" t="s">
        <v>117</v>
      </c>
      <c r="I1690" s="182"/>
      <c r="J1690" s="182"/>
    </row>
    <row r="1691" spans="1:10" ht="120" customHeight="1">
      <c r="A1691" s="362"/>
      <c r="B1691" s="246" t="s">
        <v>12035</v>
      </c>
      <c r="C1691" s="278" t="s">
        <v>5391</v>
      </c>
      <c r="D1691" s="24" t="s">
        <v>5392</v>
      </c>
      <c r="E1691" s="16" t="s">
        <v>5393</v>
      </c>
      <c r="F1691" s="16" t="s">
        <v>5394</v>
      </c>
      <c r="G1691" s="204" t="s">
        <v>5395</v>
      </c>
      <c r="H1691" s="182" t="s">
        <v>117</v>
      </c>
      <c r="I1691" s="182"/>
      <c r="J1691" s="182"/>
    </row>
    <row r="1692" spans="1:10" ht="120" customHeight="1">
      <c r="A1692" s="362"/>
      <c r="B1692" s="246" t="s">
        <v>12035</v>
      </c>
      <c r="C1692" s="278" t="s">
        <v>5396</v>
      </c>
      <c r="D1692" s="24" t="s">
        <v>12044</v>
      </c>
      <c r="E1692" s="16" t="s">
        <v>4744</v>
      </c>
      <c r="F1692" s="16" t="s">
        <v>5397</v>
      </c>
      <c r="G1692" s="204" t="s">
        <v>5398</v>
      </c>
      <c r="H1692" s="182" t="s">
        <v>117</v>
      </c>
      <c r="I1692" s="182"/>
      <c r="J1692" s="182"/>
    </row>
    <row r="1693" spans="1:10" ht="120" customHeight="1">
      <c r="A1693" s="362"/>
      <c r="B1693" s="246" t="s">
        <v>12035</v>
      </c>
      <c r="C1693" s="278" t="s">
        <v>5399</v>
      </c>
      <c r="D1693" s="24" t="s">
        <v>5400</v>
      </c>
      <c r="E1693" s="16" t="s">
        <v>4744</v>
      </c>
      <c r="F1693" s="16" t="s">
        <v>5401</v>
      </c>
      <c r="G1693" s="204" t="s">
        <v>5402</v>
      </c>
      <c r="H1693" s="182" t="s">
        <v>117</v>
      </c>
      <c r="I1693" s="182"/>
      <c r="J1693" s="182"/>
    </row>
    <row r="1694" spans="1:10" ht="120" customHeight="1">
      <c r="A1694" s="362"/>
      <c r="B1694" s="246" t="s">
        <v>12035</v>
      </c>
      <c r="C1694" s="278" t="s">
        <v>12045</v>
      </c>
      <c r="D1694" s="24" t="s">
        <v>12046</v>
      </c>
      <c r="E1694" s="16" t="s">
        <v>4744</v>
      </c>
      <c r="F1694" s="16" t="s">
        <v>12047</v>
      </c>
      <c r="G1694" s="204" t="s">
        <v>12048</v>
      </c>
      <c r="H1694" s="182" t="s">
        <v>117</v>
      </c>
      <c r="I1694" s="182"/>
      <c r="J1694" s="182"/>
    </row>
    <row r="1695" spans="1:10" ht="120" customHeight="1">
      <c r="A1695" s="362"/>
      <c r="B1695" s="247" t="s">
        <v>12049</v>
      </c>
      <c r="C1695" s="278" t="s">
        <v>5404</v>
      </c>
      <c r="D1695" s="24" t="s">
        <v>5405</v>
      </c>
      <c r="E1695" s="16" t="s">
        <v>4744</v>
      </c>
      <c r="F1695" s="16" t="s">
        <v>5406</v>
      </c>
      <c r="G1695" s="204" t="s">
        <v>5407</v>
      </c>
      <c r="H1695" s="182" t="s">
        <v>184</v>
      </c>
      <c r="I1695" s="182"/>
      <c r="J1695" s="182"/>
    </row>
    <row r="1696" spans="1:10" ht="120" customHeight="1">
      <c r="A1696" s="362"/>
      <c r="B1696" s="247" t="s">
        <v>12049</v>
      </c>
      <c r="C1696" s="278" t="s">
        <v>5408</v>
      </c>
      <c r="D1696" s="16" t="s">
        <v>5409</v>
      </c>
      <c r="E1696" s="16" t="s">
        <v>4744</v>
      </c>
      <c r="F1696" s="16" t="s">
        <v>5410</v>
      </c>
      <c r="G1696" s="204" t="s">
        <v>5411</v>
      </c>
      <c r="H1696" s="182" t="s">
        <v>233</v>
      </c>
      <c r="I1696" s="182"/>
      <c r="J1696" s="182"/>
    </row>
    <row r="1697" spans="1:10" ht="120" customHeight="1">
      <c r="A1697" s="362"/>
      <c r="B1697" s="247" t="s">
        <v>12049</v>
      </c>
      <c r="C1697" s="278" t="s">
        <v>5412</v>
      </c>
      <c r="D1697" s="16" t="s">
        <v>5413</v>
      </c>
      <c r="E1697" s="16" t="s">
        <v>4744</v>
      </c>
      <c r="F1697" s="16" t="s">
        <v>5414</v>
      </c>
      <c r="G1697" s="204" t="s">
        <v>5415</v>
      </c>
      <c r="H1697" s="182" t="s">
        <v>184</v>
      </c>
      <c r="I1697" s="182"/>
      <c r="J1697" s="182"/>
    </row>
    <row r="1698" spans="1:10" ht="120" customHeight="1">
      <c r="A1698" s="362"/>
      <c r="B1698" s="247" t="s">
        <v>12049</v>
      </c>
      <c r="C1698" s="278" t="s">
        <v>5416</v>
      </c>
      <c r="D1698" s="16" t="s">
        <v>5417</v>
      </c>
      <c r="E1698" s="16" t="s">
        <v>4744</v>
      </c>
      <c r="F1698" s="16" t="s">
        <v>5418</v>
      </c>
      <c r="G1698" s="204" t="s">
        <v>5419</v>
      </c>
      <c r="H1698" s="182" t="s">
        <v>184</v>
      </c>
      <c r="I1698" s="182"/>
      <c r="J1698" s="182"/>
    </row>
    <row r="1699" spans="1:10" ht="120" customHeight="1">
      <c r="A1699" s="362"/>
      <c r="B1699" s="247" t="s">
        <v>12049</v>
      </c>
      <c r="C1699" s="285" t="s">
        <v>5420</v>
      </c>
      <c r="D1699" s="16" t="s">
        <v>5421</v>
      </c>
      <c r="E1699" s="16" t="s">
        <v>5422</v>
      </c>
      <c r="F1699" s="16" t="s">
        <v>5423</v>
      </c>
      <c r="G1699" s="204" t="s">
        <v>5424</v>
      </c>
      <c r="H1699" s="182" t="s">
        <v>117</v>
      </c>
      <c r="I1699" s="182"/>
      <c r="J1699" s="182"/>
    </row>
    <row r="1700" spans="1:10" ht="120" customHeight="1">
      <c r="A1700" s="362"/>
      <c r="B1700" s="247" t="s">
        <v>12049</v>
      </c>
      <c r="C1700" s="285" t="s">
        <v>5425</v>
      </c>
      <c r="D1700" s="16" t="s">
        <v>5426</v>
      </c>
      <c r="E1700" s="16" t="s">
        <v>5427</v>
      </c>
      <c r="F1700" s="16" t="s">
        <v>5428</v>
      </c>
      <c r="G1700" s="204" t="s">
        <v>5429</v>
      </c>
      <c r="H1700" s="182" t="s">
        <v>117</v>
      </c>
      <c r="I1700" s="182"/>
      <c r="J1700" s="182"/>
    </row>
    <row r="1701" spans="1:10" ht="120" customHeight="1">
      <c r="A1701" s="362"/>
      <c r="B1701" s="247" t="s">
        <v>12049</v>
      </c>
      <c r="C1701" s="285" t="s">
        <v>5430</v>
      </c>
      <c r="D1701" s="16" t="s">
        <v>5431</v>
      </c>
      <c r="E1701" s="16" t="s">
        <v>5432</v>
      </c>
      <c r="F1701" s="16" t="s">
        <v>5433</v>
      </c>
      <c r="G1701" s="204" t="s">
        <v>5434</v>
      </c>
      <c r="H1701" s="182" t="s">
        <v>117</v>
      </c>
      <c r="I1701" s="182"/>
      <c r="J1701" s="182"/>
    </row>
    <row r="1702" spans="1:10" ht="120" customHeight="1">
      <c r="A1702" s="362"/>
      <c r="B1702" s="247" t="s">
        <v>12049</v>
      </c>
      <c r="C1702" s="285" t="s">
        <v>5435</v>
      </c>
      <c r="D1702" s="16" t="s">
        <v>5436</v>
      </c>
      <c r="E1702" s="16" t="s">
        <v>5437</v>
      </c>
      <c r="F1702" s="16" t="s">
        <v>5438</v>
      </c>
      <c r="G1702" s="204" t="s">
        <v>5439</v>
      </c>
      <c r="H1702" s="182" t="s">
        <v>117</v>
      </c>
      <c r="I1702" s="182"/>
      <c r="J1702" s="182"/>
    </row>
    <row r="1703" spans="1:10" ht="120" customHeight="1">
      <c r="A1703" s="362"/>
      <c r="B1703" s="247" t="s">
        <v>12049</v>
      </c>
      <c r="C1703" s="285" t="s">
        <v>5440</v>
      </c>
      <c r="D1703" s="16" t="s">
        <v>5441</v>
      </c>
      <c r="E1703" s="16" t="s">
        <v>5442</v>
      </c>
      <c r="F1703" s="16" t="s">
        <v>5443</v>
      </c>
      <c r="G1703" s="204" t="s">
        <v>5444</v>
      </c>
      <c r="H1703" s="182" t="s">
        <v>117</v>
      </c>
      <c r="I1703" s="182"/>
      <c r="J1703" s="182"/>
    </row>
    <row r="1704" spans="1:10" ht="120" customHeight="1">
      <c r="A1704" s="362"/>
      <c r="B1704" s="247" t="s">
        <v>12049</v>
      </c>
      <c r="C1704" s="285" t="s">
        <v>5445</v>
      </c>
      <c r="D1704" s="16" t="s">
        <v>5446</v>
      </c>
      <c r="E1704" s="16" t="s">
        <v>5447</v>
      </c>
      <c r="F1704" s="16" t="s">
        <v>5448</v>
      </c>
      <c r="G1704" s="204" t="s">
        <v>5449</v>
      </c>
      <c r="H1704" s="182" t="s">
        <v>117</v>
      </c>
      <c r="I1704" s="182"/>
      <c r="J1704" s="182"/>
    </row>
    <row r="1705" spans="1:10" ht="120" customHeight="1">
      <c r="A1705" s="362"/>
      <c r="B1705" s="247" t="s">
        <v>12049</v>
      </c>
      <c r="C1705" s="285" t="s">
        <v>5450</v>
      </c>
      <c r="D1705" s="16" t="s">
        <v>5451</v>
      </c>
      <c r="E1705" s="16" t="s">
        <v>5452</v>
      </c>
      <c r="F1705" s="16" t="s">
        <v>5453</v>
      </c>
      <c r="G1705" s="204" t="s">
        <v>12050</v>
      </c>
      <c r="H1705" s="182" t="s">
        <v>117</v>
      </c>
      <c r="I1705" s="182"/>
      <c r="J1705" s="182"/>
    </row>
    <row r="1706" spans="1:10" ht="120" customHeight="1">
      <c r="A1706" s="362"/>
      <c r="B1706" s="247" t="s">
        <v>12049</v>
      </c>
      <c r="C1706" s="285" t="s">
        <v>5454</v>
      </c>
      <c r="D1706" s="16" t="s">
        <v>5455</v>
      </c>
      <c r="E1706" s="16" t="s">
        <v>5456</v>
      </c>
      <c r="F1706" s="16" t="s">
        <v>5457</v>
      </c>
      <c r="G1706" s="204" t="s">
        <v>5458</v>
      </c>
      <c r="H1706" s="182" t="s">
        <v>117</v>
      </c>
      <c r="I1706" s="182"/>
      <c r="J1706" s="182"/>
    </row>
    <row r="1707" spans="1:10" ht="120" customHeight="1">
      <c r="A1707" s="362"/>
      <c r="B1707" s="247" t="s">
        <v>12049</v>
      </c>
      <c r="C1707" s="285" t="s">
        <v>5459</v>
      </c>
      <c r="D1707" s="16" t="s">
        <v>5460</v>
      </c>
      <c r="E1707" s="16" t="s">
        <v>5461</v>
      </c>
      <c r="F1707" s="16" t="s">
        <v>5462</v>
      </c>
      <c r="G1707" s="204" t="s">
        <v>5463</v>
      </c>
      <c r="H1707" s="182" t="s">
        <v>117</v>
      </c>
      <c r="I1707" s="182"/>
      <c r="J1707" s="182"/>
    </row>
    <row r="1708" spans="1:10" ht="120" customHeight="1">
      <c r="A1708" s="362"/>
      <c r="B1708" s="247" t="s">
        <v>12049</v>
      </c>
      <c r="C1708" s="285" t="s">
        <v>5464</v>
      </c>
      <c r="D1708" s="16" t="s">
        <v>5465</v>
      </c>
      <c r="E1708" s="16" t="s">
        <v>5466</v>
      </c>
      <c r="F1708" s="16" t="s">
        <v>5467</v>
      </c>
      <c r="G1708" s="204" t="s">
        <v>5468</v>
      </c>
      <c r="H1708" s="182" t="s">
        <v>117</v>
      </c>
      <c r="I1708" s="182"/>
      <c r="J1708" s="182"/>
    </row>
    <row r="1709" spans="1:10" ht="120" customHeight="1">
      <c r="A1709" s="362"/>
      <c r="B1709" s="247" t="s">
        <v>12049</v>
      </c>
      <c r="C1709" s="285" t="s">
        <v>5469</v>
      </c>
      <c r="D1709" s="16" t="s">
        <v>5470</v>
      </c>
      <c r="E1709" s="16" t="s">
        <v>5471</v>
      </c>
      <c r="F1709" s="16" t="s">
        <v>5472</v>
      </c>
      <c r="G1709" s="204" t="s">
        <v>5473</v>
      </c>
      <c r="H1709" s="182" t="s">
        <v>117</v>
      </c>
      <c r="I1709" s="182"/>
      <c r="J1709" s="182"/>
    </row>
    <row r="1710" spans="1:10" ht="120" customHeight="1">
      <c r="A1710" s="362"/>
      <c r="B1710" s="247" t="s">
        <v>12049</v>
      </c>
      <c r="C1710" s="285" t="s">
        <v>5474</v>
      </c>
      <c r="D1710" s="16" t="s">
        <v>5475</v>
      </c>
      <c r="E1710" s="16" t="s">
        <v>5476</v>
      </c>
      <c r="F1710" s="16" t="s">
        <v>5477</v>
      </c>
      <c r="G1710" s="204" t="s">
        <v>5478</v>
      </c>
      <c r="H1710" s="182" t="s">
        <v>117</v>
      </c>
      <c r="I1710" s="182"/>
      <c r="J1710" s="182"/>
    </row>
    <row r="1711" spans="1:10" ht="120" customHeight="1">
      <c r="A1711" s="362"/>
      <c r="B1711" s="247" t="s">
        <v>12049</v>
      </c>
      <c r="C1711" s="285" t="s">
        <v>5479</v>
      </c>
      <c r="D1711" s="16" t="s">
        <v>5480</v>
      </c>
      <c r="E1711" s="16" t="s">
        <v>5481</v>
      </c>
      <c r="F1711" s="16" t="s">
        <v>5482</v>
      </c>
      <c r="G1711" s="204" t="s">
        <v>5483</v>
      </c>
      <c r="H1711" s="182" t="s">
        <v>117</v>
      </c>
      <c r="I1711" s="182"/>
      <c r="J1711" s="182"/>
    </row>
    <row r="1712" spans="1:10" ht="120" customHeight="1">
      <c r="A1712" s="362"/>
      <c r="B1712" s="247" t="s">
        <v>12049</v>
      </c>
      <c r="C1712" s="285" t="s">
        <v>5484</v>
      </c>
      <c r="D1712" s="16" t="s">
        <v>5485</v>
      </c>
      <c r="E1712" s="16" t="s">
        <v>5486</v>
      </c>
      <c r="F1712" s="16" t="s">
        <v>5487</v>
      </c>
      <c r="G1712" s="204" t="s">
        <v>5488</v>
      </c>
      <c r="H1712" s="182" t="s">
        <v>117</v>
      </c>
      <c r="I1712" s="182"/>
      <c r="J1712" s="182"/>
    </row>
    <row r="1713" spans="1:10" ht="120" customHeight="1">
      <c r="A1713" s="362"/>
      <c r="B1713" s="247" t="s">
        <v>12049</v>
      </c>
      <c r="C1713" s="285" t="s">
        <v>5489</v>
      </c>
      <c r="D1713" s="16" t="s">
        <v>5490</v>
      </c>
      <c r="E1713" s="16" t="s">
        <v>5491</v>
      </c>
      <c r="F1713" s="16" t="s">
        <v>5492</v>
      </c>
      <c r="G1713" s="204" t="s">
        <v>12051</v>
      </c>
      <c r="H1713" s="182" t="s">
        <v>117</v>
      </c>
      <c r="I1713" s="182"/>
      <c r="J1713" s="182"/>
    </row>
    <row r="1714" spans="1:10" ht="120" customHeight="1">
      <c r="A1714" s="362"/>
      <c r="B1714" s="247" t="s">
        <v>12049</v>
      </c>
      <c r="C1714" s="285" t="s">
        <v>5493</v>
      </c>
      <c r="D1714" s="16" t="s">
        <v>5494</v>
      </c>
      <c r="E1714" s="16" t="s">
        <v>5495</v>
      </c>
      <c r="F1714" s="16" t="s">
        <v>5496</v>
      </c>
      <c r="G1714" s="204" t="s">
        <v>5497</v>
      </c>
      <c r="H1714" s="182" t="s">
        <v>117</v>
      </c>
      <c r="I1714" s="182"/>
      <c r="J1714" s="182"/>
    </row>
    <row r="1715" spans="1:10" ht="120" customHeight="1">
      <c r="A1715" s="362"/>
      <c r="B1715" s="247" t="s">
        <v>12049</v>
      </c>
      <c r="C1715" s="285" t="s">
        <v>5498</v>
      </c>
      <c r="D1715" s="16" t="s">
        <v>5499</v>
      </c>
      <c r="E1715" s="16" t="s">
        <v>5500</v>
      </c>
      <c r="F1715" s="16" t="s">
        <v>5501</v>
      </c>
      <c r="G1715" s="204" t="s">
        <v>5502</v>
      </c>
      <c r="H1715" s="182" t="s">
        <v>117</v>
      </c>
      <c r="I1715" s="182"/>
      <c r="J1715" s="182"/>
    </row>
    <row r="1716" spans="1:10" ht="120" customHeight="1">
      <c r="A1716" s="362"/>
      <c r="B1716" s="247" t="s">
        <v>12049</v>
      </c>
      <c r="C1716" s="285" t="s">
        <v>12052</v>
      </c>
      <c r="D1716" s="16" t="s">
        <v>5503</v>
      </c>
      <c r="E1716" s="16" t="s">
        <v>5504</v>
      </c>
      <c r="F1716" s="16" t="s">
        <v>5505</v>
      </c>
      <c r="G1716" s="204" t="s">
        <v>5506</v>
      </c>
      <c r="H1716" s="182" t="s">
        <v>117</v>
      </c>
      <c r="I1716" s="182"/>
      <c r="J1716" s="182"/>
    </row>
    <row r="1717" spans="1:10" ht="120" customHeight="1">
      <c r="A1717" s="362"/>
      <c r="B1717" s="247" t="s">
        <v>12049</v>
      </c>
      <c r="C1717" s="285" t="s">
        <v>5507</v>
      </c>
      <c r="D1717" s="16" t="s">
        <v>5508</v>
      </c>
      <c r="E1717" s="16" t="s">
        <v>5509</v>
      </c>
      <c r="F1717" s="16" t="s">
        <v>5510</v>
      </c>
      <c r="G1717" s="204" t="s">
        <v>5511</v>
      </c>
      <c r="H1717" s="182" t="s">
        <v>117</v>
      </c>
      <c r="I1717" s="182"/>
      <c r="J1717" s="182"/>
    </row>
    <row r="1718" spans="1:10" ht="120" customHeight="1">
      <c r="A1718" s="362"/>
      <c r="B1718" s="247" t="s">
        <v>12049</v>
      </c>
      <c r="C1718" s="278" t="s">
        <v>5512</v>
      </c>
      <c r="D1718" s="16" t="s">
        <v>5513</v>
      </c>
      <c r="E1718" s="16" t="s">
        <v>4744</v>
      </c>
      <c r="F1718" s="16" t="s">
        <v>5514</v>
      </c>
      <c r="G1718" s="204" t="s">
        <v>5515</v>
      </c>
      <c r="H1718" s="182" t="s">
        <v>117</v>
      </c>
      <c r="I1718" s="182"/>
      <c r="J1718" s="182"/>
    </row>
    <row r="1719" spans="1:10" ht="120" customHeight="1">
      <c r="A1719" s="362"/>
      <c r="B1719" s="247" t="s">
        <v>12049</v>
      </c>
      <c r="C1719" s="278" t="s">
        <v>12053</v>
      </c>
      <c r="D1719" s="16" t="s">
        <v>5516</v>
      </c>
      <c r="E1719" s="16" t="s">
        <v>4744</v>
      </c>
      <c r="F1719" s="16" t="s">
        <v>12671</v>
      </c>
      <c r="G1719" s="204" t="s">
        <v>5517</v>
      </c>
      <c r="H1719" s="182" t="s">
        <v>929</v>
      </c>
      <c r="I1719" s="182"/>
      <c r="J1719" s="182"/>
    </row>
    <row r="1720" spans="1:10" ht="120" customHeight="1">
      <c r="A1720" s="362"/>
      <c r="B1720" s="247" t="s">
        <v>12049</v>
      </c>
      <c r="C1720" s="278" t="s">
        <v>5518</v>
      </c>
      <c r="D1720" s="16" t="s">
        <v>5519</v>
      </c>
      <c r="E1720" s="16" t="s">
        <v>4744</v>
      </c>
      <c r="F1720" s="16" t="s">
        <v>5520</v>
      </c>
      <c r="G1720" s="204" t="s">
        <v>5521</v>
      </c>
      <c r="H1720" s="182" t="s">
        <v>86</v>
      </c>
      <c r="I1720" s="182"/>
      <c r="J1720" s="182"/>
    </row>
    <row r="1721" spans="1:10" ht="120" customHeight="1">
      <c r="A1721" s="362"/>
      <c r="B1721" s="247" t="s">
        <v>12049</v>
      </c>
      <c r="C1721" s="278" t="s">
        <v>5522</v>
      </c>
      <c r="D1721" s="16" t="s">
        <v>5523</v>
      </c>
      <c r="E1721" s="16" t="s">
        <v>4744</v>
      </c>
      <c r="F1721" s="16" t="s">
        <v>5524</v>
      </c>
      <c r="G1721" s="204" t="s">
        <v>5525</v>
      </c>
      <c r="H1721" s="182" t="s">
        <v>117</v>
      </c>
      <c r="I1721" s="182"/>
      <c r="J1721" s="182"/>
    </row>
    <row r="1722" spans="1:10" ht="120" customHeight="1">
      <c r="A1722" s="363"/>
      <c r="B1722" s="247" t="s">
        <v>12049</v>
      </c>
      <c r="C1722" s="278" t="s">
        <v>5526</v>
      </c>
      <c r="D1722" s="16" t="s">
        <v>5527</v>
      </c>
      <c r="E1722" s="16" t="s">
        <v>5528</v>
      </c>
      <c r="F1722" s="16" t="s">
        <v>5529</v>
      </c>
      <c r="G1722" s="204" t="s">
        <v>5525</v>
      </c>
      <c r="H1722" s="182" t="s">
        <v>86</v>
      </c>
      <c r="I1722" s="182"/>
      <c r="J1722" s="182"/>
    </row>
    <row r="1723" spans="1:10" ht="120" customHeight="1">
      <c r="A1723" s="364" t="s">
        <v>5530</v>
      </c>
      <c r="B1723" s="21" t="s">
        <v>5531</v>
      </c>
      <c r="C1723" s="278" t="s">
        <v>5532</v>
      </c>
      <c r="D1723" s="24" t="s">
        <v>5533</v>
      </c>
      <c r="E1723" s="16" t="s">
        <v>5534</v>
      </c>
      <c r="F1723" s="16" t="s">
        <v>5535</v>
      </c>
      <c r="G1723" s="204" t="s">
        <v>5536</v>
      </c>
      <c r="H1723" s="182" t="s">
        <v>184</v>
      </c>
      <c r="I1723" s="182"/>
      <c r="J1723" s="182"/>
    </row>
    <row r="1724" spans="1:10" ht="120" customHeight="1">
      <c r="A1724" s="365"/>
      <c r="B1724" s="21" t="s">
        <v>5531</v>
      </c>
      <c r="C1724" s="278" t="s">
        <v>5537</v>
      </c>
      <c r="D1724" s="24" t="s">
        <v>5538</v>
      </c>
      <c r="E1724" s="16" t="s">
        <v>5534</v>
      </c>
      <c r="F1724" s="16" t="s">
        <v>12672</v>
      </c>
      <c r="G1724" s="204" t="s">
        <v>5539</v>
      </c>
      <c r="H1724" s="182" t="s">
        <v>41</v>
      </c>
      <c r="I1724" s="182"/>
      <c r="J1724" s="182"/>
    </row>
    <row r="1725" spans="1:10" ht="120" customHeight="1">
      <c r="A1725" s="365"/>
      <c r="B1725" s="27" t="s">
        <v>5531</v>
      </c>
      <c r="C1725" s="278" t="s">
        <v>5540</v>
      </c>
      <c r="D1725" s="223" t="s">
        <v>5541</v>
      </c>
      <c r="E1725" s="16" t="s">
        <v>5534</v>
      </c>
      <c r="F1725" s="16" t="s">
        <v>5542</v>
      </c>
      <c r="G1725" s="204" t="s">
        <v>5543</v>
      </c>
      <c r="H1725" s="182" t="s">
        <v>41</v>
      </c>
      <c r="I1725" s="182"/>
      <c r="J1725" s="182"/>
    </row>
    <row r="1726" spans="1:10" ht="120" customHeight="1">
      <c r="A1726" s="365"/>
      <c r="B1726" s="27" t="s">
        <v>5531</v>
      </c>
      <c r="C1726" s="278" t="s">
        <v>5544</v>
      </c>
      <c r="D1726" s="275" t="s">
        <v>5545</v>
      </c>
      <c r="E1726" s="16" t="s">
        <v>5534</v>
      </c>
      <c r="F1726" s="16" t="s">
        <v>5546</v>
      </c>
      <c r="G1726" s="204" t="s">
        <v>5547</v>
      </c>
      <c r="H1726" s="182" t="s">
        <v>24</v>
      </c>
      <c r="I1726" s="182"/>
      <c r="J1726" s="182"/>
    </row>
    <row r="1727" spans="1:10" ht="120" customHeight="1">
      <c r="A1727" s="365"/>
      <c r="B1727" s="21" t="s">
        <v>5531</v>
      </c>
      <c r="C1727" s="278" t="s">
        <v>5548</v>
      </c>
      <c r="D1727" s="224" t="s">
        <v>5549</v>
      </c>
      <c r="E1727" s="16" t="s">
        <v>5534</v>
      </c>
      <c r="F1727" s="16" t="s">
        <v>5550</v>
      </c>
      <c r="G1727" s="204" t="s">
        <v>5551</v>
      </c>
      <c r="H1727" s="182" t="s">
        <v>41</v>
      </c>
      <c r="I1727" s="182"/>
      <c r="J1727" s="182"/>
    </row>
    <row r="1728" spans="1:10" ht="120" customHeight="1">
      <c r="A1728" s="365"/>
      <c r="B1728" s="21" t="s">
        <v>5531</v>
      </c>
      <c r="C1728" s="278" t="s">
        <v>5552</v>
      </c>
      <c r="D1728" s="225" t="s">
        <v>5553</v>
      </c>
      <c r="E1728" s="16" t="s">
        <v>12054</v>
      </c>
      <c r="F1728" s="16" t="s">
        <v>12055</v>
      </c>
      <c r="G1728" s="204" t="s">
        <v>12056</v>
      </c>
      <c r="H1728" s="182" t="s">
        <v>41</v>
      </c>
      <c r="I1728" s="182"/>
      <c r="J1728" s="182"/>
    </row>
    <row r="1729" spans="1:10" ht="120" customHeight="1">
      <c r="A1729" s="365"/>
      <c r="B1729" s="21" t="s">
        <v>5554</v>
      </c>
      <c r="C1729" s="278" t="s">
        <v>5555</v>
      </c>
      <c r="D1729" s="226" t="s">
        <v>5556</v>
      </c>
      <c r="E1729" s="16" t="s">
        <v>5534</v>
      </c>
      <c r="F1729" s="16" t="s">
        <v>12057</v>
      </c>
      <c r="G1729" s="204" t="s">
        <v>5557</v>
      </c>
      <c r="H1729" s="182" t="s">
        <v>184</v>
      </c>
      <c r="I1729" s="182"/>
      <c r="J1729" s="182"/>
    </row>
    <row r="1730" spans="1:10" ht="120" customHeight="1">
      <c r="A1730" s="365"/>
      <c r="B1730" s="21" t="s">
        <v>5558</v>
      </c>
      <c r="C1730" s="278" t="s">
        <v>5559</v>
      </c>
      <c r="D1730" s="24" t="s">
        <v>5560</v>
      </c>
      <c r="E1730" s="16" t="s">
        <v>5534</v>
      </c>
      <c r="F1730" s="16" t="s">
        <v>5561</v>
      </c>
      <c r="G1730" s="204" t="s">
        <v>5562</v>
      </c>
      <c r="H1730" s="182" t="s">
        <v>36</v>
      </c>
      <c r="I1730" s="182"/>
      <c r="J1730" s="182"/>
    </row>
    <row r="1731" spans="1:10" ht="120" customHeight="1">
      <c r="A1731" s="365"/>
      <c r="B1731" s="21" t="s">
        <v>5558</v>
      </c>
      <c r="C1731" s="278" t="s">
        <v>12058</v>
      </c>
      <c r="D1731" s="24" t="s">
        <v>5563</v>
      </c>
      <c r="E1731" s="16" t="s">
        <v>5534</v>
      </c>
      <c r="F1731" s="16" t="s">
        <v>12059</v>
      </c>
      <c r="G1731" s="204" t="s">
        <v>5564</v>
      </c>
      <c r="H1731" s="182" t="s">
        <v>24</v>
      </c>
      <c r="I1731" s="182"/>
      <c r="J1731" s="182"/>
    </row>
    <row r="1732" spans="1:10" ht="120" customHeight="1">
      <c r="A1732" s="365"/>
      <c r="B1732" s="27" t="s">
        <v>5558</v>
      </c>
      <c r="C1732" s="278" t="s">
        <v>5565</v>
      </c>
      <c r="D1732" s="24" t="s">
        <v>5566</v>
      </c>
      <c r="E1732" s="16" t="s">
        <v>5534</v>
      </c>
      <c r="F1732" s="16" t="s">
        <v>12060</v>
      </c>
      <c r="G1732" s="204" t="s">
        <v>5568</v>
      </c>
      <c r="H1732" s="182" t="s">
        <v>30</v>
      </c>
      <c r="I1732" s="182"/>
      <c r="J1732" s="182"/>
    </row>
    <row r="1733" spans="1:10" ht="120" customHeight="1">
      <c r="A1733" s="365"/>
      <c r="B1733" s="21" t="s">
        <v>5569</v>
      </c>
      <c r="C1733" s="278" t="s">
        <v>5570</v>
      </c>
      <c r="D1733" s="24" t="s">
        <v>5571</v>
      </c>
      <c r="E1733" s="16" t="s">
        <v>5534</v>
      </c>
      <c r="F1733" s="16" t="s">
        <v>5572</v>
      </c>
      <c r="G1733" s="204" t="s">
        <v>5573</v>
      </c>
      <c r="H1733" s="182" t="s">
        <v>24</v>
      </c>
      <c r="I1733" s="182"/>
      <c r="J1733" s="182"/>
    </row>
    <row r="1734" spans="1:10" ht="120" customHeight="1">
      <c r="A1734" s="365"/>
      <c r="B1734" s="21" t="s">
        <v>5574</v>
      </c>
      <c r="C1734" s="278" t="s">
        <v>5575</v>
      </c>
      <c r="D1734" s="24" t="s">
        <v>5576</v>
      </c>
      <c r="E1734" s="16" t="s">
        <v>5534</v>
      </c>
      <c r="F1734" s="16" t="s">
        <v>5577</v>
      </c>
      <c r="G1734" s="204" t="s">
        <v>5578</v>
      </c>
      <c r="H1734" s="182" t="s">
        <v>24</v>
      </c>
      <c r="I1734" s="182"/>
      <c r="J1734" s="182"/>
    </row>
    <row r="1735" spans="1:10" ht="120" customHeight="1">
      <c r="A1735" s="365"/>
      <c r="B1735" s="21" t="s">
        <v>5579</v>
      </c>
      <c r="C1735" s="278" t="s">
        <v>5580</v>
      </c>
      <c r="D1735" s="24" t="s">
        <v>5581</v>
      </c>
      <c r="E1735" s="16" t="s">
        <v>5534</v>
      </c>
      <c r="F1735" s="16" t="s">
        <v>5582</v>
      </c>
      <c r="G1735" s="204" t="s">
        <v>5583</v>
      </c>
      <c r="H1735" s="182" t="s">
        <v>24</v>
      </c>
      <c r="I1735" s="182"/>
      <c r="J1735" s="182"/>
    </row>
    <row r="1736" spans="1:10" ht="120" customHeight="1">
      <c r="A1736" s="365"/>
      <c r="B1736" s="21" t="s">
        <v>5584</v>
      </c>
      <c r="C1736" s="278" t="s">
        <v>5585</v>
      </c>
      <c r="D1736" s="24" t="s">
        <v>5586</v>
      </c>
      <c r="E1736" s="16" t="s">
        <v>5534</v>
      </c>
      <c r="F1736" s="16" t="s">
        <v>5587</v>
      </c>
      <c r="G1736" s="204" t="s">
        <v>5588</v>
      </c>
      <c r="H1736" s="182" t="s">
        <v>24</v>
      </c>
      <c r="I1736" s="182"/>
      <c r="J1736" s="182"/>
    </row>
    <row r="1737" spans="1:10" ht="120" customHeight="1">
      <c r="A1737" s="365"/>
      <c r="B1737" s="21" t="s">
        <v>5589</v>
      </c>
      <c r="C1737" s="278" t="s">
        <v>5590</v>
      </c>
      <c r="D1737" s="24" t="s">
        <v>12673</v>
      </c>
      <c r="E1737" s="16" t="s">
        <v>5534</v>
      </c>
      <c r="F1737" s="16" t="s">
        <v>12061</v>
      </c>
      <c r="G1737" s="204" t="s">
        <v>12062</v>
      </c>
      <c r="H1737" s="337" t="s">
        <v>30</v>
      </c>
      <c r="I1737" s="182"/>
      <c r="J1737" s="182"/>
    </row>
    <row r="1738" spans="1:10" ht="120" customHeight="1">
      <c r="A1738" s="365"/>
      <c r="B1738" s="21" t="s">
        <v>5589</v>
      </c>
      <c r="C1738" s="278" t="s">
        <v>5594</v>
      </c>
      <c r="D1738" s="24" t="s">
        <v>5595</v>
      </c>
      <c r="E1738" s="16" t="s">
        <v>5534</v>
      </c>
      <c r="F1738" s="16" t="s">
        <v>5596</v>
      </c>
      <c r="G1738" s="204" t="s">
        <v>5597</v>
      </c>
      <c r="H1738" s="337" t="s">
        <v>24</v>
      </c>
      <c r="I1738" s="182"/>
      <c r="J1738" s="182"/>
    </row>
    <row r="1739" spans="1:10" ht="120" customHeight="1">
      <c r="A1739" s="365"/>
      <c r="B1739" s="21" t="s">
        <v>5589</v>
      </c>
      <c r="C1739" s="278" t="s">
        <v>5598</v>
      </c>
      <c r="D1739" s="24" t="s">
        <v>5599</v>
      </c>
      <c r="E1739" s="16" t="s">
        <v>5534</v>
      </c>
      <c r="F1739" s="16" t="s">
        <v>5600</v>
      </c>
      <c r="G1739" s="204" t="s">
        <v>5601</v>
      </c>
      <c r="H1739" s="337" t="s">
        <v>24</v>
      </c>
      <c r="I1739" s="182"/>
      <c r="J1739" s="182"/>
    </row>
    <row r="1740" spans="1:10" ht="120" customHeight="1">
      <c r="A1740" s="365"/>
      <c r="B1740" s="21" t="s">
        <v>5589</v>
      </c>
      <c r="C1740" s="278" t="s">
        <v>5602</v>
      </c>
      <c r="D1740" s="24" t="s">
        <v>5603</v>
      </c>
      <c r="E1740" s="16" t="s">
        <v>5534</v>
      </c>
      <c r="F1740" s="16" t="s">
        <v>5604</v>
      </c>
      <c r="G1740" s="204" t="s">
        <v>5605</v>
      </c>
      <c r="H1740" s="337" t="s">
        <v>24</v>
      </c>
      <c r="I1740" s="182"/>
      <c r="J1740" s="182"/>
    </row>
    <row r="1741" spans="1:10" ht="120" customHeight="1">
      <c r="A1741" s="365"/>
      <c r="B1741" s="21" t="s">
        <v>5589</v>
      </c>
      <c r="C1741" s="278" t="s">
        <v>5606</v>
      </c>
      <c r="D1741" s="24" t="s">
        <v>5607</v>
      </c>
      <c r="E1741" s="16" t="s">
        <v>5534</v>
      </c>
      <c r="F1741" s="16" t="s">
        <v>12063</v>
      </c>
      <c r="G1741" s="204" t="s">
        <v>5608</v>
      </c>
      <c r="H1741" s="337" t="s">
        <v>24</v>
      </c>
      <c r="I1741" s="182"/>
      <c r="J1741" s="182"/>
    </row>
    <row r="1742" spans="1:10" ht="120" customHeight="1">
      <c r="A1742" s="365"/>
      <c r="B1742" s="27" t="s">
        <v>5589</v>
      </c>
      <c r="C1742" s="278" t="s">
        <v>5609</v>
      </c>
      <c r="D1742" s="24" t="s">
        <v>5610</v>
      </c>
      <c r="E1742" s="16" t="s">
        <v>5534</v>
      </c>
      <c r="F1742" s="16" t="s">
        <v>5611</v>
      </c>
      <c r="G1742" s="204" t="s">
        <v>5612</v>
      </c>
      <c r="H1742" s="337" t="s">
        <v>24</v>
      </c>
      <c r="I1742" s="182"/>
      <c r="J1742" s="182"/>
    </row>
    <row r="1743" spans="1:10" ht="120" customHeight="1">
      <c r="A1743" s="365"/>
      <c r="B1743" s="21" t="s">
        <v>5589</v>
      </c>
      <c r="C1743" s="278" t="s">
        <v>5613</v>
      </c>
      <c r="D1743" s="16" t="s">
        <v>5614</v>
      </c>
      <c r="E1743" s="16" t="s">
        <v>5534</v>
      </c>
      <c r="F1743" s="16" t="s">
        <v>12064</v>
      </c>
      <c r="G1743" s="204" t="s">
        <v>5615</v>
      </c>
      <c r="H1743" s="337" t="s">
        <v>24</v>
      </c>
      <c r="I1743" s="182"/>
      <c r="J1743" s="182"/>
    </row>
    <row r="1744" spans="1:10" ht="120" customHeight="1">
      <c r="A1744" s="365"/>
      <c r="B1744" s="27" t="s">
        <v>5589</v>
      </c>
      <c r="C1744" s="278" t="s">
        <v>5616</v>
      </c>
      <c r="D1744" s="16" t="s">
        <v>5617</v>
      </c>
      <c r="E1744" s="16" t="s">
        <v>5534</v>
      </c>
      <c r="F1744" s="16" t="s">
        <v>5618</v>
      </c>
      <c r="G1744" s="204" t="s">
        <v>5619</v>
      </c>
      <c r="H1744" s="337" t="s">
        <v>24</v>
      </c>
      <c r="I1744" s="182"/>
      <c r="J1744" s="182"/>
    </row>
    <row r="1745" spans="1:10" ht="120" customHeight="1">
      <c r="A1745" s="365"/>
      <c r="B1745" s="21" t="s">
        <v>5589</v>
      </c>
      <c r="C1745" s="278" t="s">
        <v>5620</v>
      </c>
      <c r="D1745" s="16" t="s">
        <v>5621</v>
      </c>
      <c r="E1745" s="16" t="s">
        <v>5534</v>
      </c>
      <c r="F1745" s="16" t="s">
        <v>5622</v>
      </c>
      <c r="G1745" s="204" t="s">
        <v>5623</v>
      </c>
      <c r="H1745" s="337" t="s">
        <v>24</v>
      </c>
      <c r="I1745" s="182"/>
      <c r="J1745" s="182"/>
    </row>
    <row r="1746" spans="1:10" ht="120" customHeight="1">
      <c r="A1746" s="365"/>
      <c r="B1746" s="27" t="s">
        <v>5589</v>
      </c>
      <c r="C1746" s="278" t="s">
        <v>5624</v>
      </c>
      <c r="D1746" s="16" t="s">
        <v>5625</v>
      </c>
      <c r="E1746" s="16" t="s">
        <v>5534</v>
      </c>
      <c r="F1746" s="16" t="s">
        <v>5626</v>
      </c>
      <c r="G1746" s="204" t="s">
        <v>5627</v>
      </c>
      <c r="H1746" s="337" t="s">
        <v>24</v>
      </c>
      <c r="I1746" s="182"/>
      <c r="J1746" s="182"/>
    </row>
    <row r="1747" spans="1:10" ht="120" customHeight="1">
      <c r="A1747" s="365"/>
      <c r="B1747" s="21" t="s">
        <v>5589</v>
      </c>
      <c r="C1747" s="278" t="s">
        <v>5628</v>
      </c>
      <c r="D1747" s="24" t="s">
        <v>5629</v>
      </c>
      <c r="E1747" s="16" t="s">
        <v>5534</v>
      </c>
      <c r="F1747" s="16" t="s">
        <v>5630</v>
      </c>
      <c r="G1747" s="204" t="s">
        <v>5631</v>
      </c>
      <c r="H1747" s="337" t="s">
        <v>24</v>
      </c>
      <c r="I1747" s="182"/>
      <c r="J1747" s="182"/>
    </row>
    <row r="1748" spans="1:10" ht="120" customHeight="1">
      <c r="A1748" s="365"/>
      <c r="B1748" s="27" t="s">
        <v>5589</v>
      </c>
      <c r="C1748" s="278" t="s">
        <v>5632</v>
      </c>
      <c r="D1748" s="16" t="s">
        <v>5633</v>
      </c>
      <c r="E1748" s="16" t="s">
        <v>5534</v>
      </c>
      <c r="F1748" s="16" t="s">
        <v>5634</v>
      </c>
      <c r="G1748" s="204" t="s">
        <v>5635</v>
      </c>
      <c r="H1748" s="337" t="s">
        <v>24</v>
      </c>
      <c r="I1748" s="182"/>
      <c r="J1748" s="182"/>
    </row>
    <row r="1749" spans="1:10" ht="120" customHeight="1">
      <c r="A1749" s="365"/>
      <c r="B1749" s="27" t="s">
        <v>5589</v>
      </c>
      <c r="C1749" s="278" t="s">
        <v>5636</v>
      </c>
      <c r="D1749" s="16" t="s">
        <v>5637</v>
      </c>
      <c r="E1749" s="16" t="s">
        <v>5534</v>
      </c>
      <c r="F1749" s="16" t="s">
        <v>5638</v>
      </c>
      <c r="G1749" s="204" t="s">
        <v>5615</v>
      </c>
      <c r="H1749" s="337" t="s">
        <v>24</v>
      </c>
      <c r="I1749" s="182"/>
      <c r="J1749" s="182"/>
    </row>
    <row r="1750" spans="1:10" ht="120" customHeight="1">
      <c r="A1750" s="365"/>
      <c r="B1750" s="21" t="s">
        <v>5589</v>
      </c>
      <c r="C1750" s="278" t="s">
        <v>5639</v>
      </c>
      <c r="D1750" s="24" t="s">
        <v>5640</v>
      </c>
      <c r="E1750" s="16" t="s">
        <v>5534</v>
      </c>
      <c r="F1750" s="16" t="s">
        <v>12065</v>
      </c>
      <c r="G1750" s="204" t="s">
        <v>5641</v>
      </c>
      <c r="H1750" s="337" t="s">
        <v>36</v>
      </c>
      <c r="I1750" s="182"/>
      <c r="J1750" s="182"/>
    </row>
    <row r="1751" spans="1:10" ht="120" customHeight="1">
      <c r="A1751" s="365"/>
      <c r="B1751" s="27" t="s">
        <v>5642</v>
      </c>
      <c r="C1751" s="278" t="s">
        <v>5643</v>
      </c>
      <c r="D1751" s="24" t="s">
        <v>5644</v>
      </c>
      <c r="E1751" s="16" t="s">
        <v>5534</v>
      </c>
      <c r="F1751" s="16" t="s">
        <v>5645</v>
      </c>
      <c r="G1751" s="204" t="s">
        <v>5615</v>
      </c>
      <c r="H1751" s="337" t="s">
        <v>24</v>
      </c>
      <c r="I1751" s="182"/>
      <c r="J1751" s="182"/>
    </row>
    <row r="1752" spans="1:10" ht="120" customHeight="1">
      <c r="A1752" s="365"/>
      <c r="B1752" s="21" t="s">
        <v>5642</v>
      </c>
      <c r="C1752" s="278" t="s">
        <v>5646</v>
      </c>
      <c r="D1752" s="24" t="s">
        <v>5647</v>
      </c>
      <c r="E1752" s="16" t="s">
        <v>5534</v>
      </c>
      <c r="F1752" s="16" t="s">
        <v>5648</v>
      </c>
      <c r="G1752" s="204" t="s">
        <v>5649</v>
      </c>
      <c r="H1752" s="337" t="s">
        <v>30</v>
      </c>
      <c r="I1752" s="182"/>
      <c r="J1752" s="182"/>
    </row>
    <row r="1753" spans="1:10" ht="120" customHeight="1">
      <c r="A1753" s="365"/>
      <c r="B1753" s="21" t="s">
        <v>12066</v>
      </c>
      <c r="C1753" s="278" t="s">
        <v>5650</v>
      </c>
      <c r="D1753" s="16" t="s">
        <v>5651</v>
      </c>
      <c r="E1753" s="16" t="s">
        <v>5534</v>
      </c>
      <c r="F1753" s="16" t="s">
        <v>5652</v>
      </c>
      <c r="G1753" s="204" t="s">
        <v>5653</v>
      </c>
      <c r="H1753" s="337" t="s">
        <v>24</v>
      </c>
      <c r="I1753" s="182"/>
      <c r="J1753" s="182"/>
    </row>
    <row r="1754" spans="1:10" ht="120" customHeight="1">
      <c r="A1754" s="365"/>
      <c r="B1754" s="27" t="s">
        <v>5642</v>
      </c>
      <c r="C1754" s="278" t="s">
        <v>5654</v>
      </c>
      <c r="D1754" s="24" t="s">
        <v>5655</v>
      </c>
      <c r="E1754" s="16" t="s">
        <v>5534</v>
      </c>
      <c r="F1754" s="16" t="s">
        <v>5656</v>
      </c>
      <c r="G1754" s="204" t="s">
        <v>5615</v>
      </c>
      <c r="H1754" s="337" t="s">
        <v>24</v>
      </c>
      <c r="I1754" s="182"/>
      <c r="J1754" s="182"/>
    </row>
    <row r="1755" spans="1:10" ht="120" customHeight="1">
      <c r="A1755" s="365"/>
      <c r="B1755" s="21" t="s">
        <v>5642</v>
      </c>
      <c r="C1755" s="278" t="s">
        <v>5657</v>
      </c>
      <c r="D1755" s="16" t="s">
        <v>5658</v>
      </c>
      <c r="E1755" s="16" t="s">
        <v>5534</v>
      </c>
      <c r="F1755" s="16" t="s">
        <v>5659</v>
      </c>
      <c r="G1755" s="204" t="s">
        <v>5660</v>
      </c>
      <c r="H1755" s="337" t="s">
        <v>24</v>
      </c>
      <c r="I1755" s="182"/>
      <c r="J1755" s="182"/>
    </row>
    <row r="1756" spans="1:10" ht="120" customHeight="1">
      <c r="A1756" s="365"/>
      <c r="B1756" s="21" t="s">
        <v>5642</v>
      </c>
      <c r="C1756" s="278" t="s">
        <v>5661</v>
      </c>
      <c r="D1756" s="24" t="s">
        <v>5662</v>
      </c>
      <c r="E1756" s="16" t="s">
        <v>5534</v>
      </c>
      <c r="F1756" s="16" t="s">
        <v>5663</v>
      </c>
      <c r="G1756" s="204" t="s">
        <v>5664</v>
      </c>
      <c r="H1756" s="337" t="s">
        <v>24</v>
      </c>
      <c r="I1756" s="182"/>
      <c r="J1756" s="182"/>
    </row>
    <row r="1757" spans="1:10" ht="120" customHeight="1">
      <c r="A1757" s="365"/>
      <c r="B1757" s="21" t="s">
        <v>5665</v>
      </c>
      <c r="C1757" s="278" t="s">
        <v>5666</v>
      </c>
      <c r="D1757" s="24" t="s">
        <v>5667</v>
      </c>
      <c r="E1757" s="16" t="s">
        <v>5534</v>
      </c>
      <c r="F1757" s="16" t="s">
        <v>12067</v>
      </c>
      <c r="G1757" s="204" t="s">
        <v>5668</v>
      </c>
      <c r="H1757" s="337" t="s">
        <v>24</v>
      </c>
      <c r="I1757" s="182"/>
      <c r="J1757" s="182"/>
    </row>
    <row r="1758" spans="1:10" ht="120" customHeight="1">
      <c r="A1758" s="365"/>
      <c r="B1758" s="21" t="s">
        <v>5665</v>
      </c>
      <c r="C1758" s="278" t="s">
        <v>5669</v>
      </c>
      <c r="D1758" s="24" t="s">
        <v>5670</v>
      </c>
      <c r="E1758" s="16" t="s">
        <v>5534</v>
      </c>
      <c r="F1758" s="16" t="s">
        <v>5671</v>
      </c>
      <c r="G1758" s="204" t="s">
        <v>5672</v>
      </c>
      <c r="H1758" s="337" t="s">
        <v>30</v>
      </c>
      <c r="I1758" s="182"/>
      <c r="J1758" s="182"/>
    </row>
    <row r="1759" spans="1:10" ht="120" customHeight="1">
      <c r="A1759" s="365"/>
      <c r="B1759" s="21" t="s">
        <v>5665</v>
      </c>
      <c r="C1759" s="278" t="s">
        <v>5673</v>
      </c>
      <c r="D1759" s="24" t="s">
        <v>5674</v>
      </c>
      <c r="E1759" s="16" t="s">
        <v>5534</v>
      </c>
      <c r="F1759" s="16" t="s">
        <v>5675</v>
      </c>
      <c r="G1759" s="204" t="s">
        <v>5615</v>
      </c>
      <c r="H1759" s="337" t="s">
        <v>24</v>
      </c>
      <c r="I1759" s="182"/>
      <c r="J1759" s="182"/>
    </row>
    <row r="1760" spans="1:10" ht="120" customHeight="1">
      <c r="A1760" s="365"/>
      <c r="B1760" s="21" t="s">
        <v>5665</v>
      </c>
      <c r="C1760" s="278" t="s">
        <v>5676</v>
      </c>
      <c r="D1760" s="24" t="s">
        <v>5677</v>
      </c>
      <c r="E1760" s="16" t="s">
        <v>5534</v>
      </c>
      <c r="F1760" s="16" t="s">
        <v>5678</v>
      </c>
      <c r="G1760" s="204" t="s">
        <v>5679</v>
      </c>
      <c r="H1760" s="337" t="s">
        <v>24</v>
      </c>
      <c r="I1760" s="182"/>
      <c r="J1760" s="182"/>
    </row>
    <row r="1761" spans="1:10" ht="120" customHeight="1">
      <c r="A1761" s="365"/>
      <c r="B1761" s="27" t="s">
        <v>5665</v>
      </c>
      <c r="C1761" s="278" t="s">
        <v>5680</v>
      </c>
      <c r="D1761" s="24" t="s">
        <v>5681</v>
      </c>
      <c r="E1761" s="16" t="s">
        <v>5534</v>
      </c>
      <c r="F1761" s="16" t="s">
        <v>5682</v>
      </c>
      <c r="G1761" s="204" t="s">
        <v>5615</v>
      </c>
      <c r="H1761" s="337" t="s">
        <v>24</v>
      </c>
      <c r="I1761" s="182"/>
      <c r="J1761" s="182"/>
    </row>
    <row r="1762" spans="1:10" ht="120" customHeight="1">
      <c r="A1762" s="365"/>
      <c r="B1762" s="21" t="s">
        <v>5665</v>
      </c>
      <c r="C1762" s="278" t="s">
        <v>5683</v>
      </c>
      <c r="D1762" s="24" t="s">
        <v>5684</v>
      </c>
      <c r="E1762" s="16" t="s">
        <v>5534</v>
      </c>
      <c r="F1762" s="16" t="s">
        <v>12068</v>
      </c>
      <c r="G1762" s="204" t="s">
        <v>5685</v>
      </c>
      <c r="H1762" s="337" t="s">
        <v>24</v>
      </c>
      <c r="I1762" s="182"/>
      <c r="J1762" s="182"/>
    </row>
    <row r="1763" spans="1:10" ht="120" customHeight="1">
      <c r="A1763" s="365"/>
      <c r="B1763" s="21" t="s">
        <v>5665</v>
      </c>
      <c r="C1763" s="278" t="s">
        <v>5686</v>
      </c>
      <c r="D1763" s="24" t="s">
        <v>5687</v>
      </c>
      <c r="E1763" s="16" t="s">
        <v>5534</v>
      </c>
      <c r="F1763" s="16" t="s">
        <v>12069</v>
      </c>
      <c r="G1763" s="204" t="s">
        <v>5688</v>
      </c>
      <c r="H1763" s="337" t="s">
        <v>24</v>
      </c>
      <c r="I1763" s="182"/>
      <c r="J1763" s="182"/>
    </row>
    <row r="1764" spans="1:10" ht="120" customHeight="1">
      <c r="A1764" s="365"/>
      <c r="B1764" s="27" t="s">
        <v>5689</v>
      </c>
      <c r="C1764" s="278" t="s">
        <v>5690</v>
      </c>
      <c r="D1764" s="24" t="s">
        <v>5691</v>
      </c>
      <c r="E1764" s="16" t="s">
        <v>5534</v>
      </c>
      <c r="F1764" s="16" t="s">
        <v>5692</v>
      </c>
      <c r="G1764" s="204" t="s">
        <v>5693</v>
      </c>
      <c r="H1764" s="337" t="s">
        <v>24</v>
      </c>
      <c r="I1764" s="182"/>
      <c r="J1764" s="182"/>
    </row>
    <row r="1765" spans="1:10" ht="120" customHeight="1">
      <c r="A1765" s="365"/>
      <c r="B1765" s="21" t="s">
        <v>5689</v>
      </c>
      <c r="C1765" s="278" t="s">
        <v>5694</v>
      </c>
      <c r="D1765" s="24" t="s">
        <v>5695</v>
      </c>
      <c r="E1765" s="16" t="s">
        <v>5534</v>
      </c>
      <c r="F1765" s="16" t="s">
        <v>5696</v>
      </c>
      <c r="G1765" s="204" t="s">
        <v>12070</v>
      </c>
      <c r="H1765" s="337" t="s">
        <v>24</v>
      </c>
      <c r="I1765" s="182"/>
      <c r="J1765" s="182"/>
    </row>
    <row r="1766" spans="1:10" ht="120" customHeight="1">
      <c r="A1766" s="365"/>
      <c r="B1766" s="21" t="s">
        <v>5689</v>
      </c>
      <c r="C1766" s="278" t="s">
        <v>5697</v>
      </c>
      <c r="D1766" s="24" t="s">
        <v>5698</v>
      </c>
      <c r="E1766" s="16" t="s">
        <v>5534</v>
      </c>
      <c r="F1766" s="16" t="s">
        <v>5699</v>
      </c>
      <c r="G1766" s="204" t="s">
        <v>5700</v>
      </c>
      <c r="H1766" s="337" t="s">
        <v>30</v>
      </c>
      <c r="I1766" s="182"/>
      <c r="J1766" s="182"/>
    </row>
    <row r="1767" spans="1:10" ht="120" customHeight="1">
      <c r="A1767" s="365"/>
      <c r="B1767" s="27" t="s">
        <v>5689</v>
      </c>
      <c r="C1767" s="278" t="s">
        <v>5701</v>
      </c>
      <c r="D1767" s="24" t="s">
        <v>5702</v>
      </c>
      <c r="E1767" s="16" t="s">
        <v>5534</v>
      </c>
      <c r="F1767" s="16" t="s">
        <v>5703</v>
      </c>
      <c r="G1767" s="204" t="s">
        <v>12071</v>
      </c>
      <c r="H1767" s="337" t="s">
        <v>24</v>
      </c>
      <c r="I1767" s="182"/>
      <c r="J1767" s="182"/>
    </row>
    <row r="1768" spans="1:10" ht="120" customHeight="1">
      <c r="A1768" s="365"/>
      <c r="B1768" s="27" t="s">
        <v>5689</v>
      </c>
      <c r="C1768" s="278" t="s">
        <v>5704</v>
      </c>
      <c r="D1768" s="24" t="s">
        <v>5705</v>
      </c>
      <c r="E1768" s="16" t="s">
        <v>5534</v>
      </c>
      <c r="F1768" s="16" t="s">
        <v>5706</v>
      </c>
      <c r="G1768" s="204" t="s">
        <v>5707</v>
      </c>
      <c r="H1768" s="337" t="s">
        <v>24</v>
      </c>
      <c r="I1768" s="182"/>
      <c r="J1768" s="182"/>
    </row>
    <row r="1769" spans="1:10" ht="120" customHeight="1">
      <c r="A1769" s="365"/>
      <c r="B1769" s="21" t="s">
        <v>5689</v>
      </c>
      <c r="C1769" s="278" t="s">
        <v>5708</v>
      </c>
      <c r="D1769" s="24" t="s">
        <v>5709</v>
      </c>
      <c r="E1769" s="16" t="s">
        <v>5534</v>
      </c>
      <c r="F1769" s="16" t="s">
        <v>5710</v>
      </c>
      <c r="G1769" s="204" t="s">
        <v>5707</v>
      </c>
      <c r="H1769" s="337" t="s">
        <v>24</v>
      </c>
      <c r="I1769" s="182"/>
      <c r="J1769" s="182"/>
    </row>
    <row r="1770" spans="1:10" ht="120" customHeight="1">
      <c r="A1770" s="365"/>
      <c r="B1770" s="21" t="s">
        <v>5689</v>
      </c>
      <c r="C1770" s="278" t="s">
        <v>5711</v>
      </c>
      <c r="D1770" s="24" t="s">
        <v>5712</v>
      </c>
      <c r="E1770" s="16" t="s">
        <v>5534</v>
      </c>
      <c r="F1770" s="16" t="s">
        <v>5713</v>
      </c>
      <c r="G1770" s="204" t="s">
        <v>5707</v>
      </c>
      <c r="H1770" s="337" t="s">
        <v>184</v>
      </c>
      <c r="I1770" s="182"/>
      <c r="J1770" s="182"/>
    </row>
    <row r="1771" spans="1:10" ht="120" customHeight="1">
      <c r="A1771" s="365"/>
      <c r="B1771" s="27" t="s">
        <v>5714</v>
      </c>
      <c r="C1771" s="278" t="s">
        <v>5715</v>
      </c>
      <c r="D1771" s="24" t="s">
        <v>5716</v>
      </c>
      <c r="E1771" s="16" t="s">
        <v>5534</v>
      </c>
      <c r="F1771" s="16" t="s">
        <v>12072</v>
      </c>
      <c r="G1771" s="204" t="s">
        <v>5717</v>
      </c>
      <c r="H1771" s="337" t="s">
        <v>24</v>
      </c>
      <c r="I1771" s="182"/>
      <c r="J1771" s="182"/>
    </row>
    <row r="1772" spans="1:10" ht="120" customHeight="1">
      <c r="A1772" s="365"/>
      <c r="B1772" s="27" t="s">
        <v>5714</v>
      </c>
      <c r="C1772" s="278" t="s">
        <v>5718</v>
      </c>
      <c r="D1772" s="24" t="s">
        <v>5719</v>
      </c>
      <c r="E1772" s="16" t="s">
        <v>5534</v>
      </c>
      <c r="F1772" s="16" t="s">
        <v>12073</v>
      </c>
      <c r="G1772" s="204" t="s">
        <v>5720</v>
      </c>
      <c r="H1772" s="337" t="s">
        <v>24</v>
      </c>
      <c r="I1772" s="182"/>
      <c r="J1772" s="182"/>
    </row>
    <row r="1773" spans="1:10" ht="120" customHeight="1">
      <c r="A1773" s="365"/>
      <c r="B1773" s="21" t="s">
        <v>5714</v>
      </c>
      <c r="C1773" s="278" t="s">
        <v>5721</v>
      </c>
      <c r="D1773" s="24" t="s">
        <v>5722</v>
      </c>
      <c r="E1773" s="16" t="s">
        <v>5534</v>
      </c>
      <c r="F1773" s="16" t="s">
        <v>5723</v>
      </c>
      <c r="G1773" s="204" t="s">
        <v>5724</v>
      </c>
      <c r="H1773" s="337" t="s">
        <v>24</v>
      </c>
      <c r="I1773" s="182"/>
      <c r="J1773" s="182"/>
    </row>
    <row r="1774" spans="1:10" ht="120" customHeight="1">
      <c r="A1774" s="365"/>
      <c r="B1774" s="276" t="s">
        <v>5714</v>
      </c>
      <c r="C1774" s="278" t="s">
        <v>5725</v>
      </c>
      <c r="D1774" s="207" t="s">
        <v>5726</v>
      </c>
      <c r="E1774" s="204" t="s">
        <v>5534</v>
      </c>
      <c r="F1774" s="204" t="s">
        <v>5727</v>
      </c>
      <c r="G1774" s="204" t="s">
        <v>5728</v>
      </c>
      <c r="H1774" s="337" t="s">
        <v>24</v>
      </c>
      <c r="I1774" s="182"/>
      <c r="J1774" s="182"/>
    </row>
    <row r="1775" spans="1:10" ht="120" customHeight="1">
      <c r="A1775" s="365"/>
      <c r="B1775" s="276" t="s">
        <v>5714</v>
      </c>
      <c r="C1775" s="278" t="s">
        <v>5729</v>
      </c>
      <c r="D1775" s="277" t="s">
        <v>5730</v>
      </c>
      <c r="E1775" s="204" t="s">
        <v>5534</v>
      </c>
      <c r="F1775" s="222" t="s">
        <v>5731</v>
      </c>
      <c r="G1775" s="204" t="s">
        <v>5732</v>
      </c>
      <c r="H1775" s="337" t="s">
        <v>24</v>
      </c>
      <c r="I1775" s="182"/>
      <c r="J1775" s="182"/>
    </row>
    <row r="1776" spans="1:10" ht="120" customHeight="1">
      <c r="A1776" s="365"/>
      <c r="B1776" s="27" t="s">
        <v>5714</v>
      </c>
      <c r="C1776" s="278" t="s">
        <v>5733</v>
      </c>
      <c r="D1776" s="225" t="s">
        <v>5734</v>
      </c>
      <c r="E1776" s="16" t="s">
        <v>5534</v>
      </c>
      <c r="F1776" s="16" t="s">
        <v>12074</v>
      </c>
      <c r="G1776" s="204" t="s">
        <v>5735</v>
      </c>
      <c r="H1776" s="337" t="s">
        <v>24</v>
      </c>
      <c r="I1776" s="182"/>
      <c r="J1776" s="182"/>
    </row>
    <row r="1777" spans="1:10" ht="120" customHeight="1">
      <c r="A1777" s="365"/>
      <c r="B1777" s="21" t="s">
        <v>5714</v>
      </c>
      <c r="C1777" s="278" t="s">
        <v>5736</v>
      </c>
      <c r="D1777" s="228" t="s">
        <v>5737</v>
      </c>
      <c r="E1777" s="16" t="s">
        <v>5534</v>
      </c>
      <c r="F1777" s="16" t="s">
        <v>12075</v>
      </c>
      <c r="G1777" s="204" t="s">
        <v>5738</v>
      </c>
      <c r="H1777" s="337" t="s">
        <v>24</v>
      </c>
      <c r="I1777" s="182"/>
      <c r="J1777" s="182"/>
    </row>
    <row r="1778" spans="1:10" ht="120" customHeight="1">
      <c r="A1778" s="365"/>
      <c r="B1778" s="27" t="s">
        <v>5714</v>
      </c>
      <c r="C1778" s="278" t="s">
        <v>5739</v>
      </c>
      <c r="D1778" s="24" t="s">
        <v>5740</v>
      </c>
      <c r="E1778" s="16" t="s">
        <v>5534</v>
      </c>
      <c r="F1778" s="16" t="s">
        <v>5741</v>
      </c>
      <c r="G1778" s="204" t="s">
        <v>5742</v>
      </c>
      <c r="H1778" s="337" t="s">
        <v>24</v>
      </c>
      <c r="I1778" s="182"/>
      <c r="J1778" s="182"/>
    </row>
    <row r="1779" spans="1:10" ht="120" customHeight="1">
      <c r="A1779" s="365"/>
      <c r="B1779" s="21" t="s">
        <v>5714</v>
      </c>
      <c r="C1779" s="278" t="s">
        <v>5743</v>
      </c>
      <c r="D1779" s="24" t="s">
        <v>5744</v>
      </c>
      <c r="E1779" s="16" t="s">
        <v>5534</v>
      </c>
      <c r="F1779" s="16" t="s">
        <v>5745</v>
      </c>
      <c r="G1779" s="204" t="s">
        <v>5746</v>
      </c>
      <c r="H1779" s="337" t="s">
        <v>24</v>
      </c>
      <c r="I1779" s="182"/>
      <c r="J1779" s="182"/>
    </row>
    <row r="1780" spans="1:10" ht="120" customHeight="1">
      <c r="A1780" s="365"/>
      <c r="B1780" s="21" t="s">
        <v>5714</v>
      </c>
      <c r="C1780" s="278" t="s">
        <v>5747</v>
      </c>
      <c r="D1780" s="24" t="s">
        <v>5748</v>
      </c>
      <c r="E1780" s="16" t="s">
        <v>5534</v>
      </c>
      <c r="F1780" s="16" t="s">
        <v>5749</v>
      </c>
      <c r="G1780" s="204" t="s">
        <v>5750</v>
      </c>
      <c r="H1780" s="337" t="s">
        <v>24</v>
      </c>
      <c r="I1780" s="182"/>
      <c r="J1780" s="182"/>
    </row>
    <row r="1781" spans="1:10" ht="120" customHeight="1">
      <c r="A1781" s="365"/>
      <c r="B1781" s="16" t="s">
        <v>5751</v>
      </c>
      <c r="C1781" s="278" t="s">
        <v>5715</v>
      </c>
      <c r="D1781" s="24" t="s">
        <v>5753</v>
      </c>
      <c r="E1781" s="16" t="s">
        <v>5534</v>
      </c>
      <c r="F1781" s="459" t="s">
        <v>12076</v>
      </c>
      <c r="G1781" s="204" t="s">
        <v>5755</v>
      </c>
      <c r="H1781" s="337" t="s">
        <v>30</v>
      </c>
      <c r="I1781" s="182"/>
      <c r="J1781" s="182"/>
    </row>
    <row r="1782" spans="1:10" ht="120" customHeight="1">
      <c r="A1782" s="365"/>
      <c r="B1782" s="16" t="s">
        <v>5751</v>
      </c>
      <c r="C1782" s="278" t="s">
        <v>5718</v>
      </c>
      <c r="D1782" s="24" t="s">
        <v>5756</v>
      </c>
      <c r="E1782" s="16" t="s">
        <v>5534</v>
      </c>
      <c r="F1782" s="16" t="s">
        <v>12077</v>
      </c>
      <c r="G1782" s="204" t="s">
        <v>5757</v>
      </c>
      <c r="H1782" s="337" t="s">
        <v>41</v>
      </c>
      <c r="I1782" s="182"/>
      <c r="J1782" s="182"/>
    </row>
    <row r="1783" spans="1:10" ht="120" customHeight="1">
      <c r="A1783" s="365"/>
      <c r="B1783" s="16" t="s">
        <v>5751</v>
      </c>
      <c r="C1783" s="278" t="s">
        <v>5721</v>
      </c>
      <c r="D1783" s="24" t="s">
        <v>5756</v>
      </c>
      <c r="E1783" s="16" t="s">
        <v>5534</v>
      </c>
      <c r="F1783" s="16" t="s">
        <v>12078</v>
      </c>
      <c r="G1783" s="204" t="s">
        <v>5758</v>
      </c>
      <c r="H1783" s="337" t="s">
        <v>24</v>
      </c>
      <c r="I1783" s="182"/>
      <c r="J1783" s="182"/>
    </row>
    <row r="1784" spans="1:10" ht="120" customHeight="1">
      <c r="A1784" s="365"/>
      <c r="B1784" s="21" t="s">
        <v>5759</v>
      </c>
      <c r="C1784" s="278" t="s">
        <v>5760</v>
      </c>
      <c r="D1784" s="24" t="s">
        <v>5761</v>
      </c>
      <c r="E1784" s="16" t="s">
        <v>12054</v>
      </c>
      <c r="F1784" s="16" t="s">
        <v>12079</v>
      </c>
      <c r="G1784" s="204" t="s">
        <v>12080</v>
      </c>
      <c r="H1784" s="337" t="s">
        <v>30</v>
      </c>
      <c r="I1784" s="182"/>
      <c r="J1784" s="182"/>
    </row>
    <row r="1785" spans="1:10" ht="120" customHeight="1">
      <c r="A1785" s="365"/>
      <c r="B1785" s="27" t="s">
        <v>5764</v>
      </c>
      <c r="C1785" s="278" t="s">
        <v>5765</v>
      </c>
      <c r="D1785" s="24" t="s">
        <v>5766</v>
      </c>
      <c r="E1785" s="16" t="s">
        <v>5534</v>
      </c>
      <c r="F1785" s="16" t="s">
        <v>5767</v>
      </c>
      <c r="G1785" s="204" t="s">
        <v>5768</v>
      </c>
      <c r="H1785" s="337" t="s">
        <v>24</v>
      </c>
      <c r="I1785" s="182"/>
      <c r="J1785" s="182"/>
    </row>
    <row r="1786" spans="1:10" ht="120" customHeight="1">
      <c r="A1786" s="365"/>
      <c r="B1786" s="21" t="s">
        <v>5764</v>
      </c>
      <c r="C1786" s="278" t="s">
        <v>5769</v>
      </c>
      <c r="D1786" s="24" t="s">
        <v>5770</v>
      </c>
      <c r="E1786" s="16" t="s">
        <v>5534</v>
      </c>
      <c r="F1786" s="16" t="s">
        <v>5771</v>
      </c>
      <c r="G1786" s="204" t="s">
        <v>5772</v>
      </c>
      <c r="H1786" s="337" t="s">
        <v>30</v>
      </c>
      <c r="I1786" s="182"/>
      <c r="J1786" s="182"/>
    </row>
    <row r="1787" spans="1:10" ht="120" customHeight="1">
      <c r="A1787" s="365"/>
      <c r="B1787" s="21" t="s">
        <v>5764</v>
      </c>
      <c r="C1787" s="278" t="s">
        <v>12081</v>
      </c>
      <c r="D1787" s="24" t="s">
        <v>5773</v>
      </c>
      <c r="E1787" s="16" t="s">
        <v>12054</v>
      </c>
      <c r="F1787" s="16" t="s">
        <v>5774</v>
      </c>
      <c r="G1787" s="204" t="s">
        <v>5775</v>
      </c>
      <c r="H1787" s="337" t="s">
        <v>24</v>
      </c>
      <c r="I1787" s="182"/>
      <c r="J1787" s="182"/>
    </row>
    <row r="1788" spans="1:10" ht="120" customHeight="1">
      <c r="A1788" s="365"/>
      <c r="B1788" s="21" t="s">
        <v>5776</v>
      </c>
      <c r="C1788" s="278" t="s">
        <v>12082</v>
      </c>
      <c r="D1788" s="24" t="s">
        <v>5777</v>
      </c>
      <c r="E1788" s="16" t="s">
        <v>5534</v>
      </c>
      <c r="F1788" s="16" t="s">
        <v>12083</v>
      </c>
      <c r="G1788" s="204" t="s">
        <v>5778</v>
      </c>
      <c r="H1788" s="337" t="s">
        <v>24</v>
      </c>
      <c r="I1788" s="182"/>
      <c r="J1788" s="182"/>
    </row>
    <row r="1789" spans="1:10" ht="120" customHeight="1">
      <c r="A1789" s="365"/>
      <c r="B1789" s="27" t="s">
        <v>5776</v>
      </c>
      <c r="C1789" s="278" t="s">
        <v>5779</v>
      </c>
      <c r="D1789" s="24" t="s">
        <v>5780</v>
      </c>
      <c r="E1789" s="16" t="s">
        <v>5534</v>
      </c>
      <c r="F1789" s="16" t="s">
        <v>5781</v>
      </c>
      <c r="G1789" s="204" t="s">
        <v>5782</v>
      </c>
      <c r="H1789" s="337" t="s">
        <v>24</v>
      </c>
      <c r="I1789" s="182"/>
      <c r="J1789" s="182"/>
    </row>
    <row r="1790" spans="1:10" ht="120" customHeight="1">
      <c r="A1790" s="365"/>
      <c r="B1790" s="21" t="s">
        <v>5776</v>
      </c>
      <c r="C1790" s="278" t="s">
        <v>5783</v>
      </c>
      <c r="D1790" s="24" t="s">
        <v>5784</v>
      </c>
      <c r="E1790" s="16" t="s">
        <v>5534</v>
      </c>
      <c r="F1790" s="16" t="s">
        <v>12084</v>
      </c>
      <c r="G1790" s="204" t="s">
        <v>5785</v>
      </c>
      <c r="H1790" s="337" t="s">
        <v>24</v>
      </c>
      <c r="I1790" s="182"/>
      <c r="J1790" s="182"/>
    </row>
    <row r="1791" spans="1:10" ht="120" customHeight="1">
      <c r="A1791" s="365"/>
      <c r="B1791" s="21" t="s">
        <v>5776</v>
      </c>
      <c r="C1791" s="278" t="s">
        <v>5786</v>
      </c>
      <c r="D1791" s="24" t="s">
        <v>5787</v>
      </c>
      <c r="E1791" s="16" t="s">
        <v>5534</v>
      </c>
      <c r="F1791" s="16" t="s">
        <v>5788</v>
      </c>
      <c r="G1791" s="204" t="s">
        <v>5789</v>
      </c>
      <c r="H1791" s="337" t="s">
        <v>30</v>
      </c>
      <c r="I1791" s="182"/>
      <c r="J1791" s="182"/>
    </row>
    <row r="1792" spans="1:10" ht="120" customHeight="1">
      <c r="A1792" s="365"/>
      <c r="B1792" s="27" t="s">
        <v>5776</v>
      </c>
      <c r="C1792" s="278" t="s">
        <v>5790</v>
      </c>
      <c r="D1792" s="24" t="s">
        <v>5791</v>
      </c>
      <c r="E1792" s="16" t="s">
        <v>5534</v>
      </c>
      <c r="F1792" s="16" t="s">
        <v>5792</v>
      </c>
      <c r="G1792" s="204" t="s">
        <v>5793</v>
      </c>
      <c r="H1792" s="337" t="s">
        <v>24</v>
      </c>
      <c r="I1792" s="182"/>
      <c r="J1792" s="182"/>
    </row>
    <row r="1793" spans="1:10" ht="120" customHeight="1">
      <c r="A1793" s="365"/>
      <c r="B1793" s="27" t="s">
        <v>5776</v>
      </c>
      <c r="C1793" s="278" t="s">
        <v>12085</v>
      </c>
      <c r="D1793" s="24" t="s">
        <v>12086</v>
      </c>
      <c r="E1793" s="16" t="s">
        <v>5534</v>
      </c>
      <c r="F1793" s="16" t="s">
        <v>12087</v>
      </c>
      <c r="G1793" s="204" t="s">
        <v>12088</v>
      </c>
      <c r="H1793" s="337"/>
      <c r="I1793" s="182"/>
      <c r="J1793" s="182"/>
    </row>
    <row r="1794" spans="1:10" ht="120" customHeight="1">
      <c r="A1794" s="365"/>
      <c r="B1794" s="27" t="s">
        <v>5776</v>
      </c>
      <c r="C1794" s="278" t="s">
        <v>5794</v>
      </c>
      <c r="D1794" s="24" t="s">
        <v>5795</v>
      </c>
      <c r="E1794" s="16" t="s">
        <v>5534</v>
      </c>
      <c r="F1794" s="16" t="s">
        <v>12089</v>
      </c>
      <c r="G1794" s="204" t="s">
        <v>5796</v>
      </c>
      <c r="H1794" s="337" t="s">
        <v>24</v>
      </c>
      <c r="I1794" s="182"/>
      <c r="J1794" s="182"/>
    </row>
    <row r="1795" spans="1:10" ht="120" customHeight="1">
      <c r="A1795" s="365"/>
      <c r="B1795" s="21" t="s">
        <v>5776</v>
      </c>
      <c r="C1795" s="278" t="s">
        <v>5797</v>
      </c>
      <c r="D1795" s="24" t="s">
        <v>5798</v>
      </c>
      <c r="E1795" s="16" t="s">
        <v>5534</v>
      </c>
      <c r="F1795" s="16" t="s">
        <v>12090</v>
      </c>
      <c r="G1795" s="204" t="s">
        <v>5799</v>
      </c>
      <c r="H1795" s="337" t="s">
        <v>24</v>
      </c>
      <c r="I1795" s="182"/>
      <c r="J1795" s="182"/>
    </row>
    <row r="1796" spans="1:10" ht="120" customHeight="1">
      <c r="A1796" s="365"/>
      <c r="B1796" s="21" t="s">
        <v>5776</v>
      </c>
      <c r="C1796" s="278" t="s">
        <v>5800</v>
      </c>
      <c r="D1796" s="24" t="s">
        <v>5801</v>
      </c>
      <c r="E1796" s="16" t="s">
        <v>5534</v>
      </c>
      <c r="F1796" s="16" t="s">
        <v>5802</v>
      </c>
      <c r="G1796" s="204" t="s">
        <v>5799</v>
      </c>
      <c r="H1796" s="337" t="s">
        <v>24</v>
      </c>
      <c r="I1796" s="182"/>
      <c r="J1796" s="182"/>
    </row>
    <row r="1797" spans="1:10" ht="120" customHeight="1">
      <c r="A1797" s="365"/>
      <c r="B1797" s="21" t="s">
        <v>5776</v>
      </c>
      <c r="C1797" s="278" t="s">
        <v>5803</v>
      </c>
      <c r="D1797" s="24" t="s">
        <v>5804</v>
      </c>
      <c r="E1797" s="16" t="s">
        <v>5534</v>
      </c>
      <c r="F1797" s="16" t="s">
        <v>5805</v>
      </c>
      <c r="G1797" s="204" t="s">
        <v>5799</v>
      </c>
      <c r="H1797" s="337" t="s">
        <v>24</v>
      </c>
      <c r="I1797" s="182"/>
      <c r="J1797" s="182"/>
    </row>
    <row r="1798" spans="1:10" ht="120" customHeight="1">
      <c r="A1798" s="365"/>
      <c r="B1798" s="21" t="s">
        <v>5776</v>
      </c>
      <c r="C1798" s="278" t="s">
        <v>5806</v>
      </c>
      <c r="D1798" s="24" t="s">
        <v>5807</v>
      </c>
      <c r="E1798" s="16" t="s">
        <v>5534</v>
      </c>
      <c r="F1798" s="16" t="s">
        <v>5808</v>
      </c>
      <c r="G1798" s="204" t="s">
        <v>5799</v>
      </c>
      <c r="H1798" s="337" t="s">
        <v>24</v>
      </c>
      <c r="I1798" s="182"/>
      <c r="J1798" s="182"/>
    </row>
    <row r="1799" spans="1:10" ht="120" customHeight="1">
      <c r="A1799" s="365"/>
      <c r="B1799" s="21" t="s">
        <v>5776</v>
      </c>
      <c r="C1799" s="278" t="s">
        <v>12091</v>
      </c>
      <c r="D1799" s="24" t="s">
        <v>5809</v>
      </c>
      <c r="E1799" s="16" t="s">
        <v>5534</v>
      </c>
      <c r="F1799" s="16" t="s">
        <v>12092</v>
      </c>
      <c r="G1799" s="204" t="s">
        <v>5799</v>
      </c>
      <c r="H1799" s="337" t="s">
        <v>24</v>
      </c>
      <c r="I1799" s="182"/>
      <c r="J1799" s="182"/>
    </row>
    <row r="1800" spans="1:10" ht="120" customHeight="1">
      <c r="A1800" s="365"/>
      <c r="B1800" s="21" t="s">
        <v>5776</v>
      </c>
      <c r="C1800" s="278" t="s">
        <v>5810</v>
      </c>
      <c r="D1800" s="24" t="s">
        <v>5811</v>
      </c>
      <c r="E1800" s="16" t="s">
        <v>5534</v>
      </c>
      <c r="F1800" s="16" t="s">
        <v>5812</v>
      </c>
      <c r="G1800" s="204" t="s">
        <v>5799</v>
      </c>
      <c r="H1800" s="337" t="s">
        <v>24</v>
      </c>
      <c r="I1800" s="182"/>
      <c r="J1800" s="182"/>
    </row>
    <row r="1801" spans="1:10" ht="120" customHeight="1">
      <c r="A1801" s="365"/>
      <c r="B1801" s="21" t="s">
        <v>5776</v>
      </c>
      <c r="C1801" s="278" t="s">
        <v>5813</v>
      </c>
      <c r="D1801" s="24" t="s">
        <v>5814</v>
      </c>
      <c r="E1801" s="16" t="s">
        <v>5534</v>
      </c>
      <c r="F1801" s="16" t="s">
        <v>5815</v>
      </c>
      <c r="G1801" s="204" t="s">
        <v>5799</v>
      </c>
      <c r="H1801" s="337" t="s">
        <v>24</v>
      </c>
      <c r="I1801" s="182"/>
      <c r="J1801" s="182"/>
    </row>
    <row r="1802" spans="1:10" ht="120" customHeight="1">
      <c r="A1802" s="365"/>
      <c r="B1802" s="21" t="s">
        <v>5776</v>
      </c>
      <c r="C1802" s="278" t="s">
        <v>5816</v>
      </c>
      <c r="D1802" s="24" t="s">
        <v>5817</v>
      </c>
      <c r="E1802" s="16" t="s">
        <v>5534</v>
      </c>
      <c r="F1802" s="16" t="s">
        <v>5818</v>
      </c>
      <c r="G1802" s="204" t="s">
        <v>5799</v>
      </c>
      <c r="H1802" s="337" t="s">
        <v>24</v>
      </c>
      <c r="I1802" s="182"/>
      <c r="J1802" s="182"/>
    </row>
    <row r="1803" spans="1:10" ht="120" customHeight="1">
      <c r="A1803" s="365"/>
      <c r="B1803" s="21" t="s">
        <v>5776</v>
      </c>
      <c r="C1803" s="278" t="s">
        <v>5819</v>
      </c>
      <c r="D1803" s="24" t="s">
        <v>5820</v>
      </c>
      <c r="E1803" s="16" t="s">
        <v>5534</v>
      </c>
      <c r="F1803" s="16" t="s">
        <v>5821</v>
      </c>
      <c r="G1803" s="204" t="s">
        <v>5799</v>
      </c>
      <c r="H1803" s="337" t="s">
        <v>24</v>
      </c>
      <c r="I1803" s="182"/>
      <c r="J1803" s="182"/>
    </row>
    <row r="1804" spans="1:10" ht="120" customHeight="1">
      <c r="A1804" s="365"/>
      <c r="B1804" s="21" t="s">
        <v>5776</v>
      </c>
      <c r="C1804" s="278" t="s">
        <v>5822</v>
      </c>
      <c r="D1804" s="24" t="s">
        <v>5823</v>
      </c>
      <c r="E1804" s="16" t="s">
        <v>5534</v>
      </c>
      <c r="F1804" s="16" t="s">
        <v>5824</v>
      </c>
      <c r="G1804" s="204" t="s">
        <v>5799</v>
      </c>
      <c r="H1804" s="337" t="s">
        <v>184</v>
      </c>
      <c r="I1804" s="182"/>
      <c r="J1804" s="182"/>
    </row>
    <row r="1805" spans="1:10" ht="120" customHeight="1">
      <c r="A1805" s="365"/>
      <c r="B1805" s="21" t="s">
        <v>5776</v>
      </c>
      <c r="C1805" s="278" t="s">
        <v>5825</v>
      </c>
      <c r="D1805" s="24" t="s">
        <v>5826</v>
      </c>
      <c r="E1805" s="16" t="s">
        <v>5534</v>
      </c>
      <c r="F1805" s="16" t="s">
        <v>5827</v>
      </c>
      <c r="G1805" s="204" t="s">
        <v>5799</v>
      </c>
      <c r="H1805" s="337" t="s">
        <v>24</v>
      </c>
      <c r="I1805" s="182"/>
      <c r="J1805" s="182"/>
    </row>
    <row r="1806" spans="1:10" ht="120" customHeight="1">
      <c r="A1806" s="365"/>
      <c r="B1806" s="21" t="s">
        <v>5776</v>
      </c>
      <c r="C1806" s="278" t="s">
        <v>5828</v>
      </c>
      <c r="D1806" s="24" t="s">
        <v>5829</v>
      </c>
      <c r="E1806" s="16" t="s">
        <v>5534</v>
      </c>
      <c r="F1806" s="16" t="s">
        <v>5830</v>
      </c>
      <c r="G1806" s="204" t="s">
        <v>5831</v>
      </c>
      <c r="H1806" s="337" t="s">
        <v>24</v>
      </c>
      <c r="I1806" s="182"/>
      <c r="J1806" s="182"/>
    </row>
    <row r="1807" spans="1:10" ht="120" customHeight="1">
      <c r="A1807" s="365"/>
      <c r="B1807" s="27" t="s">
        <v>5832</v>
      </c>
      <c r="C1807" s="278" t="s">
        <v>5833</v>
      </c>
      <c r="D1807" s="24" t="s">
        <v>5834</v>
      </c>
      <c r="E1807" s="16" t="s">
        <v>5534</v>
      </c>
      <c r="F1807" s="16" t="s">
        <v>5835</v>
      </c>
      <c r="G1807" s="204" t="s">
        <v>5799</v>
      </c>
      <c r="H1807" s="337" t="s">
        <v>24</v>
      </c>
      <c r="I1807" s="182"/>
      <c r="J1807" s="182"/>
    </row>
    <row r="1808" spans="1:10" ht="120" customHeight="1">
      <c r="A1808" s="365"/>
      <c r="B1808" s="21" t="s">
        <v>5832</v>
      </c>
      <c r="C1808" s="278" t="s">
        <v>5836</v>
      </c>
      <c r="D1808" s="24" t="s">
        <v>5837</v>
      </c>
      <c r="E1808" s="16" t="s">
        <v>5534</v>
      </c>
      <c r="F1808" s="16" t="s">
        <v>5838</v>
      </c>
      <c r="G1808" s="204" t="s">
        <v>5839</v>
      </c>
      <c r="H1808" s="337" t="s">
        <v>24</v>
      </c>
      <c r="I1808" s="182"/>
      <c r="J1808" s="182"/>
    </row>
    <row r="1809" spans="1:10" ht="120" customHeight="1">
      <c r="A1809" s="365"/>
      <c r="B1809" s="21" t="s">
        <v>5832</v>
      </c>
      <c r="C1809" s="278" t="s">
        <v>5840</v>
      </c>
      <c r="D1809" s="24" t="s">
        <v>5841</v>
      </c>
      <c r="E1809" s="16" t="s">
        <v>5534</v>
      </c>
      <c r="F1809" s="16" t="s">
        <v>5842</v>
      </c>
      <c r="G1809" s="204" t="s">
        <v>5843</v>
      </c>
      <c r="H1809" s="337" t="s">
        <v>30</v>
      </c>
      <c r="I1809" s="182"/>
      <c r="J1809" s="182"/>
    </row>
    <row r="1810" spans="1:10" ht="120" customHeight="1">
      <c r="A1810" s="365"/>
      <c r="B1810" s="27" t="s">
        <v>5844</v>
      </c>
      <c r="C1810" s="278" t="s">
        <v>5845</v>
      </c>
      <c r="D1810" s="24" t="s">
        <v>5846</v>
      </c>
      <c r="E1810" s="16" t="s">
        <v>5534</v>
      </c>
      <c r="F1810" s="16" t="s">
        <v>5847</v>
      </c>
      <c r="G1810" s="204" t="s">
        <v>5799</v>
      </c>
      <c r="H1810" s="337" t="s">
        <v>24</v>
      </c>
      <c r="I1810" s="182"/>
      <c r="J1810" s="182"/>
    </row>
    <row r="1811" spans="1:10" ht="120" customHeight="1">
      <c r="A1811" s="365"/>
      <c r="B1811" s="27" t="s">
        <v>5844</v>
      </c>
      <c r="C1811" s="278" t="s">
        <v>5848</v>
      </c>
      <c r="D1811" s="24" t="s">
        <v>5849</v>
      </c>
      <c r="E1811" s="16" t="s">
        <v>5534</v>
      </c>
      <c r="F1811" s="16" t="s">
        <v>5850</v>
      </c>
      <c r="G1811" s="204" t="s">
        <v>5839</v>
      </c>
      <c r="H1811" s="337" t="s">
        <v>24</v>
      </c>
      <c r="I1811" s="182"/>
      <c r="J1811" s="182"/>
    </row>
    <row r="1812" spans="1:10" ht="120" customHeight="1">
      <c r="A1812" s="365"/>
      <c r="B1812" s="21" t="s">
        <v>5844</v>
      </c>
      <c r="C1812" s="278" t="s">
        <v>5851</v>
      </c>
      <c r="D1812" s="24" t="s">
        <v>5852</v>
      </c>
      <c r="E1812" s="16" t="s">
        <v>5534</v>
      </c>
      <c r="F1812" s="16" t="s">
        <v>12093</v>
      </c>
      <c r="G1812" s="204" t="s">
        <v>5843</v>
      </c>
      <c r="H1812" s="337" t="s">
        <v>24</v>
      </c>
      <c r="I1812" s="182"/>
      <c r="J1812" s="182"/>
    </row>
    <row r="1813" spans="1:10" ht="120" customHeight="1">
      <c r="A1813" s="365"/>
      <c r="B1813" s="21" t="s">
        <v>5853</v>
      </c>
      <c r="C1813" s="278" t="s">
        <v>5854</v>
      </c>
      <c r="D1813" s="24" t="s">
        <v>5855</v>
      </c>
      <c r="E1813" s="16" t="s">
        <v>5534</v>
      </c>
      <c r="F1813" s="16" t="s">
        <v>5856</v>
      </c>
      <c r="G1813" s="204" t="s">
        <v>5799</v>
      </c>
      <c r="H1813" s="337" t="s">
        <v>24</v>
      </c>
      <c r="I1813" s="182"/>
      <c r="J1813" s="182"/>
    </row>
    <row r="1814" spans="1:10" ht="120" customHeight="1">
      <c r="A1814" s="365"/>
      <c r="B1814" s="27" t="s">
        <v>5853</v>
      </c>
      <c r="C1814" s="278" t="s">
        <v>5857</v>
      </c>
      <c r="D1814" s="24" t="s">
        <v>5858</v>
      </c>
      <c r="E1814" s="16" t="s">
        <v>5534</v>
      </c>
      <c r="F1814" s="16" t="s">
        <v>5859</v>
      </c>
      <c r="G1814" s="204" t="s">
        <v>5839</v>
      </c>
      <c r="H1814" s="337" t="s">
        <v>24</v>
      </c>
      <c r="I1814" s="182"/>
      <c r="J1814" s="182"/>
    </row>
    <row r="1815" spans="1:10" ht="120" customHeight="1">
      <c r="A1815" s="365"/>
      <c r="B1815" s="21" t="s">
        <v>5853</v>
      </c>
      <c r="C1815" s="278" t="s">
        <v>5860</v>
      </c>
      <c r="D1815" s="24" t="s">
        <v>5861</v>
      </c>
      <c r="E1815" s="16" t="s">
        <v>5534</v>
      </c>
      <c r="F1815" s="16" t="s">
        <v>5862</v>
      </c>
      <c r="G1815" s="204" t="s">
        <v>5843</v>
      </c>
      <c r="H1815" s="337" t="s">
        <v>117</v>
      </c>
      <c r="I1815" s="182"/>
      <c r="J1815" s="182"/>
    </row>
    <row r="1816" spans="1:10" ht="120" customHeight="1">
      <c r="A1816" s="365"/>
      <c r="B1816" s="21" t="s">
        <v>5863</v>
      </c>
      <c r="C1816" s="278" t="s">
        <v>5864</v>
      </c>
      <c r="D1816" s="24" t="s">
        <v>5865</v>
      </c>
      <c r="E1816" s="16" t="s">
        <v>5534</v>
      </c>
      <c r="F1816" s="16" t="s">
        <v>5866</v>
      </c>
      <c r="G1816" s="204" t="s">
        <v>5867</v>
      </c>
      <c r="H1816" s="337" t="s">
        <v>24</v>
      </c>
      <c r="I1816" s="182"/>
      <c r="J1816" s="182"/>
    </row>
    <row r="1817" spans="1:10" ht="120" customHeight="1">
      <c r="A1817" s="365"/>
      <c r="B1817" s="21" t="s">
        <v>5868</v>
      </c>
      <c r="C1817" s="278" t="s">
        <v>5869</v>
      </c>
      <c r="D1817" s="24" t="s">
        <v>5870</v>
      </c>
      <c r="E1817" s="16" t="s">
        <v>5534</v>
      </c>
      <c r="F1817" s="16" t="s">
        <v>5871</v>
      </c>
      <c r="G1817" s="204" t="s">
        <v>5799</v>
      </c>
      <c r="H1817" s="337" t="s">
        <v>24</v>
      </c>
      <c r="I1817" s="182"/>
      <c r="J1817" s="182"/>
    </row>
    <row r="1818" spans="1:10" ht="120" customHeight="1">
      <c r="A1818" s="365"/>
      <c r="B1818" s="21" t="s">
        <v>5868</v>
      </c>
      <c r="C1818" s="278" t="s">
        <v>5872</v>
      </c>
      <c r="D1818" s="24" t="s">
        <v>5873</v>
      </c>
      <c r="E1818" s="16" t="s">
        <v>5534</v>
      </c>
      <c r="F1818" s="16" t="s">
        <v>5874</v>
      </c>
      <c r="G1818" s="204" t="s">
        <v>5839</v>
      </c>
      <c r="H1818" s="337" t="s">
        <v>24</v>
      </c>
      <c r="I1818" s="182"/>
      <c r="J1818" s="182"/>
    </row>
    <row r="1819" spans="1:10" ht="120" customHeight="1">
      <c r="A1819" s="365"/>
      <c r="B1819" s="21" t="s">
        <v>5868</v>
      </c>
      <c r="C1819" s="278" t="s">
        <v>5875</v>
      </c>
      <c r="D1819" s="24" t="s">
        <v>5876</v>
      </c>
      <c r="E1819" s="16" t="s">
        <v>5534</v>
      </c>
      <c r="F1819" s="16" t="s">
        <v>5877</v>
      </c>
      <c r="G1819" s="204" t="s">
        <v>5878</v>
      </c>
      <c r="H1819" s="337" t="s">
        <v>24</v>
      </c>
      <c r="I1819" s="182"/>
      <c r="J1819" s="182"/>
    </row>
    <row r="1820" spans="1:10" ht="120" customHeight="1">
      <c r="A1820" s="365"/>
      <c r="B1820" s="21" t="s">
        <v>5879</v>
      </c>
      <c r="C1820" s="278" t="s">
        <v>5880</v>
      </c>
      <c r="D1820" s="24" t="s">
        <v>5881</v>
      </c>
      <c r="E1820" s="16" t="s">
        <v>5534</v>
      </c>
      <c r="F1820" s="16" t="s">
        <v>12094</v>
      </c>
      <c r="G1820" s="204" t="s">
        <v>5882</v>
      </c>
      <c r="H1820" s="337" t="s">
        <v>24</v>
      </c>
      <c r="I1820" s="182"/>
      <c r="J1820" s="182"/>
    </row>
    <row r="1821" spans="1:10" ht="120" customHeight="1">
      <c r="A1821" s="365"/>
      <c r="B1821" s="21" t="s">
        <v>5879</v>
      </c>
      <c r="C1821" s="278" t="s">
        <v>5883</v>
      </c>
      <c r="D1821" s="24" t="s">
        <v>5884</v>
      </c>
      <c r="E1821" s="16" t="s">
        <v>5534</v>
      </c>
      <c r="F1821" s="16" t="s">
        <v>5885</v>
      </c>
      <c r="G1821" s="204" t="s">
        <v>5886</v>
      </c>
      <c r="H1821" s="337" t="s">
        <v>24</v>
      </c>
      <c r="I1821" s="182"/>
      <c r="J1821" s="182"/>
    </row>
    <row r="1822" spans="1:10" ht="120" customHeight="1">
      <c r="A1822" s="365"/>
      <c r="B1822" s="21" t="s">
        <v>5879</v>
      </c>
      <c r="C1822" s="278" t="s">
        <v>5887</v>
      </c>
      <c r="D1822" s="24" t="s">
        <v>5888</v>
      </c>
      <c r="E1822" s="16" t="s">
        <v>5534</v>
      </c>
      <c r="F1822" s="16" t="s">
        <v>5889</v>
      </c>
      <c r="G1822" s="204" t="s">
        <v>5890</v>
      </c>
      <c r="H1822" s="337" t="s">
        <v>24</v>
      </c>
      <c r="I1822" s="182"/>
      <c r="J1822" s="182"/>
    </row>
    <row r="1823" spans="1:10" ht="120" customHeight="1">
      <c r="A1823" s="365"/>
      <c r="B1823" s="21" t="s">
        <v>5879</v>
      </c>
      <c r="C1823" s="278" t="s">
        <v>5891</v>
      </c>
      <c r="D1823" s="24" t="s">
        <v>5892</v>
      </c>
      <c r="E1823" s="16" t="s">
        <v>5534</v>
      </c>
      <c r="F1823" s="16" t="s">
        <v>5893</v>
      </c>
      <c r="G1823" s="204" t="s">
        <v>5894</v>
      </c>
      <c r="H1823" s="337" t="s">
        <v>30</v>
      </c>
      <c r="I1823" s="182"/>
      <c r="J1823" s="182"/>
    </row>
    <row r="1824" spans="1:10" ht="120" customHeight="1">
      <c r="A1824" s="365"/>
      <c r="B1824" s="21" t="s">
        <v>5879</v>
      </c>
      <c r="C1824" s="278" t="s">
        <v>5895</v>
      </c>
      <c r="D1824" s="24" t="s">
        <v>5896</v>
      </c>
      <c r="E1824" s="16" t="s">
        <v>5534</v>
      </c>
      <c r="F1824" s="16" t="s">
        <v>5897</v>
      </c>
      <c r="G1824" s="204" t="s">
        <v>5898</v>
      </c>
      <c r="H1824" s="337" t="s">
        <v>24</v>
      </c>
      <c r="I1824" s="182"/>
      <c r="J1824" s="182"/>
    </row>
    <row r="1825" spans="1:10" ht="120" customHeight="1">
      <c r="A1825" s="365"/>
      <c r="B1825" s="460" t="s">
        <v>5879</v>
      </c>
      <c r="C1825" s="275" t="s">
        <v>5899</v>
      </c>
      <c r="D1825" s="223" t="s">
        <v>5900</v>
      </c>
      <c r="E1825" s="319" t="s">
        <v>5534</v>
      </c>
      <c r="F1825" s="319" t="s">
        <v>5901</v>
      </c>
      <c r="G1825" s="320" t="s">
        <v>5902</v>
      </c>
      <c r="H1825" s="339" t="s">
        <v>24</v>
      </c>
      <c r="I1825" s="182"/>
      <c r="J1825" s="182"/>
    </row>
    <row r="1826" spans="1:10" ht="120" customHeight="1">
      <c r="A1826" s="366"/>
      <c r="B1826" s="21" t="s">
        <v>12095</v>
      </c>
      <c r="C1826" s="278" t="s">
        <v>5904</v>
      </c>
      <c r="D1826" s="278" t="s">
        <v>12096</v>
      </c>
      <c r="E1826" s="16" t="s">
        <v>5534</v>
      </c>
      <c r="F1826" s="16" t="s">
        <v>12097</v>
      </c>
      <c r="G1826" s="204" t="s">
        <v>12098</v>
      </c>
      <c r="H1826" s="337" t="s">
        <v>30</v>
      </c>
      <c r="I1826" s="341"/>
      <c r="J1826" s="182"/>
    </row>
    <row r="1827" spans="1:10" ht="120" customHeight="1">
      <c r="A1827" s="366"/>
      <c r="B1827" s="21" t="s">
        <v>12095</v>
      </c>
      <c r="C1827" s="278" t="s">
        <v>12099</v>
      </c>
      <c r="D1827" s="24" t="s">
        <v>12100</v>
      </c>
      <c r="E1827" s="16" t="s">
        <v>5534</v>
      </c>
      <c r="F1827" s="16" t="s">
        <v>12101</v>
      </c>
      <c r="G1827" s="204" t="s">
        <v>12102</v>
      </c>
      <c r="H1827" s="337" t="s">
        <v>24</v>
      </c>
      <c r="I1827" s="341"/>
      <c r="J1827" s="182"/>
    </row>
    <row r="1828" spans="1:10" ht="120" customHeight="1">
      <c r="A1828" s="366"/>
      <c r="B1828" s="21" t="s">
        <v>12095</v>
      </c>
      <c r="C1828" s="278" t="s">
        <v>12103</v>
      </c>
      <c r="D1828" s="24" t="s">
        <v>12104</v>
      </c>
      <c r="E1828" s="16" t="s">
        <v>5534</v>
      </c>
      <c r="F1828" s="16" t="s">
        <v>12105</v>
      </c>
      <c r="G1828" s="204" t="s">
        <v>12106</v>
      </c>
      <c r="H1828" s="337" t="s">
        <v>24</v>
      </c>
      <c r="I1828" s="341"/>
      <c r="J1828" s="182"/>
    </row>
    <row r="1829" spans="1:10" ht="120" customHeight="1">
      <c r="A1829" s="366"/>
      <c r="B1829" s="21" t="s">
        <v>12095</v>
      </c>
      <c r="C1829" s="278" t="s">
        <v>12107</v>
      </c>
      <c r="D1829" s="24" t="s">
        <v>12104</v>
      </c>
      <c r="E1829" s="16" t="s">
        <v>5534</v>
      </c>
      <c r="F1829" s="16" t="s">
        <v>12108</v>
      </c>
      <c r="G1829" s="204" t="s">
        <v>12106</v>
      </c>
      <c r="H1829" s="337" t="s">
        <v>24</v>
      </c>
      <c r="I1829" s="341"/>
      <c r="J1829" s="182"/>
    </row>
    <row r="1830" spans="1:10" ht="120" customHeight="1">
      <c r="A1830" s="366"/>
      <c r="B1830" s="21" t="s">
        <v>12095</v>
      </c>
      <c r="C1830" s="278" t="s">
        <v>12109</v>
      </c>
      <c r="D1830" s="24" t="s">
        <v>12110</v>
      </c>
      <c r="E1830" s="16" t="s">
        <v>5534</v>
      </c>
      <c r="F1830" s="16" t="s">
        <v>12111</v>
      </c>
      <c r="G1830" s="204" t="s">
        <v>12106</v>
      </c>
      <c r="H1830" s="337" t="s">
        <v>24</v>
      </c>
      <c r="I1830" s="341"/>
      <c r="J1830" s="182"/>
    </row>
    <row r="1831" spans="1:10" ht="120" customHeight="1">
      <c r="A1831" s="366"/>
      <c r="B1831" s="21" t="s">
        <v>12112</v>
      </c>
      <c r="C1831" s="278" t="s">
        <v>12113</v>
      </c>
      <c r="D1831" s="24" t="s">
        <v>12114</v>
      </c>
      <c r="E1831" s="16" t="s">
        <v>12054</v>
      </c>
      <c r="F1831" s="16" t="s">
        <v>12115</v>
      </c>
      <c r="G1831" s="204" t="s">
        <v>12106</v>
      </c>
      <c r="H1831" s="337" t="s">
        <v>24</v>
      </c>
      <c r="I1831" s="341"/>
      <c r="J1831" s="182"/>
    </row>
    <row r="1832" spans="1:10" ht="120" customHeight="1">
      <c r="A1832" s="366"/>
      <c r="B1832" s="21" t="s">
        <v>12116</v>
      </c>
      <c r="C1832" s="278" t="s">
        <v>12117</v>
      </c>
      <c r="D1832" s="24" t="s">
        <v>12118</v>
      </c>
      <c r="E1832" s="16" t="s">
        <v>5534</v>
      </c>
      <c r="F1832" s="16" t="s">
        <v>12119</v>
      </c>
      <c r="G1832" s="204" t="s">
        <v>12106</v>
      </c>
      <c r="H1832" s="337" t="s">
        <v>24</v>
      </c>
      <c r="I1832" s="341"/>
      <c r="J1832" s="182"/>
    </row>
    <row r="1833" spans="1:10" ht="120" customHeight="1">
      <c r="A1833" s="366"/>
      <c r="B1833" s="21" t="s">
        <v>12116</v>
      </c>
      <c r="C1833" s="278" t="s">
        <v>12120</v>
      </c>
      <c r="D1833" s="24" t="s">
        <v>12121</v>
      </c>
      <c r="E1833" s="16" t="s">
        <v>5534</v>
      </c>
      <c r="F1833" s="16" t="s">
        <v>12122</v>
      </c>
      <c r="G1833" s="204" t="s">
        <v>12123</v>
      </c>
      <c r="H1833" s="337" t="s">
        <v>24</v>
      </c>
      <c r="I1833" s="341"/>
      <c r="J1833" s="182"/>
    </row>
    <row r="1834" spans="1:10" ht="120" customHeight="1">
      <c r="A1834" s="366"/>
      <c r="B1834" s="21" t="s">
        <v>12124</v>
      </c>
      <c r="C1834" s="278" t="s">
        <v>12125</v>
      </c>
      <c r="D1834" s="24" t="s">
        <v>12126</v>
      </c>
      <c r="E1834" s="16" t="s">
        <v>5534</v>
      </c>
      <c r="F1834" s="16" t="s">
        <v>12127</v>
      </c>
      <c r="G1834" s="204" t="s">
        <v>12128</v>
      </c>
      <c r="H1834" s="337"/>
      <c r="I1834" s="341"/>
      <c r="J1834" s="182"/>
    </row>
    <row r="1835" spans="1:10" ht="120" customHeight="1">
      <c r="A1835" s="366"/>
      <c r="B1835" s="16" t="s">
        <v>12129</v>
      </c>
      <c r="C1835" s="278" t="s">
        <v>12130</v>
      </c>
      <c r="D1835" s="24" t="s">
        <v>12131</v>
      </c>
      <c r="E1835" s="16" t="s">
        <v>5534</v>
      </c>
      <c r="F1835" s="16" t="s">
        <v>12132</v>
      </c>
      <c r="G1835" s="204" t="s">
        <v>12133</v>
      </c>
      <c r="H1835" s="337"/>
      <c r="I1835" s="341"/>
      <c r="J1835" s="182"/>
    </row>
    <row r="1836" spans="1:10" ht="120" customHeight="1">
      <c r="A1836" s="366"/>
      <c r="B1836" s="21" t="s">
        <v>12134</v>
      </c>
      <c r="C1836" s="278" t="s">
        <v>12135</v>
      </c>
      <c r="D1836" s="24" t="s">
        <v>12136</v>
      </c>
      <c r="E1836" s="16" t="s">
        <v>5534</v>
      </c>
      <c r="F1836" s="16" t="s">
        <v>12137</v>
      </c>
      <c r="G1836" s="204" t="s">
        <v>12138</v>
      </c>
      <c r="H1836" s="337"/>
      <c r="I1836" s="341"/>
      <c r="J1836" s="182"/>
    </row>
    <row r="1837" spans="1:10" ht="120" customHeight="1">
      <c r="A1837" s="366"/>
      <c r="B1837" s="27" t="s">
        <v>5903</v>
      </c>
      <c r="C1837" s="278" t="s">
        <v>12139</v>
      </c>
      <c r="D1837" s="24" t="s">
        <v>12140</v>
      </c>
      <c r="E1837" s="16" t="s">
        <v>5534</v>
      </c>
      <c r="F1837" s="16" t="s">
        <v>12141</v>
      </c>
      <c r="G1837" s="204" t="s">
        <v>12142</v>
      </c>
      <c r="H1837" s="337" t="s">
        <v>117</v>
      </c>
      <c r="I1837" s="341"/>
      <c r="J1837" s="182"/>
    </row>
    <row r="1838" spans="1:10" ht="120" customHeight="1">
      <c r="A1838" s="365"/>
      <c r="B1838" s="461" t="s">
        <v>5903</v>
      </c>
      <c r="C1838" s="462" t="s">
        <v>12143</v>
      </c>
      <c r="D1838" s="226" t="s">
        <v>5905</v>
      </c>
      <c r="E1838" s="463" t="s">
        <v>5534</v>
      </c>
      <c r="F1838" s="463" t="s">
        <v>5906</v>
      </c>
      <c r="G1838" s="464" t="s">
        <v>5907</v>
      </c>
      <c r="H1838" s="465" t="s">
        <v>36</v>
      </c>
      <c r="I1838" s="182"/>
      <c r="J1838" s="182"/>
    </row>
    <row r="1839" spans="1:10" ht="120" customHeight="1">
      <c r="A1839" s="466" t="s">
        <v>12144</v>
      </c>
      <c r="B1839" s="466" t="s">
        <v>12145</v>
      </c>
      <c r="C1839" s="467" t="s">
        <v>12146</v>
      </c>
      <c r="D1839" s="467" t="s">
        <v>12147</v>
      </c>
      <c r="E1839" s="468" t="s">
        <v>12148</v>
      </c>
      <c r="F1839" s="468" t="s">
        <v>12674</v>
      </c>
      <c r="G1839" s="468" t="s">
        <v>12149</v>
      </c>
      <c r="H1839" s="469" t="s">
        <v>30</v>
      </c>
      <c r="I1839" s="470" t="s">
        <v>12150</v>
      </c>
      <c r="J1839" s="182"/>
    </row>
    <row r="1840" spans="1:10" ht="120" customHeight="1">
      <c r="A1840" s="471"/>
      <c r="B1840" s="466"/>
      <c r="C1840" s="467" t="s">
        <v>12151</v>
      </c>
      <c r="D1840" s="467" t="s">
        <v>12152</v>
      </c>
      <c r="E1840" s="468" t="s">
        <v>12153</v>
      </c>
      <c r="F1840" s="468" t="s">
        <v>12154</v>
      </c>
      <c r="G1840" s="468" t="s">
        <v>12155</v>
      </c>
      <c r="H1840" s="469" t="s">
        <v>30</v>
      </c>
      <c r="I1840" s="470" t="s">
        <v>12150</v>
      </c>
      <c r="J1840" s="182"/>
    </row>
    <row r="1841" spans="1:10" ht="120" customHeight="1">
      <c r="A1841" s="471"/>
      <c r="B1841" s="466"/>
      <c r="C1841" s="467" t="s">
        <v>12156</v>
      </c>
      <c r="D1841" s="467" t="s">
        <v>12157</v>
      </c>
      <c r="E1841" s="468" t="s">
        <v>12153</v>
      </c>
      <c r="F1841" s="468" t="s">
        <v>12158</v>
      </c>
      <c r="G1841" s="468" t="s">
        <v>12159</v>
      </c>
      <c r="H1841" s="469" t="s">
        <v>30</v>
      </c>
      <c r="I1841" s="470" t="s">
        <v>12150</v>
      </c>
      <c r="J1841" s="182"/>
    </row>
    <row r="1842" spans="1:10" ht="120" customHeight="1">
      <c r="A1842" s="471"/>
      <c r="B1842" s="466"/>
      <c r="C1842" s="467" t="s">
        <v>12160</v>
      </c>
      <c r="D1842" s="467" t="s">
        <v>12161</v>
      </c>
      <c r="E1842" s="468" t="s">
        <v>12148</v>
      </c>
      <c r="F1842" s="468" t="s">
        <v>12162</v>
      </c>
      <c r="G1842" s="468" t="s">
        <v>12163</v>
      </c>
      <c r="H1842" s="469" t="s">
        <v>41</v>
      </c>
      <c r="I1842" s="470" t="s">
        <v>12150</v>
      </c>
      <c r="J1842" s="182"/>
    </row>
    <row r="1843" spans="1:10" ht="120" customHeight="1">
      <c r="A1843" s="471"/>
      <c r="B1843" s="466"/>
      <c r="C1843" s="467" t="s">
        <v>12164</v>
      </c>
      <c r="D1843" s="467" t="s">
        <v>12165</v>
      </c>
      <c r="E1843" s="468" t="s">
        <v>12148</v>
      </c>
      <c r="F1843" s="468" t="s">
        <v>12166</v>
      </c>
      <c r="G1843" s="468" t="s">
        <v>12167</v>
      </c>
      <c r="H1843" s="469" t="s">
        <v>30</v>
      </c>
      <c r="I1843" s="470" t="s">
        <v>12168</v>
      </c>
      <c r="J1843" s="182"/>
    </row>
    <row r="1844" spans="1:10" ht="120" customHeight="1">
      <c r="A1844" s="471"/>
      <c r="B1844" s="466"/>
      <c r="C1844" s="467" t="s">
        <v>12169</v>
      </c>
      <c r="D1844" s="467" t="s">
        <v>12170</v>
      </c>
      <c r="E1844" s="468" t="s">
        <v>12148</v>
      </c>
      <c r="F1844" s="468" t="s">
        <v>12171</v>
      </c>
      <c r="G1844" s="468" t="s">
        <v>12172</v>
      </c>
      <c r="H1844" s="469" t="s">
        <v>30</v>
      </c>
      <c r="I1844" s="470" t="s">
        <v>12168</v>
      </c>
      <c r="J1844" s="182"/>
    </row>
    <row r="1845" spans="1:10" ht="120" customHeight="1">
      <c r="A1845" s="471"/>
      <c r="B1845" s="472" t="s">
        <v>12173</v>
      </c>
      <c r="C1845" s="473" t="s">
        <v>12174</v>
      </c>
      <c r="D1845" s="473" t="s">
        <v>12175</v>
      </c>
      <c r="E1845" s="468" t="s">
        <v>12153</v>
      </c>
      <c r="F1845" s="468" t="s">
        <v>12675</v>
      </c>
      <c r="G1845" s="468" t="s">
        <v>12676</v>
      </c>
      <c r="H1845" s="469" t="s">
        <v>41</v>
      </c>
      <c r="I1845" s="474" t="s">
        <v>12150</v>
      </c>
      <c r="J1845" s="182"/>
    </row>
    <row r="1846" spans="1:10" ht="120" customHeight="1">
      <c r="A1846" s="471"/>
      <c r="B1846" s="471"/>
      <c r="C1846" s="473" t="s">
        <v>12176</v>
      </c>
      <c r="D1846" s="473" t="s">
        <v>12177</v>
      </c>
      <c r="E1846" s="468" t="s">
        <v>12153</v>
      </c>
      <c r="F1846" s="468" t="s">
        <v>12677</v>
      </c>
      <c r="G1846" s="468" t="s">
        <v>12178</v>
      </c>
      <c r="H1846" s="469" t="s">
        <v>24</v>
      </c>
      <c r="I1846" s="474" t="s">
        <v>12150</v>
      </c>
      <c r="J1846" s="182"/>
    </row>
    <row r="1847" spans="1:10" ht="120" customHeight="1">
      <c r="A1847" s="471"/>
      <c r="B1847" s="471"/>
      <c r="C1847" s="473" t="s">
        <v>12179</v>
      </c>
      <c r="D1847" s="473" t="s">
        <v>12180</v>
      </c>
      <c r="E1847" s="468" t="s">
        <v>12153</v>
      </c>
      <c r="F1847" s="468" t="s">
        <v>12678</v>
      </c>
      <c r="G1847" s="468" t="s">
        <v>12181</v>
      </c>
      <c r="H1847" s="469" t="s">
        <v>41</v>
      </c>
      <c r="I1847" s="474" t="s">
        <v>12150</v>
      </c>
      <c r="J1847" s="182"/>
    </row>
    <row r="1848" spans="1:10" ht="120" customHeight="1">
      <c r="A1848" s="471"/>
      <c r="B1848" s="471"/>
      <c r="C1848" s="473" t="s">
        <v>12182</v>
      </c>
      <c r="D1848" s="473" t="s">
        <v>12183</v>
      </c>
      <c r="E1848" s="468" t="s">
        <v>12148</v>
      </c>
      <c r="F1848" s="468" t="s">
        <v>12679</v>
      </c>
      <c r="G1848" s="468" t="s">
        <v>12680</v>
      </c>
      <c r="H1848" s="469" t="s">
        <v>41</v>
      </c>
      <c r="I1848" s="474" t="s">
        <v>12184</v>
      </c>
      <c r="J1848" s="182"/>
    </row>
    <row r="1849" spans="1:10" ht="120" customHeight="1">
      <c r="A1849" s="471"/>
      <c r="B1849" s="471"/>
      <c r="C1849" s="473" t="s">
        <v>12185</v>
      </c>
      <c r="D1849" s="473" t="s">
        <v>12186</v>
      </c>
      <c r="E1849" s="468" t="s">
        <v>12148</v>
      </c>
      <c r="F1849" s="468" t="s">
        <v>12681</v>
      </c>
      <c r="G1849" s="468" t="s">
        <v>12682</v>
      </c>
      <c r="H1849" s="469" t="s">
        <v>41</v>
      </c>
      <c r="I1849" s="474" t="s">
        <v>12184</v>
      </c>
      <c r="J1849" s="182"/>
    </row>
    <row r="1850" spans="1:10" ht="120" customHeight="1">
      <c r="A1850" s="471"/>
      <c r="B1850" s="471"/>
      <c r="C1850" s="473" t="s">
        <v>12187</v>
      </c>
      <c r="D1850" s="473" t="s">
        <v>12188</v>
      </c>
      <c r="E1850" s="468" t="s">
        <v>12153</v>
      </c>
      <c r="F1850" s="468" t="s">
        <v>12189</v>
      </c>
      <c r="G1850" s="468" t="s">
        <v>12190</v>
      </c>
      <c r="H1850" s="469" t="s">
        <v>41</v>
      </c>
      <c r="I1850" s="474" t="s">
        <v>12184</v>
      </c>
      <c r="J1850" s="182"/>
    </row>
    <row r="1851" spans="1:10" ht="120" customHeight="1">
      <c r="A1851" s="471"/>
      <c r="B1851" s="471"/>
      <c r="C1851" s="473" t="s">
        <v>12191</v>
      </c>
      <c r="D1851" s="473" t="s">
        <v>12192</v>
      </c>
      <c r="E1851" s="468" t="s">
        <v>12153</v>
      </c>
      <c r="F1851" s="468" t="s">
        <v>12193</v>
      </c>
      <c r="G1851" s="468" t="s">
        <v>12194</v>
      </c>
      <c r="H1851" s="469" t="s">
        <v>117</v>
      </c>
      <c r="I1851" s="474"/>
      <c r="J1851" s="182"/>
    </row>
    <row r="1852" spans="1:10" ht="120" customHeight="1">
      <c r="A1852" s="471"/>
      <c r="B1852" s="471"/>
      <c r="C1852" s="473" t="s">
        <v>12195</v>
      </c>
      <c r="D1852" s="473" t="s">
        <v>12170</v>
      </c>
      <c r="E1852" s="468" t="s">
        <v>12148</v>
      </c>
      <c r="F1852" s="468" t="s">
        <v>12196</v>
      </c>
      <c r="G1852" s="468" t="s">
        <v>12197</v>
      </c>
      <c r="H1852" s="469" t="s">
        <v>12198</v>
      </c>
      <c r="I1852" s="474" t="s">
        <v>12150</v>
      </c>
      <c r="J1852" s="182"/>
    </row>
    <row r="1853" spans="1:10" ht="120" customHeight="1">
      <c r="A1853" s="471"/>
      <c r="B1853" s="475" t="s">
        <v>12199</v>
      </c>
      <c r="C1853" s="476" t="s">
        <v>12200</v>
      </c>
      <c r="D1853" s="476" t="s">
        <v>12201</v>
      </c>
      <c r="E1853" s="468" t="s">
        <v>12148</v>
      </c>
      <c r="F1853" s="468" t="s">
        <v>12202</v>
      </c>
      <c r="G1853" s="468" t="s">
        <v>12203</v>
      </c>
      <c r="H1853" s="469" t="s">
        <v>41</v>
      </c>
      <c r="I1853" s="477" t="s">
        <v>12184</v>
      </c>
      <c r="J1853" s="182"/>
    </row>
    <row r="1854" spans="1:10" ht="120" customHeight="1">
      <c r="A1854" s="471"/>
      <c r="B1854" s="478"/>
      <c r="C1854" s="479" t="s">
        <v>12204</v>
      </c>
      <c r="D1854" s="479" t="s">
        <v>12205</v>
      </c>
      <c r="E1854" s="468" t="s">
        <v>12153</v>
      </c>
      <c r="F1854" s="468" t="s">
        <v>12206</v>
      </c>
      <c r="G1854" s="468" t="s">
        <v>12207</v>
      </c>
      <c r="H1854" s="469" t="s">
        <v>41</v>
      </c>
      <c r="I1854" s="477" t="s">
        <v>12184</v>
      </c>
      <c r="J1854" s="182"/>
    </row>
    <row r="1855" spans="1:10" ht="120" customHeight="1">
      <c r="A1855" s="471"/>
      <c r="B1855" s="475"/>
      <c r="C1855" s="476" t="s">
        <v>12208</v>
      </c>
      <c r="D1855" s="476" t="s">
        <v>12209</v>
      </c>
      <c r="E1855" s="468" t="s">
        <v>12148</v>
      </c>
      <c r="F1855" s="468" t="s">
        <v>12210</v>
      </c>
      <c r="G1855" s="468" t="s">
        <v>12211</v>
      </c>
      <c r="H1855" s="469" t="s">
        <v>41</v>
      </c>
      <c r="I1855" s="477" t="s">
        <v>12184</v>
      </c>
      <c r="J1855" s="182"/>
    </row>
    <row r="1856" spans="1:10" ht="120" customHeight="1">
      <c r="A1856" s="471"/>
      <c r="B1856" s="475"/>
      <c r="C1856" s="476" t="s">
        <v>12212</v>
      </c>
      <c r="D1856" s="476" t="s">
        <v>12213</v>
      </c>
      <c r="E1856" s="468" t="s">
        <v>12153</v>
      </c>
      <c r="F1856" s="468" t="s">
        <v>12214</v>
      </c>
      <c r="G1856" s="480" t="s">
        <v>12215</v>
      </c>
      <c r="H1856" s="469" t="s">
        <v>41</v>
      </c>
      <c r="I1856" s="477" t="s">
        <v>12150</v>
      </c>
      <c r="J1856" s="182"/>
    </row>
    <row r="1857" spans="1:10" ht="120" customHeight="1">
      <c r="A1857" s="471"/>
      <c r="B1857" s="475"/>
      <c r="C1857" s="476" t="s">
        <v>12216</v>
      </c>
      <c r="D1857" s="476" t="s">
        <v>12217</v>
      </c>
      <c r="E1857" s="468" t="s">
        <v>12153</v>
      </c>
      <c r="F1857" s="468" t="s">
        <v>12218</v>
      </c>
      <c r="G1857" s="468" t="s">
        <v>12219</v>
      </c>
      <c r="H1857" s="469" t="s">
        <v>41</v>
      </c>
      <c r="I1857" s="477" t="s">
        <v>12184</v>
      </c>
      <c r="J1857" s="182"/>
    </row>
    <row r="1858" spans="1:10" ht="120" customHeight="1">
      <c r="A1858" s="471"/>
      <c r="B1858" s="475"/>
      <c r="C1858" s="481" t="s">
        <v>12220</v>
      </c>
      <c r="D1858" s="482" t="s">
        <v>12221</v>
      </c>
      <c r="E1858" s="483" t="s">
        <v>12148</v>
      </c>
      <c r="F1858" s="484" t="s">
        <v>12222</v>
      </c>
      <c r="G1858" s="484" t="s">
        <v>12223</v>
      </c>
      <c r="H1858" s="485"/>
      <c r="I1858" s="477" t="s">
        <v>12184</v>
      </c>
      <c r="J1858" s="182"/>
    </row>
    <row r="1859" spans="1:10" ht="120" customHeight="1">
      <c r="A1859" s="471"/>
      <c r="B1859" s="475"/>
      <c r="C1859" s="481" t="s">
        <v>12224</v>
      </c>
      <c r="D1859" s="482" t="s">
        <v>12225</v>
      </c>
      <c r="E1859" s="483" t="s">
        <v>12226</v>
      </c>
      <c r="F1859" s="484" t="s">
        <v>12227</v>
      </c>
      <c r="G1859" s="484" t="s">
        <v>12228</v>
      </c>
      <c r="H1859" s="485" t="s">
        <v>11336</v>
      </c>
      <c r="I1859" s="477"/>
      <c r="J1859" s="182"/>
    </row>
    <row r="1860" spans="1:10" ht="120" customHeight="1">
      <c r="A1860" s="471"/>
      <c r="B1860" s="486" t="s">
        <v>12229</v>
      </c>
      <c r="C1860" s="487" t="s">
        <v>12230</v>
      </c>
      <c r="D1860" s="487" t="s">
        <v>12231</v>
      </c>
      <c r="E1860" s="468" t="s">
        <v>12148</v>
      </c>
      <c r="F1860" s="468" t="s">
        <v>12232</v>
      </c>
      <c r="G1860" s="468" t="s">
        <v>12233</v>
      </c>
      <c r="H1860" s="469" t="s">
        <v>30</v>
      </c>
      <c r="I1860" s="488" t="s">
        <v>12150</v>
      </c>
      <c r="J1860" s="182"/>
    </row>
    <row r="1861" spans="1:10" ht="120" customHeight="1">
      <c r="A1861" s="471"/>
      <c r="B1861" s="471"/>
      <c r="C1861" s="487" t="s">
        <v>12234</v>
      </c>
      <c r="D1861" s="487" t="s">
        <v>12235</v>
      </c>
      <c r="E1861" s="468" t="s">
        <v>12153</v>
      </c>
      <c r="F1861" s="468" t="s">
        <v>12236</v>
      </c>
      <c r="G1861" s="468" t="s">
        <v>12237</v>
      </c>
      <c r="H1861" s="469" t="s">
        <v>41</v>
      </c>
      <c r="I1861" s="488" t="s">
        <v>12150</v>
      </c>
      <c r="J1861" s="182"/>
    </row>
    <row r="1862" spans="1:10" ht="120" customHeight="1">
      <c r="A1862" s="471"/>
      <c r="B1862" s="471"/>
      <c r="C1862" s="487" t="s">
        <v>12238</v>
      </c>
      <c r="D1862" s="487" t="s">
        <v>12239</v>
      </c>
      <c r="E1862" s="468" t="s">
        <v>12153</v>
      </c>
      <c r="F1862" s="468" t="s">
        <v>12240</v>
      </c>
      <c r="G1862" s="468" t="s">
        <v>12241</v>
      </c>
      <c r="H1862" s="469" t="s">
        <v>41</v>
      </c>
      <c r="I1862" s="488" t="s">
        <v>12150</v>
      </c>
      <c r="J1862" s="182"/>
    </row>
    <row r="1863" spans="1:10" ht="120" customHeight="1">
      <c r="A1863" s="471"/>
      <c r="B1863" s="471"/>
      <c r="C1863" s="487" t="s">
        <v>12242</v>
      </c>
      <c r="D1863" s="487" t="s">
        <v>12243</v>
      </c>
      <c r="E1863" s="468" t="s">
        <v>12148</v>
      </c>
      <c r="F1863" s="468" t="s">
        <v>12244</v>
      </c>
      <c r="G1863" s="468" t="s">
        <v>12245</v>
      </c>
      <c r="H1863" s="469" t="s">
        <v>41</v>
      </c>
      <c r="I1863" s="488" t="s">
        <v>12150</v>
      </c>
      <c r="J1863" s="182"/>
    </row>
    <row r="1864" spans="1:10" ht="120" customHeight="1">
      <c r="A1864" s="471"/>
      <c r="B1864" s="489" t="s">
        <v>12246</v>
      </c>
      <c r="C1864" s="490" t="s">
        <v>12247</v>
      </c>
      <c r="D1864" s="490" t="s">
        <v>12248</v>
      </c>
      <c r="E1864" s="468" t="s">
        <v>12153</v>
      </c>
      <c r="F1864" s="468" t="s">
        <v>12249</v>
      </c>
      <c r="G1864" s="468" t="s">
        <v>12250</v>
      </c>
      <c r="H1864" s="469" t="s">
        <v>41</v>
      </c>
      <c r="I1864" s="491" t="s">
        <v>12184</v>
      </c>
      <c r="J1864" s="182"/>
    </row>
    <row r="1865" spans="1:10" ht="120" customHeight="1">
      <c r="A1865" s="471"/>
      <c r="B1865" s="471"/>
      <c r="C1865" s="490" t="s">
        <v>12251</v>
      </c>
      <c r="D1865" s="490" t="s">
        <v>12252</v>
      </c>
      <c r="E1865" s="468" t="s">
        <v>12153</v>
      </c>
      <c r="F1865" s="468" t="s">
        <v>12253</v>
      </c>
      <c r="G1865" s="468" t="s">
        <v>12254</v>
      </c>
      <c r="H1865" s="469" t="s">
        <v>30</v>
      </c>
      <c r="I1865" s="491" t="s">
        <v>12184</v>
      </c>
      <c r="J1865" s="182"/>
    </row>
    <row r="1866" spans="1:10" ht="120" customHeight="1">
      <c r="A1866" s="471"/>
      <c r="B1866" s="471"/>
      <c r="C1866" s="490" t="s">
        <v>12255</v>
      </c>
      <c r="D1866" s="490" t="s">
        <v>12256</v>
      </c>
      <c r="E1866" s="468" t="s">
        <v>12153</v>
      </c>
      <c r="F1866" s="468" t="s">
        <v>12257</v>
      </c>
      <c r="G1866" s="468" t="s">
        <v>12258</v>
      </c>
      <c r="H1866" s="469" t="s">
        <v>24</v>
      </c>
      <c r="I1866" s="491" t="s">
        <v>12259</v>
      </c>
      <c r="J1866" s="296"/>
    </row>
    <row r="1867" spans="1:10" ht="120" customHeight="1">
      <c r="A1867" s="471" t="s">
        <v>12260</v>
      </c>
      <c r="B1867" s="75" t="s">
        <v>12261</v>
      </c>
      <c r="C1867" s="492" t="s">
        <v>12262</v>
      </c>
      <c r="D1867" s="493" t="s">
        <v>12263</v>
      </c>
      <c r="E1867" s="493" t="s">
        <v>23</v>
      </c>
      <c r="F1867" s="494" t="s">
        <v>12264</v>
      </c>
      <c r="G1867" s="493" t="s">
        <v>12265</v>
      </c>
      <c r="H1867" s="495" t="s">
        <v>30</v>
      </c>
      <c r="I1867" s="496" t="s">
        <v>12150</v>
      </c>
      <c r="J1867" s="182"/>
    </row>
    <row r="1868" spans="1:10" ht="120" customHeight="1">
      <c r="A1868" s="471"/>
      <c r="B1868" s="75" t="s">
        <v>12261</v>
      </c>
      <c r="C1868" s="492" t="s">
        <v>12266</v>
      </c>
      <c r="D1868" s="493" t="s">
        <v>12267</v>
      </c>
      <c r="E1868" s="493" t="s">
        <v>23</v>
      </c>
      <c r="F1868" s="494" t="s">
        <v>12268</v>
      </c>
      <c r="G1868" s="493" t="s">
        <v>12269</v>
      </c>
      <c r="H1868" s="495" t="s">
        <v>30</v>
      </c>
      <c r="I1868" s="496" t="s">
        <v>12150</v>
      </c>
      <c r="J1868" s="182"/>
    </row>
    <row r="1869" spans="1:10" ht="120" customHeight="1">
      <c r="A1869" s="471"/>
      <c r="B1869" s="75" t="s">
        <v>12261</v>
      </c>
      <c r="C1869" s="492" t="s">
        <v>12270</v>
      </c>
      <c r="D1869" s="493" t="s">
        <v>12271</v>
      </c>
      <c r="E1869" s="493" t="s">
        <v>23</v>
      </c>
      <c r="F1869" s="494" t="s">
        <v>12272</v>
      </c>
      <c r="G1869" s="493" t="s">
        <v>12273</v>
      </c>
      <c r="H1869" s="497"/>
      <c r="I1869" s="496" t="s">
        <v>12150</v>
      </c>
      <c r="J1869" s="182"/>
    </row>
    <row r="1870" spans="1:10" ht="120" customHeight="1">
      <c r="A1870" s="471"/>
      <c r="B1870" s="75" t="s">
        <v>12261</v>
      </c>
      <c r="C1870" s="492" t="s">
        <v>12274</v>
      </c>
      <c r="D1870" s="493" t="s">
        <v>12275</v>
      </c>
      <c r="E1870" s="493" t="s">
        <v>23</v>
      </c>
      <c r="F1870" s="494" t="s">
        <v>12276</v>
      </c>
      <c r="G1870" s="493" t="s">
        <v>12277</v>
      </c>
      <c r="H1870" s="495" t="s">
        <v>30</v>
      </c>
      <c r="I1870" s="496" t="s">
        <v>12150</v>
      </c>
      <c r="J1870" s="182"/>
    </row>
    <row r="1871" spans="1:10" ht="120" customHeight="1">
      <c r="A1871" s="471"/>
      <c r="B1871" s="75" t="s">
        <v>12261</v>
      </c>
      <c r="C1871" s="492" t="s">
        <v>12278</v>
      </c>
      <c r="D1871" s="493" t="s">
        <v>12279</v>
      </c>
      <c r="E1871" s="493" t="s">
        <v>23</v>
      </c>
      <c r="F1871" s="494" t="s">
        <v>12280</v>
      </c>
      <c r="G1871" s="493" t="s">
        <v>12281</v>
      </c>
      <c r="H1871" s="495" t="s">
        <v>24</v>
      </c>
      <c r="I1871" s="496" t="s">
        <v>12184</v>
      </c>
      <c r="J1871" s="182"/>
    </row>
    <row r="1872" spans="1:10" ht="120" customHeight="1">
      <c r="A1872" s="471"/>
      <c r="B1872" s="75" t="s">
        <v>12261</v>
      </c>
      <c r="C1872" s="492" t="s">
        <v>12282</v>
      </c>
      <c r="D1872" s="493" t="s">
        <v>12283</v>
      </c>
      <c r="E1872" s="493" t="s">
        <v>23</v>
      </c>
      <c r="F1872" s="494" t="s">
        <v>12284</v>
      </c>
      <c r="G1872" s="493" t="s">
        <v>12285</v>
      </c>
      <c r="H1872" s="495" t="s">
        <v>24</v>
      </c>
      <c r="I1872" s="496" t="s">
        <v>12184</v>
      </c>
      <c r="J1872" s="182"/>
    </row>
    <row r="1873" spans="1:10" ht="120" customHeight="1">
      <c r="A1873" s="471"/>
      <c r="B1873" s="75" t="s">
        <v>12261</v>
      </c>
      <c r="C1873" s="492" t="s">
        <v>12286</v>
      </c>
      <c r="D1873" s="493" t="s">
        <v>12287</v>
      </c>
      <c r="E1873" s="493" t="s">
        <v>23</v>
      </c>
      <c r="F1873" s="494" t="s">
        <v>12288</v>
      </c>
      <c r="G1873" s="493" t="s">
        <v>12289</v>
      </c>
      <c r="H1873" s="497"/>
      <c r="I1873" s="496" t="s">
        <v>12184</v>
      </c>
      <c r="J1873" s="182"/>
    </row>
    <row r="1874" spans="1:10" ht="120" customHeight="1">
      <c r="A1874" s="471"/>
      <c r="B1874" s="75" t="s">
        <v>12261</v>
      </c>
      <c r="C1874" s="492" t="s">
        <v>12290</v>
      </c>
      <c r="D1874" s="493" t="s">
        <v>12291</v>
      </c>
      <c r="E1874" s="493" t="s">
        <v>23</v>
      </c>
      <c r="F1874" s="494" t="s">
        <v>12292</v>
      </c>
      <c r="G1874" s="493" t="s">
        <v>12293</v>
      </c>
      <c r="H1874" s="497"/>
      <c r="I1874" s="496" t="s">
        <v>12184</v>
      </c>
      <c r="J1874" s="182"/>
    </row>
    <row r="1875" spans="1:10" ht="120" customHeight="1">
      <c r="A1875" s="471"/>
      <c r="B1875" s="75" t="s">
        <v>12261</v>
      </c>
      <c r="C1875" s="492" t="s">
        <v>12294</v>
      </c>
      <c r="D1875" s="493" t="s">
        <v>12295</v>
      </c>
      <c r="E1875" s="493" t="s">
        <v>23</v>
      </c>
      <c r="F1875" s="494" t="s">
        <v>12296</v>
      </c>
      <c r="G1875" s="493" t="s">
        <v>12297</v>
      </c>
      <c r="H1875" s="495" t="s">
        <v>36</v>
      </c>
      <c r="I1875" s="496" t="s">
        <v>12184</v>
      </c>
      <c r="J1875" s="182"/>
    </row>
    <row r="1876" spans="1:10" ht="120" customHeight="1">
      <c r="A1876" s="471"/>
      <c r="B1876" s="75" t="s">
        <v>12261</v>
      </c>
      <c r="C1876" s="492" t="s">
        <v>12298</v>
      </c>
      <c r="D1876" s="493" t="s">
        <v>12299</v>
      </c>
      <c r="E1876" s="493" t="s">
        <v>12300</v>
      </c>
      <c r="F1876" s="494" t="s">
        <v>12301</v>
      </c>
      <c r="G1876" s="493" t="s">
        <v>12302</v>
      </c>
      <c r="H1876" s="495" t="s">
        <v>41</v>
      </c>
      <c r="I1876" s="496" t="s">
        <v>12150</v>
      </c>
      <c r="J1876" s="182"/>
    </row>
    <row r="1877" spans="1:10" ht="120" customHeight="1">
      <c r="A1877" s="471"/>
      <c r="B1877" s="75" t="s">
        <v>12261</v>
      </c>
      <c r="C1877" s="492" t="s">
        <v>12303</v>
      </c>
      <c r="D1877" s="498" t="s">
        <v>12304</v>
      </c>
      <c r="E1877" s="493" t="s">
        <v>12300</v>
      </c>
      <c r="F1877" s="494" t="s">
        <v>12305</v>
      </c>
      <c r="G1877" s="493" t="s">
        <v>12306</v>
      </c>
      <c r="H1877" s="495" t="s">
        <v>30</v>
      </c>
      <c r="I1877" s="496" t="s">
        <v>12150</v>
      </c>
      <c r="J1877" s="182"/>
    </row>
    <row r="1878" spans="1:10" ht="120" customHeight="1">
      <c r="A1878" s="471"/>
      <c r="B1878" s="75" t="s">
        <v>12261</v>
      </c>
      <c r="C1878" s="492" t="s">
        <v>12307</v>
      </c>
      <c r="D1878" s="499" t="s">
        <v>12308</v>
      </c>
      <c r="E1878" s="493" t="s">
        <v>23</v>
      </c>
      <c r="F1878" s="500"/>
      <c r="G1878" s="497"/>
      <c r="H1878" s="497"/>
      <c r="I1878" s="496" t="s">
        <v>12150</v>
      </c>
      <c r="J1878" s="182"/>
    </row>
    <row r="1879" spans="1:10" ht="120" customHeight="1">
      <c r="A1879" s="471"/>
      <c r="B1879" s="75" t="s">
        <v>12261</v>
      </c>
      <c r="C1879" s="492" t="s">
        <v>12309</v>
      </c>
      <c r="D1879" s="499" t="s">
        <v>12310</v>
      </c>
      <c r="E1879" s="493" t="s">
        <v>23</v>
      </c>
      <c r="F1879" s="500"/>
      <c r="G1879" s="497"/>
      <c r="H1879" s="497"/>
      <c r="I1879" s="496" t="s">
        <v>12150</v>
      </c>
      <c r="J1879" s="182"/>
    </row>
    <row r="1880" spans="1:10" ht="120" customHeight="1">
      <c r="A1880" s="471"/>
      <c r="B1880" s="75" t="s">
        <v>12261</v>
      </c>
      <c r="C1880" s="492" t="s">
        <v>12311</v>
      </c>
      <c r="D1880" s="499" t="s">
        <v>12312</v>
      </c>
      <c r="E1880" s="493" t="s">
        <v>23</v>
      </c>
      <c r="F1880" s="500"/>
      <c r="G1880" s="497"/>
      <c r="H1880" s="497"/>
      <c r="I1880" s="496" t="s">
        <v>12150</v>
      </c>
      <c r="J1880" s="182"/>
    </row>
    <row r="1881" spans="1:10" ht="120" customHeight="1">
      <c r="A1881" s="471"/>
      <c r="B1881" s="75" t="s">
        <v>12261</v>
      </c>
      <c r="C1881" s="492" t="s">
        <v>12313</v>
      </c>
      <c r="D1881" s="493" t="s">
        <v>12314</v>
      </c>
      <c r="E1881" s="493" t="s">
        <v>23</v>
      </c>
      <c r="F1881" s="494" t="s">
        <v>12315</v>
      </c>
      <c r="G1881" s="493" t="s">
        <v>12316</v>
      </c>
      <c r="H1881" s="495" t="s">
        <v>41</v>
      </c>
      <c r="I1881" s="496" t="s">
        <v>12150</v>
      </c>
      <c r="J1881" s="182"/>
    </row>
    <row r="1882" spans="1:10" ht="120" customHeight="1">
      <c r="A1882" s="471"/>
      <c r="B1882" s="75" t="s">
        <v>12261</v>
      </c>
      <c r="C1882" s="492" t="s">
        <v>12317</v>
      </c>
      <c r="D1882" s="493" t="s">
        <v>12318</v>
      </c>
      <c r="E1882" s="493" t="s">
        <v>23</v>
      </c>
      <c r="F1882" s="494" t="s">
        <v>12319</v>
      </c>
      <c r="G1882" s="493" t="s">
        <v>12320</v>
      </c>
      <c r="H1882" s="495" t="s">
        <v>36</v>
      </c>
      <c r="I1882" s="496" t="s">
        <v>12184</v>
      </c>
      <c r="J1882" s="182"/>
    </row>
    <row r="1883" spans="1:10" ht="120" customHeight="1">
      <c r="A1883" s="471"/>
      <c r="B1883" s="75" t="s">
        <v>12261</v>
      </c>
      <c r="C1883" s="492" t="s">
        <v>12321</v>
      </c>
      <c r="D1883" s="493" t="s">
        <v>12322</v>
      </c>
      <c r="E1883" s="493" t="s">
        <v>23</v>
      </c>
      <c r="F1883" s="494" t="s">
        <v>12323</v>
      </c>
      <c r="G1883" s="493" t="s">
        <v>12324</v>
      </c>
      <c r="H1883" s="495" t="s">
        <v>30</v>
      </c>
      <c r="I1883" s="496" t="s">
        <v>12150</v>
      </c>
      <c r="J1883" s="182"/>
    </row>
    <row r="1884" spans="1:10" ht="120" customHeight="1">
      <c r="A1884" s="471"/>
      <c r="B1884" s="75" t="s">
        <v>12261</v>
      </c>
      <c r="C1884" s="492" t="s">
        <v>12325</v>
      </c>
      <c r="D1884" s="493" t="s">
        <v>12326</v>
      </c>
      <c r="E1884" s="493" t="s">
        <v>23</v>
      </c>
      <c r="F1884" s="494" t="s">
        <v>12327</v>
      </c>
      <c r="G1884" s="493" t="s">
        <v>12328</v>
      </c>
      <c r="H1884" s="495" t="s">
        <v>24</v>
      </c>
      <c r="I1884" s="496" t="s">
        <v>12150</v>
      </c>
      <c r="J1884" s="182"/>
    </row>
    <row r="1885" spans="1:10" ht="120" customHeight="1">
      <c r="A1885" s="471"/>
      <c r="B1885" s="75" t="s">
        <v>12261</v>
      </c>
      <c r="C1885" s="492" t="s">
        <v>12329</v>
      </c>
      <c r="D1885" s="493" t="s">
        <v>12330</v>
      </c>
      <c r="E1885" s="493" t="s">
        <v>23</v>
      </c>
      <c r="F1885" s="494" t="s">
        <v>12331</v>
      </c>
      <c r="G1885" s="493" t="s">
        <v>12332</v>
      </c>
      <c r="H1885" s="495" t="s">
        <v>41</v>
      </c>
      <c r="I1885" s="496" t="s">
        <v>12150</v>
      </c>
      <c r="J1885" s="182"/>
    </row>
    <row r="1886" spans="1:10" ht="120" customHeight="1">
      <c r="A1886" s="471"/>
      <c r="B1886" s="75" t="s">
        <v>12261</v>
      </c>
      <c r="C1886" s="492" t="s">
        <v>12333</v>
      </c>
      <c r="D1886" s="493" t="s">
        <v>12334</v>
      </c>
      <c r="E1886" s="493" t="s">
        <v>23</v>
      </c>
      <c r="F1886" s="494" t="s">
        <v>12335</v>
      </c>
      <c r="G1886" s="493" t="s">
        <v>12336</v>
      </c>
      <c r="H1886" s="495" t="s">
        <v>36</v>
      </c>
      <c r="I1886" s="496" t="s">
        <v>12150</v>
      </c>
      <c r="J1886" s="182"/>
    </row>
    <row r="1887" spans="1:10" ht="120" customHeight="1">
      <c r="A1887" s="471"/>
      <c r="B1887" s="75" t="s">
        <v>12261</v>
      </c>
      <c r="C1887" s="492" t="s">
        <v>12337</v>
      </c>
      <c r="D1887" s="493" t="s">
        <v>12338</v>
      </c>
      <c r="E1887" s="493" t="s">
        <v>23</v>
      </c>
      <c r="F1887" s="494" t="s">
        <v>12339</v>
      </c>
      <c r="G1887" s="497" t="s">
        <v>12340</v>
      </c>
      <c r="H1887" s="495" t="s">
        <v>24</v>
      </c>
      <c r="I1887" s="496" t="s">
        <v>12150</v>
      </c>
      <c r="J1887" s="182"/>
    </row>
    <row r="1888" spans="1:10" ht="120" customHeight="1">
      <c r="A1888" s="471"/>
      <c r="B1888" s="75" t="s">
        <v>12261</v>
      </c>
      <c r="C1888" s="492" t="s">
        <v>12341</v>
      </c>
      <c r="D1888" s="493" t="s">
        <v>12342</v>
      </c>
      <c r="E1888" s="493" t="s">
        <v>23</v>
      </c>
      <c r="F1888" s="494" t="s">
        <v>12343</v>
      </c>
      <c r="G1888" s="493" t="s">
        <v>12344</v>
      </c>
      <c r="H1888" s="495" t="s">
        <v>24</v>
      </c>
      <c r="I1888" s="496" t="s">
        <v>12184</v>
      </c>
      <c r="J1888" s="182"/>
    </row>
    <row r="1889" spans="1:10" ht="120" customHeight="1">
      <c r="A1889" s="471"/>
      <c r="B1889" s="75" t="s">
        <v>12261</v>
      </c>
      <c r="C1889" s="492" t="s">
        <v>12345</v>
      </c>
      <c r="D1889" s="493" t="s">
        <v>12346</v>
      </c>
      <c r="E1889" s="493" t="s">
        <v>23</v>
      </c>
      <c r="F1889" s="494" t="s">
        <v>12347</v>
      </c>
      <c r="G1889" s="493" t="s">
        <v>12348</v>
      </c>
      <c r="H1889" s="495" t="s">
        <v>41</v>
      </c>
      <c r="I1889" s="496" t="s">
        <v>12150</v>
      </c>
      <c r="J1889" s="182"/>
    </row>
    <row r="1890" spans="1:10" ht="120" customHeight="1">
      <c r="A1890" s="471"/>
      <c r="B1890" s="75" t="s">
        <v>12261</v>
      </c>
      <c r="C1890" s="492" t="s">
        <v>12349</v>
      </c>
      <c r="D1890" s="493" t="s">
        <v>12350</v>
      </c>
      <c r="E1890" s="493" t="s">
        <v>23</v>
      </c>
      <c r="F1890" s="494" t="s">
        <v>12351</v>
      </c>
      <c r="G1890" s="493" t="s">
        <v>12352</v>
      </c>
      <c r="H1890" s="495" t="s">
        <v>30</v>
      </c>
      <c r="I1890" s="496" t="s">
        <v>12150</v>
      </c>
      <c r="J1890" s="182"/>
    </row>
    <row r="1891" spans="1:10" ht="120" customHeight="1">
      <c r="A1891" s="471"/>
      <c r="B1891" s="75" t="s">
        <v>12353</v>
      </c>
      <c r="C1891" s="492" t="s">
        <v>12354</v>
      </c>
      <c r="D1891" s="493" t="s">
        <v>12355</v>
      </c>
      <c r="E1891" s="493" t="s">
        <v>23</v>
      </c>
      <c r="F1891" s="494" t="s">
        <v>12356</v>
      </c>
      <c r="G1891" s="493" t="s">
        <v>12352</v>
      </c>
      <c r="H1891" s="495" t="s">
        <v>30</v>
      </c>
      <c r="I1891" s="496" t="s">
        <v>12150</v>
      </c>
      <c r="J1891" s="182"/>
    </row>
    <row r="1892" spans="1:10" ht="120" customHeight="1">
      <c r="A1892" s="471"/>
      <c r="B1892" s="75" t="s">
        <v>12261</v>
      </c>
      <c r="C1892" s="492" t="s">
        <v>12357</v>
      </c>
      <c r="D1892" s="493" t="s">
        <v>12358</v>
      </c>
      <c r="E1892" s="493" t="s">
        <v>23</v>
      </c>
      <c r="F1892" s="494" t="s">
        <v>12359</v>
      </c>
      <c r="G1892" s="493" t="s">
        <v>9670</v>
      </c>
      <c r="H1892" s="495" t="s">
        <v>30</v>
      </c>
      <c r="I1892" s="496" t="s">
        <v>12150</v>
      </c>
      <c r="J1892" s="182"/>
    </row>
    <row r="1893" spans="1:10" ht="120" customHeight="1">
      <c r="A1893" s="471"/>
      <c r="B1893" s="75" t="s">
        <v>12261</v>
      </c>
      <c r="C1893" s="492" t="s">
        <v>12360</v>
      </c>
      <c r="D1893" s="494" t="s">
        <v>12361</v>
      </c>
      <c r="E1893" s="493" t="s">
        <v>23</v>
      </c>
      <c r="F1893" s="494" t="s">
        <v>12362</v>
      </c>
      <c r="G1893" s="493" t="s">
        <v>12363</v>
      </c>
      <c r="H1893" s="495" t="s">
        <v>41</v>
      </c>
      <c r="I1893" s="496" t="s">
        <v>12150</v>
      </c>
      <c r="J1893" s="182"/>
    </row>
    <row r="1894" spans="1:10" ht="120" customHeight="1">
      <c r="A1894" s="471"/>
      <c r="B1894" s="75" t="s">
        <v>12261</v>
      </c>
      <c r="C1894" s="492" t="s">
        <v>12364</v>
      </c>
      <c r="D1894" s="498" t="s">
        <v>12365</v>
      </c>
      <c r="E1894" s="493" t="s">
        <v>23</v>
      </c>
      <c r="F1894" s="494" t="s">
        <v>12366</v>
      </c>
      <c r="G1894" s="493" t="s">
        <v>12367</v>
      </c>
      <c r="H1894" s="495" t="s">
        <v>62</v>
      </c>
      <c r="I1894" s="496" t="s">
        <v>12150</v>
      </c>
      <c r="J1894" s="182"/>
    </row>
    <row r="1895" spans="1:10" ht="120" customHeight="1">
      <c r="A1895" s="471"/>
      <c r="B1895" s="75" t="s">
        <v>12261</v>
      </c>
      <c r="C1895" s="492" t="s">
        <v>12368</v>
      </c>
      <c r="D1895" s="498" t="s">
        <v>12369</v>
      </c>
      <c r="E1895" s="493" t="s">
        <v>23</v>
      </c>
      <c r="F1895" s="494" t="s">
        <v>12370</v>
      </c>
      <c r="G1895" s="493" t="s">
        <v>12371</v>
      </c>
      <c r="H1895" s="495" t="s">
        <v>36</v>
      </c>
      <c r="I1895" s="496" t="s">
        <v>12150</v>
      </c>
      <c r="J1895" s="182"/>
    </row>
    <row r="1896" spans="1:10" ht="120" customHeight="1">
      <c r="A1896" s="471"/>
      <c r="B1896" s="75" t="s">
        <v>12261</v>
      </c>
      <c r="C1896" s="492" t="s">
        <v>12372</v>
      </c>
      <c r="D1896" s="494" t="s">
        <v>12373</v>
      </c>
      <c r="E1896" s="493" t="s">
        <v>23</v>
      </c>
      <c r="F1896" s="494" t="s">
        <v>12374</v>
      </c>
      <c r="G1896" s="493" t="s">
        <v>12375</v>
      </c>
      <c r="H1896" s="495" t="s">
        <v>62</v>
      </c>
      <c r="I1896" s="496" t="s">
        <v>12259</v>
      </c>
      <c r="J1896" s="182"/>
    </row>
    <row r="1897" spans="1:10" ht="120" customHeight="1">
      <c r="A1897" s="471"/>
      <c r="B1897" s="75" t="s">
        <v>12261</v>
      </c>
      <c r="C1897" s="492" t="s">
        <v>12376</v>
      </c>
      <c r="D1897" s="494" t="s">
        <v>12377</v>
      </c>
      <c r="E1897" s="493" t="s">
        <v>23</v>
      </c>
      <c r="F1897" s="53" t="s">
        <v>12378</v>
      </c>
      <c r="G1897" s="493" t="s">
        <v>3472</v>
      </c>
      <c r="H1897" s="492" t="s">
        <v>24</v>
      </c>
      <c r="I1897" s="496" t="s">
        <v>12259</v>
      </c>
      <c r="J1897" s="182"/>
    </row>
    <row r="1898" spans="1:10" ht="120" customHeight="1">
      <c r="A1898" s="471"/>
      <c r="B1898" s="75" t="s">
        <v>12261</v>
      </c>
      <c r="C1898" s="492" t="s">
        <v>12379</v>
      </c>
      <c r="D1898" s="494" t="s">
        <v>12380</v>
      </c>
      <c r="E1898" s="493" t="s">
        <v>23</v>
      </c>
      <c r="F1898" s="53" t="s">
        <v>3476</v>
      </c>
      <c r="G1898" s="60" t="s">
        <v>3477</v>
      </c>
      <c r="H1898" s="492" t="s">
        <v>36</v>
      </c>
      <c r="I1898" s="496" t="s">
        <v>12259</v>
      </c>
      <c r="J1898" s="182"/>
    </row>
    <row r="1899" spans="1:10" ht="120" customHeight="1">
      <c r="A1899" s="471"/>
      <c r="B1899" s="75" t="s">
        <v>12261</v>
      </c>
      <c r="C1899" s="501" t="s">
        <v>12381</v>
      </c>
      <c r="D1899" s="501" t="s">
        <v>12382</v>
      </c>
      <c r="E1899" s="501" t="s">
        <v>23</v>
      </c>
      <c r="F1899" s="501" t="s">
        <v>12383</v>
      </c>
      <c r="G1899" s="501" t="s">
        <v>12384</v>
      </c>
      <c r="H1899" s="501" t="s">
        <v>41</v>
      </c>
      <c r="I1899" s="502" t="s">
        <v>12184</v>
      </c>
      <c r="J1899" s="182"/>
    </row>
    <row r="1900" spans="1:10" ht="120" customHeight="1">
      <c r="A1900" s="471"/>
      <c r="B1900" s="75" t="s">
        <v>12261</v>
      </c>
      <c r="C1900" s="501" t="s">
        <v>12385</v>
      </c>
      <c r="D1900" s="501" t="s">
        <v>12386</v>
      </c>
      <c r="E1900" s="501" t="s">
        <v>23</v>
      </c>
      <c r="F1900" s="501" t="s">
        <v>12387</v>
      </c>
      <c r="G1900" s="501" t="s">
        <v>12388</v>
      </c>
      <c r="H1900" s="501" t="s">
        <v>41</v>
      </c>
      <c r="I1900" s="502" t="s">
        <v>12184</v>
      </c>
      <c r="J1900" s="182"/>
    </row>
    <row r="1901" spans="1:10" ht="120" customHeight="1">
      <c r="A1901" s="471"/>
      <c r="B1901" s="75" t="s">
        <v>12261</v>
      </c>
      <c r="C1901" s="501" t="s">
        <v>12389</v>
      </c>
      <c r="D1901" s="501" t="s">
        <v>12390</v>
      </c>
      <c r="E1901" s="501" t="s">
        <v>23</v>
      </c>
      <c r="F1901" s="501" t="s">
        <v>12391</v>
      </c>
      <c r="G1901" s="501" t="s">
        <v>12392</v>
      </c>
      <c r="H1901" s="501" t="s">
        <v>41</v>
      </c>
      <c r="I1901" s="502" t="s">
        <v>12150</v>
      </c>
      <c r="J1901" s="182"/>
    </row>
    <row r="1902" spans="1:10" ht="120" customHeight="1">
      <c r="A1902" s="471"/>
      <c r="B1902" s="75" t="s">
        <v>12261</v>
      </c>
      <c r="C1902" s="501" t="s">
        <v>12393</v>
      </c>
      <c r="D1902" s="501" t="s">
        <v>12394</v>
      </c>
      <c r="E1902" s="501" t="s">
        <v>23</v>
      </c>
      <c r="F1902" s="501" t="s">
        <v>12395</v>
      </c>
      <c r="G1902" s="501" t="s">
        <v>12396</v>
      </c>
      <c r="H1902" s="501" t="s">
        <v>30</v>
      </c>
      <c r="I1902" s="502" t="s">
        <v>12150</v>
      </c>
      <c r="J1902" s="182"/>
    </row>
    <row r="1903" spans="1:10" ht="120" customHeight="1">
      <c r="A1903" s="471"/>
      <c r="B1903" s="501" t="s">
        <v>12683</v>
      </c>
      <c r="C1903" s="501" t="s">
        <v>12397</v>
      </c>
      <c r="D1903" s="501" t="s">
        <v>12398</v>
      </c>
      <c r="E1903" s="501" t="s">
        <v>12399</v>
      </c>
      <c r="F1903" s="501" t="s">
        <v>12400</v>
      </c>
      <c r="G1903" s="501" t="s">
        <v>12401</v>
      </c>
      <c r="H1903" s="501" t="s">
        <v>41</v>
      </c>
      <c r="I1903" s="502" t="s">
        <v>12402</v>
      </c>
      <c r="J1903" s="182"/>
    </row>
    <row r="1904" spans="1:10" ht="120" customHeight="1">
      <c r="A1904" s="471"/>
      <c r="B1904" s="501" t="s">
        <v>12683</v>
      </c>
      <c r="C1904" s="501" t="s">
        <v>12403</v>
      </c>
      <c r="D1904" s="501" t="s">
        <v>12404</v>
      </c>
      <c r="E1904" s="501" t="s">
        <v>12399</v>
      </c>
      <c r="F1904" s="501" t="s">
        <v>12405</v>
      </c>
      <c r="G1904" s="501" t="s">
        <v>12406</v>
      </c>
      <c r="H1904" s="501" t="s">
        <v>41</v>
      </c>
      <c r="I1904" s="502" t="s">
        <v>12402</v>
      </c>
      <c r="J1904" s="182"/>
    </row>
    <row r="1905" spans="1:10" ht="120" customHeight="1">
      <c r="A1905" s="471"/>
      <c r="B1905" s="501" t="s">
        <v>12683</v>
      </c>
      <c r="C1905" s="501" t="s">
        <v>12407</v>
      </c>
      <c r="D1905" s="501" t="s">
        <v>12408</v>
      </c>
      <c r="E1905" s="501" t="s">
        <v>12399</v>
      </c>
      <c r="F1905" s="501" t="s">
        <v>12409</v>
      </c>
      <c r="G1905" s="501" t="s">
        <v>12410</v>
      </c>
      <c r="H1905" s="501" t="s">
        <v>24</v>
      </c>
      <c r="I1905" s="502" t="s">
        <v>12402</v>
      </c>
      <c r="J1905" s="182"/>
    </row>
    <row r="1906" spans="1:10" ht="120" customHeight="1">
      <c r="A1906" s="471"/>
      <c r="B1906" s="501" t="s">
        <v>12683</v>
      </c>
      <c r="C1906" s="501" t="s">
        <v>12411</v>
      </c>
      <c r="D1906" s="501" t="s">
        <v>12412</v>
      </c>
      <c r="E1906" s="501" t="s">
        <v>12413</v>
      </c>
      <c r="F1906" s="501" t="s">
        <v>12414</v>
      </c>
      <c r="G1906" s="501" t="s">
        <v>12415</v>
      </c>
      <c r="H1906" s="501" t="s">
        <v>24</v>
      </c>
      <c r="I1906" s="502" t="s">
        <v>12402</v>
      </c>
      <c r="J1906" s="182"/>
    </row>
    <row r="1907" spans="1:10" ht="120" customHeight="1">
      <c r="A1907" s="471"/>
      <c r="B1907" s="501" t="s">
        <v>12683</v>
      </c>
      <c r="C1907" s="501" t="s">
        <v>12416</v>
      </c>
      <c r="D1907" s="501" t="s">
        <v>12417</v>
      </c>
      <c r="E1907" s="501" t="s">
        <v>12418</v>
      </c>
      <c r="F1907" s="501" t="s">
        <v>12419</v>
      </c>
      <c r="G1907" s="501" t="s">
        <v>12420</v>
      </c>
      <c r="H1907" s="501" t="s">
        <v>24</v>
      </c>
      <c r="I1907" s="502" t="s">
        <v>12402</v>
      </c>
      <c r="J1907" s="182"/>
    </row>
    <row r="1908" spans="1:10" ht="120" customHeight="1">
      <c r="A1908" s="471"/>
      <c r="B1908" s="501" t="s">
        <v>12683</v>
      </c>
      <c r="C1908" s="501" t="s">
        <v>12421</v>
      </c>
      <c r="D1908" s="501" t="s">
        <v>12422</v>
      </c>
      <c r="E1908" s="501" t="s">
        <v>12423</v>
      </c>
      <c r="F1908" s="501" t="s">
        <v>12424</v>
      </c>
      <c r="G1908" s="501" t="s">
        <v>12425</v>
      </c>
      <c r="H1908" s="501" t="s">
        <v>41</v>
      </c>
      <c r="I1908" s="502" t="s">
        <v>12402</v>
      </c>
      <c r="J1908" s="182"/>
    </row>
    <row r="1909" spans="1:10" ht="120" customHeight="1">
      <c r="A1909" s="471"/>
      <c r="B1909" s="501" t="s">
        <v>12683</v>
      </c>
      <c r="C1909" s="501" t="s">
        <v>12426</v>
      </c>
      <c r="D1909" s="501" t="s">
        <v>12427</v>
      </c>
      <c r="E1909" s="501" t="s">
        <v>12399</v>
      </c>
      <c r="F1909" s="501" t="s">
        <v>12428</v>
      </c>
      <c r="G1909" s="501" t="s">
        <v>12429</v>
      </c>
      <c r="H1909" s="501" t="s">
        <v>36</v>
      </c>
      <c r="I1909" s="502" t="s">
        <v>12402</v>
      </c>
      <c r="J1909" s="182"/>
    </row>
    <row r="1910" spans="1:10" ht="120" customHeight="1">
      <c r="A1910" s="471"/>
      <c r="B1910" s="501" t="s">
        <v>12683</v>
      </c>
      <c r="C1910" s="501" t="s">
        <v>12430</v>
      </c>
      <c r="D1910" s="501" t="s">
        <v>12431</v>
      </c>
      <c r="E1910" s="501" t="s">
        <v>23</v>
      </c>
      <c r="F1910" s="501" t="s">
        <v>12684</v>
      </c>
      <c r="G1910" s="501" t="s">
        <v>12685</v>
      </c>
      <c r="H1910" s="501" t="s">
        <v>41</v>
      </c>
      <c r="I1910" s="502" t="s">
        <v>12402</v>
      </c>
      <c r="J1910" s="182"/>
    </row>
    <row r="1911" spans="1:10" ht="120" customHeight="1">
      <c r="A1911" s="21" t="s">
        <v>12432</v>
      </c>
      <c r="B1911" s="21" t="s">
        <v>12433</v>
      </c>
      <c r="C1911" s="16" t="s">
        <v>12434</v>
      </c>
      <c r="D1911" s="21" t="s">
        <v>12435</v>
      </c>
      <c r="E1911" s="501" t="s">
        <v>23</v>
      </c>
      <c r="F1911" s="16" t="s">
        <v>12436</v>
      </c>
      <c r="G1911" s="204" t="s">
        <v>12437</v>
      </c>
      <c r="H1911" s="182" t="s">
        <v>86</v>
      </c>
    </row>
    <row r="1912" spans="1:10" ht="120" customHeight="1">
      <c r="A1912" s="21"/>
      <c r="B1912" s="27" t="s">
        <v>12433</v>
      </c>
      <c r="C1912" s="222" t="s">
        <v>12438</v>
      </c>
      <c r="D1912" s="16" t="s">
        <v>12439</v>
      </c>
      <c r="E1912" s="501" t="s">
        <v>23</v>
      </c>
      <c r="F1912" s="16" t="s">
        <v>12440</v>
      </c>
      <c r="G1912" s="204" t="s">
        <v>12441</v>
      </c>
      <c r="H1912" s="182" t="s">
        <v>929</v>
      </c>
    </row>
    <row r="1913" spans="1:10" ht="120" customHeight="1">
      <c r="A1913" s="21"/>
      <c r="B1913" s="16" t="s">
        <v>12442</v>
      </c>
      <c r="C1913" s="222" t="s">
        <v>12443</v>
      </c>
      <c r="D1913" s="21" t="s">
        <v>12444</v>
      </c>
      <c r="E1913" s="501" t="s">
        <v>23</v>
      </c>
      <c r="F1913" s="16" t="s">
        <v>12445</v>
      </c>
      <c r="G1913" s="204" t="s">
        <v>12446</v>
      </c>
      <c r="H1913" s="182" t="s">
        <v>11336</v>
      </c>
    </row>
  </sheetData>
  <autoFilter ref="A1:O1" xr:uid="{F78B8F8E-0D55-4A68-9EA6-3E6F06894EB1}"/>
  <mergeCells count="51">
    <mergeCell ref="A783:A858"/>
    <mergeCell ref="A859:A917"/>
    <mergeCell ref="A918:A945"/>
    <mergeCell ref="A946:A976"/>
    <mergeCell ref="A978:A1062"/>
    <mergeCell ref="A504:A641"/>
    <mergeCell ref="A642:A734"/>
    <mergeCell ref="A735:A782"/>
    <mergeCell ref="A2:A6"/>
    <mergeCell ref="A7:A30"/>
    <mergeCell ref="A31:A63"/>
    <mergeCell ref="A64:A88"/>
    <mergeCell ref="A89:A109"/>
    <mergeCell ref="A110:A123"/>
    <mergeCell ref="A124:A157"/>
    <mergeCell ref="A158:A169"/>
    <mergeCell ref="A170:A223"/>
    <mergeCell ref="A224:A337"/>
    <mergeCell ref="A338:A364"/>
    <mergeCell ref="A367:A412"/>
    <mergeCell ref="A413:A498"/>
    <mergeCell ref="A1063:A1085"/>
    <mergeCell ref="A1126:A1186"/>
    <mergeCell ref="A1187:A1192"/>
    <mergeCell ref="A1193:A1281"/>
    <mergeCell ref="A1282:A1315"/>
    <mergeCell ref="A1316:A1317"/>
    <mergeCell ref="A1318:A1320"/>
    <mergeCell ref="A1321:A1334"/>
    <mergeCell ref="A1335:A1342"/>
    <mergeCell ref="A1343:A1372"/>
    <mergeCell ref="A1373:A1379"/>
    <mergeCell ref="A1380:A1389"/>
    <mergeCell ref="A1390:A1404"/>
    <mergeCell ref="A1405:A1455"/>
    <mergeCell ref="A1456:A1465"/>
    <mergeCell ref="A1466:A1478"/>
    <mergeCell ref="A1479:A1493"/>
    <mergeCell ref="A1494:A1509"/>
    <mergeCell ref="A1510:A1574"/>
    <mergeCell ref="A1575:A1634"/>
    <mergeCell ref="B1839:B1844"/>
    <mergeCell ref="B1845:B1852"/>
    <mergeCell ref="B1853:B1859"/>
    <mergeCell ref="B1860:B1863"/>
    <mergeCell ref="B1864:B1866"/>
    <mergeCell ref="A1867:A1910"/>
    <mergeCell ref="A1635:A1659"/>
    <mergeCell ref="A1660:A1722"/>
    <mergeCell ref="A1723:A1838"/>
    <mergeCell ref="A1839:A1866"/>
  </mergeCells>
  <phoneticPr fontId="10" type="noConversion"/>
  <conditionalFormatting sqref="I1390:J1404">
    <cfRule type="cellIs" dxfId="29" priority="5" operator="equal">
      <formula>"Passed"</formula>
    </cfRule>
    <cfRule type="cellIs" dxfId="28" priority="6" operator="equal">
      <formula>"Unavailable"</formula>
    </cfRule>
    <cfRule type="cellIs" dxfId="27" priority="7" operator="equal">
      <formula>"Failed"</formula>
    </cfRule>
    <cfRule type="cellIs" dxfId="26" priority="8" operator="equal">
      <formula>"Blocked"</formula>
    </cfRule>
  </conditionalFormatting>
  <conditionalFormatting sqref="J1100:J1104">
    <cfRule type="cellIs" dxfId="25" priority="1" operator="equal">
      <formula>"Passed"</formula>
    </cfRule>
    <cfRule type="cellIs" dxfId="24" priority="2" operator="equal">
      <formula>"Unavailable"</formula>
    </cfRule>
    <cfRule type="cellIs" dxfId="23" priority="3" operator="equal">
      <formula>"Failed"</formula>
    </cfRule>
    <cfRule type="cellIs" dxfId="22" priority="4" operator="equal">
      <formula>"Blocked"</formula>
    </cfRule>
  </conditionalFormatting>
  <conditionalFormatting sqref="L1">
    <cfRule type="cellIs" dxfId="21" priority="13" operator="equal">
      <formula>"Passed"</formula>
    </cfRule>
    <cfRule type="cellIs" dxfId="20" priority="14" operator="equal">
      <formula>"Unavailable"</formula>
    </cfRule>
    <cfRule type="cellIs" dxfId="19" priority="15" operator="equal">
      <formula>"Failed"</formula>
    </cfRule>
    <cfRule type="cellIs" dxfId="18" priority="16" operator="equal">
      <formula>"Blocked"</formula>
    </cfRule>
  </conditionalFormatting>
  <dataValidations disablePrompts="1" count="3">
    <dataValidation type="list" allowBlank="1" showInputMessage="1" showErrorMessage="1" sqref="H1870:H1872 H1875:H1877 H1881:H1898 H1867:H1868" xr:uid="{FF6153A2-749A-4BBB-93F3-FF20A1898E7B}">
      <formula1>"LV0,LV1,LV2,LV3,LV4"</formula1>
    </dataValidation>
    <dataValidation type="list" allowBlank="1" showInputMessage="1" showErrorMessage="1" sqref="I1867:I1898" xr:uid="{7AF9D336-744C-43D8-8C1F-926365E4D2EB}">
      <formula1>"功能测试,性能测试,稳定性测试,异常测试,压力测试"</formula1>
    </dataValidation>
    <dataValidation type="list" allowBlank="1" showInputMessage="1" showErrorMessage="1" sqref="J1100:J1104" xr:uid="{EFCC6534-05A9-409D-897B-D3FA99AF2A11}">
      <formula1>"Passed,Failed,Blocked,Unavailable"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E910-BDB7-46E6-AA54-085480FC1C91}">
  <dimension ref="A1:O1479"/>
  <sheetViews>
    <sheetView topLeftCell="E1" workbookViewId="0">
      <selection activeCell="F3" sqref="F3"/>
    </sheetView>
  </sheetViews>
  <sheetFormatPr defaultRowHeight="14.25"/>
  <cols>
    <col min="5" max="5" width="21.25" customWidth="1"/>
    <col min="6" max="7" width="66.625" customWidth="1"/>
  </cols>
  <sheetData>
    <row r="1" spans="1:15" ht="33">
      <c r="A1" s="39" t="s">
        <v>6</v>
      </c>
      <c r="B1" s="39" t="s">
        <v>7</v>
      </c>
      <c r="C1" s="39" t="s">
        <v>8</v>
      </c>
      <c r="D1" s="39" t="s">
        <v>9</v>
      </c>
      <c r="E1" s="76" t="s">
        <v>10</v>
      </c>
      <c r="F1" s="39" t="s">
        <v>11</v>
      </c>
      <c r="G1" s="41" t="s">
        <v>12</v>
      </c>
      <c r="H1" s="28" t="s">
        <v>13</v>
      </c>
      <c r="I1" s="42" t="s">
        <v>14</v>
      </c>
      <c r="J1" s="141" t="s">
        <v>15</v>
      </c>
      <c r="K1" s="42" t="s">
        <v>16</v>
      </c>
      <c r="L1" s="39" t="s">
        <v>17</v>
      </c>
      <c r="M1" s="28" t="s">
        <v>18</v>
      </c>
      <c r="N1" s="39" t="s">
        <v>19</v>
      </c>
      <c r="O1" s="39" t="s">
        <v>20</v>
      </c>
    </row>
    <row r="2" spans="1:15" ht="115.5">
      <c r="A2" s="391" t="s">
        <v>21</v>
      </c>
      <c r="B2" s="44" t="s">
        <v>21</v>
      </c>
      <c r="C2" s="45" t="s">
        <v>5908</v>
      </c>
      <c r="D2" s="45" t="s">
        <v>22</v>
      </c>
      <c r="E2" s="78" t="s">
        <v>5909</v>
      </c>
      <c r="F2" s="45" t="s">
        <v>5910</v>
      </c>
      <c r="G2" s="46" t="s">
        <v>5911</v>
      </c>
      <c r="H2" s="47" t="s">
        <v>24</v>
      </c>
      <c r="I2" s="125" t="s">
        <v>25</v>
      </c>
      <c r="J2" s="155"/>
      <c r="K2" s="155"/>
      <c r="L2" s="155"/>
      <c r="M2" s="155"/>
      <c r="N2" s="155"/>
      <c r="O2" s="155"/>
    </row>
    <row r="3" spans="1:15" ht="82.5">
      <c r="A3" s="392"/>
      <c r="B3" s="44" t="s">
        <v>21</v>
      </c>
      <c r="C3" s="45" t="s">
        <v>5912</v>
      </c>
      <c r="D3" s="45" t="s">
        <v>5913</v>
      </c>
      <c r="E3" s="78" t="s">
        <v>5909</v>
      </c>
      <c r="F3" s="45" t="s">
        <v>5914</v>
      </c>
      <c r="G3" s="46" t="s">
        <v>5915</v>
      </c>
      <c r="H3" s="47" t="s">
        <v>41</v>
      </c>
      <c r="I3" s="125" t="s">
        <v>31</v>
      </c>
      <c r="J3" s="155"/>
      <c r="K3" s="155"/>
      <c r="L3" s="155"/>
      <c r="M3" s="155"/>
      <c r="N3" s="155"/>
      <c r="O3" s="155"/>
    </row>
    <row r="4" spans="1:15" ht="82.5">
      <c r="A4" s="392"/>
      <c r="B4" s="44" t="s">
        <v>21</v>
      </c>
      <c r="C4" s="45" t="s">
        <v>5916</v>
      </c>
      <c r="D4" s="45" t="s">
        <v>27</v>
      </c>
      <c r="E4" s="78" t="s">
        <v>5909</v>
      </c>
      <c r="F4" s="45" t="s">
        <v>5917</v>
      </c>
      <c r="G4" s="46" t="s">
        <v>29</v>
      </c>
      <c r="H4" s="47" t="s">
        <v>30</v>
      </c>
      <c r="I4" s="125" t="s">
        <v>31</v>
      </c>
      <c r="J4" s="155"/>
      <c r="K4" s="155"/>
      <c r="L4" s="155"/>
      <c r="M4" s="155"/>
      <c r="N4" s="155"/>
      <c r="O4" s="155"/>
    </row>
    <row r="5" spans="1:15" ht="99">
      <c r="A5" s="392"/>
      <c r="B5" s="44" t="s">
        <v>21</v>
      </c>
      <c r="C5" s="45" t="s">
        <v>5918</v>
      </c>
      <c r="D5" s="45" t="s">
        <v>5919</v>
      </c>
      <c r="E5" s="78" t="s">
        <v>5909</v>
      </c>
      <c r="F5" s="59" t="s">
        <v>5920</v>
      </c>
      <c r="G5" s="46" t="s">
        <v>5921</v>
      </c>
      <c r="H5" s="47" t="s">
        <v>36</v>
      </c>
      <c r="I5" s="125" t="s">
        <v>31</v>
      </c>
      <c r="J5" s="155"/>
      <c r="K5" s="155"/>
      <c r="L5" s="155"/>
      <c r="M5" s="155"/>
      <c r="N5" s="155"/>
      <c r="O5" s="155"/>
    </row>
    <row r="6" spans="1:15" ht="66">
      <c r="A6" s="393"/>
      <c r="B6" s="44" t="s">
        <v>21</v>
      </c>
      <c r="C6" s="45" t="s">
        <v>5922</v>
      </c>
      <c r="D6" s="45" t="s">
        <v>5923</v>
      </c>
      <c r="E6" s="73" t="s">
        <v>5909</v>
      </c>
      <c r="F6" s="59" t="s">
        <v>5924</v>
      </c>
      <c r="G6" s="46" t="s">
        <v>5925</v>
      </c>
      <c r="H6" s="47" t="s">
        <v>41</v>
      </c>
      <c r="I6" s="125"/>
      <c r="J6" s="155"/>
      <c r="K6" s="155"/>
      <c r="L6" s="155"/>
      <c r="M6" s="155"/>
      <c r="N6" s="155"/>
      <c r="O6" s="155"/>
    </row>
    <row r="7" spans="1:15" ht="181.5">
      <c r="A7" s="399" t="s">
        <v>42</v>
      </c>
      <c r="B7" s="50" t="s">
        <v>43</v>
      </c>
      <c r="C7" s="45" t="s">
        <v>5926</v>
      </c>
      <c r="D7" s="45" t="s">
        <v>45</v>
      </c>
      <c r="E7" s="78" t="s">
        <v>5909</v>
      </c>
      <c r="F7" s="45" t="s">
        <v>5927</v>
      </c>
      <c r="G7" s="46" t="s">
        <v>5928</v>
      </c>
      <c r="H7" s="47" t="s">
        <v>41</v>
      </c>
      <c r="I7" s="125" t="s">
        <v>31</v>
      </c>
      <c r="J7" s="155"/>
      <c r="K7" s="155"/>
      <c r="L7" s="155"/>
      <c r="M7" s="155"/>
      <c r="N7" s="155"/>
      <c r="O7" s="155"/>
    </row>
    <row r="8" spans="1:15" ht="198">
      <c r="A8" s="399"/>
      <c r="B8" s="50" t="s">
        <v>43</v>
      </c>
      <c r="C8" s="45" t="s">
        <v>5929</v>
      </c>
      <c r="D8" s="45" t="s">
        <v>51</v>
      </c>
      <c r="E8" s="78" t="s">
        <v>5909</v>
      </c>
      <c r="F8" s="45" t="s">
        <v>5930</v>
      </c>
      <c r="G8" s="46" t="s">
        <v>5931</v>
      </c>
      <c r="H8" s="47" t="s">
        <v>24</v>
      </c>
      <c r="I8" s="125" t="s">
        <v>31</v>
      </c>
      <c r="J8" s="155"/>
      <c r="K8" s="155"/>
      <c r="L8" s="155"/>
      <c r="M8" s="155"/>
      <c r="N8" s="155"/>
      <c r="O8" s="155"/>
    </row>
    <row r="9" spans="1:15" ht="181.5">
      <c r="A9" s="399"/>
      <c r="B9" s="50" t="s">
        <v>43</v>
      </c>
      <c r="C9" s="45" t="s">
        <v>5932</v>
      </c>
      <c r="D9" s="45" t="s">
        <v>5933</v>
      </c>
      <c r="E9" s="78" t="s">
        <v>5909</v>
      </c>
      <c r="F9" s="45" t="s">
        <v>5934</v>
      </c>
      <c r="G9" s="46" t="s">
        <v>5935</v>
      </c>
      <c r="H9" s="47" t="s">
        <v>30</v>
      </c>
      <c r="I9" s="125" t="s">
        <v>31</v>
      </c>
      <c r="J9" s="155"/>
      <c r="K9" s="155"/>
      <c r="L9" s="155"/>
      <c r="M9" s="155"/>
      <c r="N9" s="155"/>
      <c r="O9" s="155"/>
    </row>
    <row r="10" spans="1:15" ht="181.5">
      <c r="A10" s="399"/>
      <c r="B10" s="50" t="s">
        <v>43</v>
      </c>
      <c r="C10" s="45" t="s">
        <v>5936</v>
      </c>
      <c r="D10" s="45" t="s">
        <v>5937</v>
      </c>
      <c r="E10" s="78" t="s">
        <v>5909</v>
      </c>
      <c r="F10" s="45" t="s">
        <v>5938</v>
      </c>
      <c r="G10" s="46" t="s">
        <v>5939</v>
      </c>
      <c r="H10" s="47" t="s">
        <v>24</v>
      </c>
      <c r="I10" s="125" t="s">
        <v>31</v>
      </c>
      <c r="J10" s="155"/>
      <c r="K10" s="155"/>
      <c r="L10" s="155"/>
      <c r="M10" s="155"/>
      <c r="N10" s="155"/>
      <c r="O10" s="155"/>
    </row>
    <row r="11" spans="1:15" ht="181.5">
      <c r="A11" s="399"/>
      <c r="B11" s="50" t="s">
        <v>43</v>
      </c>
      <c r="C11" s="45" t="s">
        <v>5940</v>
      </c>
      <c r="D11" s="45" t="s">
        <v>5941</v>
      </c>
      <c r="E11" s="78" t="s">
        <v>5909</v>
      </c>
      <c r="F11" s="45" t="s">
        <v>5942</v>
      </c>
      <c r="G11" s="46" t="s">
        <v>5943</v>
      </c>
      <c r="H11" s="47" t="s">
        <v>24</v>
      </c>
      <c r="I11" s="125" t="s">
        <v>31</v>
      </c>
      <c r="J11" s="155"/>
      <c r="K11" s="155"/>
      <c r="L11" s="155"/>
      <c r="M11" s="155"/>
      <c r="N11" s="155"/>
      <c r="O11" s="155"/>
    </row>
    <row r="12" spans="1:15" ht="181.5">
      <c r="A12" s="399"/>
      <c r="B12" s="50" t="s">
        <v>43</v>
      </c>
      <c r="C12" s="45" t="s">
        <v>5944</v>
      </c>
      <c r="D12" s="45" t="s">
        <v>5945</v>
      </c>
      <c r="E12" s="78" t="s">
        <v>5909</v>
      </c>
      <c r="F12" s="45" t="s">
        <v>5946</v>
      </c>
      <c r="G12" s="46" t="s">
        <v>5947</v>
      </c>
      <c r="H12" s="47" t="s">
        <v>36</v>
      </c>
      <c r="I12" s="125" t="s">
        <v>31</v>
      </c>
      <c r="J12" s="155"/>
      <c r="K12" s="155"/>
      <c r="L12" s="155"/>
      <c r="M12" s="155"/>
      <c r="N12" s="155"/>
      <c r="O12" s="155"/>
    </row>
    <row r="13" spans="1:15" ht="198">
      <c r="A13" s="399"/>
      <c r="B13" s="50" t="s">
        <v>43</v>
      </c>
      <c r="C13" s="45" t="s">
        <v>5948</v>
      </c>
      <c r="D13" s="45" t="s">
        <v>55</v>
      </c>
      <c r="E13" s="78" t="s">
        <v>5949</v>
      </c>
      <c r="F13" s="45" t="s">
        <v>5950</v>
      </c>
      <c r="G13" s="46" t="s">
        <v>57</v>
      </c>
      <c r="H13" s="47" t="s">
        <v>36</v>
      </c>
      <c r="I13" s="125" t="s">
        <v>31</v>
      </c>
      <c r="J13" s="155"/>
      <c r="K13" s="155"/>
      <c r="L13" s="155"/>
      <c r="M13" s="155"/>
      <c r="N13" s="155"/>
      <c r="O13" s="155"/>
    </row>
    <row r="14" spans="1:15" ht="148.5">
      <c r="A14" s="399"/>
      <c r="B14" s="50" t="s">
        <v>43</v>
      </c>
      <c r="C14" s="45" t="s">
        <v>5951</v>
      </c>
      <c r="D14" s="45" t="s">
        <v>5952</v>
      </c>
      <c r="E14" s="78" t="s">
        <v>5909</v>
      </c>
      <c r="F14" s="45" t="s">
        <v>5953</v>
      </c>
      <c r="G14" s="46" t="s">
        <v>5954</v>
      </c>
      <c r="H14" s="47" t="s">
        <v>62</v>
      </c>
      <c r="I14" s="120"/>
      <c r="J14" s="155"/>
      <c r="K14" s="155"/>
      <c r="L14" s="155"/>
      <c r="M14" s="155"/>
      <c r="N14" s="155"/>
      <c r="O14" s="155"/>
    </row>
    <row r="15" spans="1:15" ht="148.5">
      <c r="A15" s="399"/>
      <c r="B15" s="50" t="s">
        <v>43</v>
      </c>
      <c r="C15" s="45" t="s">
        <v>5955</v>
      </c>
      <c r="D15" s="45" t="s">
        <v>5956</v>
      </c>
      <c r="E15" s="78" t="s">
        <v>5909</v>
      </c>
      <c r="F15" s="45" t="s">
        <v>5957</v>
      </c>
      <c r="G15" s="46" t="s">
        <v>5958</v>
      </c>
      <c r="H15" s="47" t="s">
        <v>62</v>
      </c>
      <c r="I15" s="125" t="s">
        <v>31</v>
      </c>
      <c r="J15" s="155"/>
      <c r="K15" s="155"/>
      <c r="L15" s="155"/>
      <c r="M15" s="155"/>
      <c r="N15" s="155"/>
      <c r="O15" s="155"/>
    </row>
    <row r="16" spans="1:15" ht="181.5">
      <c r="A16" s="399"/>
      <c r="B16" s="50" t="s">
        <v>43</v>
      </c>
      <c r="C16" s="45" t="s">
        <v>5959</v>
      </c>
      <c r="D16" s="45" t="s">
        <v>64</v>
      </c>
      <c r="E16" s="78" t="s">
        <v>5909</v>
      </c>
      <c r="F16" s="45" t="s">
        <v>5960</v>
      </c>
      <c r="G16" s="46" t="s">
        <v>5961</v>
      </c>
      <c r="H16" s="47" t="s">
        <v>24</v>
      </c>
      <c r="I16" s="125" t="s">
        <v>31</v>
      </c>
      <c r="J16" s="155"/>
      <c r="K16" s="155"/>
      <c r="L16" s="155"/>
      <c r="M16" s="155"/>
      <c r="N16" s="155"/>
      <c r="O16" s="155"/>
    </row>
    <row r="17" spans="1:15" ht="181.5">
      <c r="A17" s="399"/>
      <c r="B17" s="50" t="s">
        <v>43</v>
      </c>
      <c r="C17" s="45" t="s">
        <v>5962</v>
      </c>
      <c r="D17" s="45" t="s">
        <v>5963</v>
      </c>
      <c r="E17" s="78" t="s">
        <v>5909</v>
      </c>
      <c r="F17" s="45" t="s">
        <v>5964</v>
      </c>
      <c r="G17" s="46" t="s">
        <v>5965</v>
      </c>
      <c r="H17" s="47" t="s">
        <v>24</v>
      </c>
      <c r="I17" s="125" t="s">
        <v>31</v>
      </c>
      <c r="J17" s="155"/>
      <c r="K17" s="155"/>
      <c r="L17" s="155"/>
      <c r="M17" s="155"/>
      <c r="N17" s="155"/>
      <c r="O17" s="155"/>
    </row>
    <row r="18" spans="1:15" ht="181.5">
      <c r="A18" s="399"/>
      <c r="B18" s="50" t="s">
        <v>43</v>
      </c>
      <c r="C18" s="45" t="s">
        <v>5966</v>
      </c>
      <c r="D18" s="45" t="s">
        <v>5967</v>
      </c>
      <c r="E18" s="78" t="s">
        <v>5909</v>
      </c>
      <c r="F18" s="45" t="s">
        <v>5968</v>
      </c>
      <c r="G18" s="46" t="s">
        <v>5969</v>
      </c>
      <c r="H18" s="47" t="s">
        <v>24</v>
      </c>
      <c r="I18" s="125" t="s">
        <v>31</v>
      </c>
      <c r="J18" s="155"/>
      <c r="K18" s="155"/>
      <c r="L18" s="155"/>
      <c r="M18" s="155"/>
      <c r="N18" s="155"/>
      <c r="O18" s="155"/>
    </row>
    <row r="19" spans="1:15" ht="264">
      <c r="A19" s="399"/>
      <c r="B19" s="50" t="s">
        <v>43</v>
      </c>
      <c r="C19" s="45" t="s">
        <v>5970</v>
      </c>
      <c r="D19" s="45" t="s">
        <v>68</v>
      </c>
      <c r="E19" s="78" t="s">
        <v>5909</v>
      </c>
      <c r="F19" s="45" t="s">
        <v>5971</v>
      </c>
      <c r="G19" s="46" t="s">
        <v>5972</v>
      </c>
      <c r="H19" s="47" t="s">
        <v>36</v>
      </c>
      <c r="I19" s="120"/>
      <c r="J19" s="155"/>
      <c r="K19" s="155"/>
      <c r="L19" s="155"/>
      <c r="M19" s="155"/>
      <c r="N19" s="155"/>
      <c r="O19" s="155"/>
    </row>
    <row r="20" spans="1:15" ht="297">
      <c r="A20" s="399"/>
      <c r="B20" s="51" t="s">
        <v>43</v>
      </c>
      <c r="C20" s="45" t="s">
        <v>5973</v>
      </c>
      <c r="D20" s="45" t="s">
        <v>5974</v>
      </c>
      <c r="E20" s="78" t="s">
        <v>5909</v>
      </c>
      <c r="F20" s="45" t="s">
        <v>5975</v>
      </c>
      <c r="G20" s="46" t="s">
        <v>5976</v>
      </c>
      <c r="H20" s="47" t="s">
        <v>36</v>
      </c>
      <c r="I20" s="120"/>
      <c r="J20" s="155"/>
      <c r="K20" s="155"/>
      <c r="L20" s="155"/>
      <c r="M20" s="155"/>
      <c r="N20" s="155"/>
      <c r="O20" s="155"/>
    </row>
    <row r="21" spans="1:15" ht="297">
      <c r="A21" s="399"/>
      <c r="B21" s="51" t="s">
        <v>43</v>
      </c>
      <c r="C21" s="45" t="s">
        <v>5977</v>
      </c>
      <c r="D21" s="45" t="s">
        <v>5978</v>
      </c>
      <c r="E21" s="78" t="s">
        <v>5909</v>
      </c>
      <c r="F21" s="45" t="s">
        <v>5979</v>
      </c>
      <c r="G21" s="46" t="s">
        <v>5980</v>
      </c>
      <c r="H21" s="47" t="s">
        <v>36</v>
      </c>
      <c r="I21" s="120"/>
      <c r="J21" s="155"/>
      <c r="K21" s="155"/>
      <c r="L21" s="155"/>
      <c r="M21" s="155"/>
      <c r="N21" s="155"/>
      <c r="O21" s="155"/>
    </row>
    <row r="22" spans="1:15" ht="280.5">
      <c r="A22" s="399"/>
      <c r="B22" s="51" t="s">
        <v>43</v>
      </c>
      <c r="C22" s="45" t="s">
        <v>5981</v>
      </c>
      <c r="D22" s="45" t="s">
        <v>72</v>
      </c>
      <c r="E22" s="78" t="s">
        <v>5949</v>
      </c>
      <c r="F22" s="45" t="s">
        <v>5982</v>
      </c>
      <c r="G22" s="46" t="s">
        <v>74</v>
      </c>
      <c r="H22" s="47" t="s">
        <v>24</v>
      </c>
      <c r="I22" s="125" t="s">
        <v>31</v>
      </c>
      <c r="J22" s="155"/>
      <c r="K22" s="155"/>
      <c r="L22" s="155"/>
      <c r="M22" s="155"/>
      <c r="N22" s="155"/>
      <c r="O22" s="155"/>
    </row>
    <row r="23" spans="1:15" ht="280.5">
      <c r="A23" s="399"/>
      <c r="B23" s="51" t="s">
        <v>43</v>
      </c>
      <c r="C23" s="45" t="s">
        <v>5983</v>
      </c>
      <c r="D23" s="45" t="s">
        <v>76</v>
      </c>
      <c r="E23" s="78" t="s">
        <v>5949</v>
      </c>
      <c r="F23" s="45" t="s">
        <v>5984</v>
      </c>
      <c r="G23" s="46" t="s">
        <v>74</v>
      </c>
      <c r="H23" s="47" t="s">
        <v>86</v>
      </c>
      <c r="I23" s="125" t="s">
        <v>31</v>
      </c>
      <c r="J23" s="155"/>
      <c r="K23" s="155"/>
      <c r="L23" s="155"/>
      <c r="M23" s="155"/>
      <c r="N23" s="155"/>
      <c r="O23" s="155"/>
    </row>
    <row r="24" spans="1:15" ht="280.5">
      <c r="A24" s="399"/>
      <c r="B24" s="51" t="s">
        <v>43</v>
      </c>
      <c r="C24" s="45" t="s">
        <v>5985</v>
      </c>
      <c r="D24" s="45" t="s">
        <v>5986</v>
      </c>
      <c r="E24" s="78" t="s">
        <v>5909</v>
      </c>
      <c r="F24" s="45" t="s">
        <v>5987</v>
      </c>
      <c r="G24" s="46" t="s">
        <v>5988</v>
      </c>
      <c r="H24" s="47" t="s">
        <v>86</v>
      </c>
      <c r="I24" s="125" t="s">
        <v>31</v>
      </c>
      <c r="J24" s="155"/>
      <c r="K24" s="155"/>
      <c r="L24" s="155"/>
      <c r="M24" s="155"/>
      <c r="N24" s="155"/>
      <c r="O24" s="155"/>
    </row>
    <row r="25" spans="1:15" ht="280.5">
      <c r="A25" s="399"/>
      <c r="B25" s="50" t="s">
        <v>43</v>
      </c>
      <c r="C25" s="45" t="s">
        <v>5989</v>
      </c>
      <c r="D25" s="45" t="s">
        <v>5990</v>
      </c>
      <c r="E25" s="78" t="s">
        <v>5909</v>
      </c>
      <c r="F25" s="45" t="s">
        <v>5991</v>
      </c>
      <c r="G25" s="46" t="s">
        <v>5988</v>
      </c>
      <c r="H25" s="47" t="s">
        <v>24</v>
      </c>
      <c r="I25" s="125" t="s">
        <v>31</v>
      </c>
      <c r="J25" s="155"/>
      <c r="K25" s="155"/>
      <c r="L25" s="155"/>
      <c r="M25" s="155"/>
      <c r="N25" s="155"/>
      <c r="O25" s="155"/>
    </row>
    <row r="26" spans="1:15" ht="280.5">
      <c r="A26" s="399"/>
      <c r="B26" s="50" t="s">
        <v>43</v>
      </c>
      <c r="C26" s="45" t="s">
        <v>5992</v>
      </c>
      <c r="D26" s="45" t="s">
        <v>5993</v>
      </c>
      <c r="E26" s="78" t="s">
        <v>5909</v>
      </c>
      <c r="F26" s="45" t="s">
        <v>5994</v>
      </c>
      <c r="G26" s="46" t="s">
        <v>5988</v>
      </c>
      <c r="H26" s="47" t="s">
        <v>24</v>
      </c>
      <c r="I26" s="125" t="s">
        <v>31</v>
      </c>
      <c r="J26" s="155"/>
      <c r="K26" s="155"/>
      <c r="L26" s="155"/>
      <c r="M26" s="155"/>
      <c r="N26" s="155"/>
      <c r="O26" s="155"/>
    </row>
    <row r="27" spans="1:15" ht="264">
      <c r="A27" s="399"/>
      <c r="B27" s="50" t="s">
        <v>43</v>
      </c>
      <c r="C27" s="45" t="s">
        <v>5995</v>
      </c>
      <c r="D27" s="45" t="s">
        <v>5996</v>
      </c>
      <c r="E27" s="78" t="s">
        <v>5909</v>
      </c>
      <c r="F27" s="45" t="s">
        <v>5997</v>
      </c>
      <c r="G27" s="46" t="s">
        <v>5988</v>
      </c>
      <c r="H27" s="47" t="s">
        <v>24</v>
      </c>
      <c r="I27" s="125" t="s">
        <v>31</v>
      </c>
      <c r="J27" s="155"/>
      <c r="K27" s="155"/>
      <c r="L27" s="155"/>
      <c r="M27" s="155"/>
      <c r="N27" s="155"/>
      <c r="O27" s="155"/>
    </row>
    <row r="28" spans="1:15" ht="115.5">
      <c r="A28" s="399"/>
      <c r="B28" s="50" t="s">
        <v>43</v>
      </c>
      <c r="C28" s="45" t="s">
        <v>5998</v>
      </c>
      <c r="D28" s="45" t="s">
        <v>5999</v>
      </c>
      <c r="E28" s="78" t="s">
        <v>6000</v>
      </c>
      <c r="F28" s="45" t="s">
        <v>6001</v>
      </c>
      <c r="G28" s="46" t="s">
        <v>6002</v>
      </c>
      <c r="H28" s="47" t="s">
        <v>86</v>
      </c>
      <c r="I28" s="73"/>
      <c r="J28" s="155"/>
      <c r="K28" s="155"/>
      <c r="L28" s="155"/>
      <c r="M28" s="155"/>
      <c r="N28" s="155"/>
      <c r="O28" s="155"/>
    </row>
    <row r="29" spans="1:15" ht="198">
      <c r="A29" s="399"/>
      <c r="B29" s="50" t="s">
        <v>43</v>
      </c>
      <c r="C29" s="45" t="s">
        <v>6003</v>
      </c>
      <c r="D29" s="45" t="s">
        <v>6004</v>
      </c>
      <c r="E29" s="78" t="s">
        <v>6005</v>
      </c>
      <c r="F29" s="45" t="s">
        <v>6006</v>
      </c>
      <c r="G29" s="46" t="s">
        <v>88</v>
      </c>
      <c r="H29" s="47" t="s">
        <v>86</v>
      </c>
      <c r="I29" s="73"/>
      <c r="J29" s="155"/>
      <c r="K29" s="155"/>
      <c r="L29" s="155"/>
      <c r="M29" s="155"/>
      <c r="N29" s="155"/>
      <c r="O29" s="155"/>
    </row>
    <row r="30" spans="1:15" ht="115.5">
      <c r="A30" s="399"/>
      <c r="B30" s="50" t="s">
        <v>43</v>
      </c>
      <c r="C30" s="45" t="s">
        <v>6007</v>
      </c>
      <c r="D30" s="45" t="s">
        <v>90</v>
      </c>
      <c r="E30" s="78" t="s">
        <v>6000</v>
      </c>
      <c r="F30" s="45" t="s">
        <v>91</v>
      </c>
      <c r="G30" s="46" t="s">
        <v>92</v>
      </c>
      <c r="H30" s="47" t="s">
        <v>86</v>
      </c>
      <c r="I30" s="73"/>
      <c r="J30" s="155"/>
      <c r="K30" s="155"/>
      <c r="L30" s="155"/>
      <c r="M30" s="155"/>
      <c r="N30" s="155"/>
      <c r="O30" s="155"/>
    </row>
    <row r="31" spans="1:15" ht="165">
      <c r="A31" s="399"/>
      <c r="B31" s="44" t="s">
        <v>96</v>
      </c>
      <c r="C31" s="45" t="s">
        <v>6008</v>
      </c>
      <c r="D31" s="45" t="s">
        <v>6009</v>
      </c>
      <c r="E31" s="78" t="s">
        <v>5909</v>
      </c>
      <c r="F31" s="45" t="s">
        <v>6010</v>
      </c>
      <c r="G31" s="46" t="s">
        <v>6011</v>
      </c>
      <c r="H31" s="47" t="s">
        <v>41</v>
      </c>
      <c r="I31" s="125" t="s">
        <v>31</v>
      </c>
      <c r="J31" s="155"/>
      <c r="K31" s="155"/>
      <c r="L31" s="155"/>
      <c r="M31" s="155"/>
      <c r="N31" s="155"/>
      <c r="O31" s="155"/>
    </row>
    <row r="32" spans="1:15" ht="165">
      <c r="A32" s="399"/>
      <c r="B32" s="44" t="s">
        <v>96</v>
      </c>
      <c r="C32" s="45" t="s">
        <v>6012</v>
      </c>
      <c r="D32" s="45" t="s">
        <v>102</v>
      </c>
      <c r="E32" s="78" t="s">
        <v>5909</v>
      </c>
      <c r="F32" s="45" t="s">
        <v>6013</v>
      </c>
      <c r="G32" s="46" t="s">
        <v>6014</v>
      </c>
      <c r="H32" s="47" t="s">
        <v>41</v>
      </c>
      <c r="I32" s="125" t="s">
        <v>31</v>
      </c>
      <c r="J32" s="155"/>
      <c r="K32" s="155"/>
      <c r="L32" s="155"/>
      <c r="M32" s="155"/>
      <c r="N32" s="155"/>
      <c r="O32" s="155"/>
    </row>
    <row r="33" spans="1:15" ht="165">
      <c r="A33" s="399"/>
      <c r="B33" s="44" t="s">
        <v>96</v>
      </c>
      <c r="C33" s="45" t="s">
        <v>6015</v>
      </c>
      <c r="D33" s="45" t="s">
        <v>6016</v>
      </c>
      <c r="E33" s="78" t="s">
        <v>5909</v>
      </c>
      <c r="F33" s="45" t="s">
        <v>6017</v>
      </c>
      <c r="G33" s="46" t="s">
        <v>6018</v>
      </c>
      <c r="H33" s="47" t="s">
        <v>30</v>
      </c>
      <c r="I33" s="125" t="s">
        <v>31</v>
      </c>
      <c r="J33" s="155"/>
      <c r="K33" s="155"/>
      <c r="L33" s="155"/>
      <c r="M33" s="155"/>
      <c r="N33" s="155"/>
      <c r="O33" s="155"/>
    </row>
    <row r="34" spans="1:15" ht="165">
      <c r="A34" s="399"/>
      <c r="B34" s="44" t="s">
        <v>96</v>
      </c>
      <c r="C34" s="45" t="s">
        <v>6019</v>
      </c>
      <c r="D34" s="45" t="s">
        <v>6020</v>
      </c>
      <c r="E34" s="78" t="s">
        <v>5909</v>
      </c>
      <c r="F34" s="45" t="s">
        <v>6021</v>
      </c>
      <c r="G34" s="46" t="s">
        <v>6022</v>
      </c>
      <c r="H34" s="47" t="s">
        <v>24</v>
      </c>
      <c r="I34" s="125" t="s">
        <v>31</v>
      </c>
      <c r="J34" s="155"/>
      <c r="K34" s="155"/>
      <c r="L34" s="155"/>
      <c r="M34" s="155"/>
      <c r="N34" s="155"/>
      <c r="O34" s="155"/>
    </row>
    <row r="35" spans="1:15" ht="165">
      <c r="A35" s="399"/>
      <c r="B35" s="44" t="s">
        <v>96</v>
      </c>
      <c r="C35" s="45" t="s">
        <v>6023</v>
      </c>
      <c r="D35" s="45" t="s">
        <v>6024</v>
      </c>
      <c r="E35" s="78" t="s">
        <v>5909</v>
      </c>
      <c r="F35" s="45" t="s">
        <v>6025</v>
      </c>
      <c r="G35" s="46" t="s">
        <v>6026</v>
      </c>
      <c r="H35" s="47" t="s">
        <v>24</v>
      </c>
      <c r="I35" s="125" t="s">
        <v>31</v>
      </c>
      <c r="J35" s="155"/>
      <c r="K35" s="155"/>
      <c r="L35" s="155"/>
      <c r="M35" s="155"/>
      <c r="N35" s="155"/>
      <c r="O35" s="155"/>
    </row>
    <row r="36" spans="1:15" ht="165">
      <c r="A36" s="399"/>
      <c r="B36" s="44" t="s">
        <v>96</v>
      </c>
      <c r="C36" s="45" t="s">
        <v>6027</v>
      </c>
      <c r="D36" s="45" t="s">
        <v>6028</v>
      </c>
      <c r="E36" s="78" t="s">
        <v>5909</v>
      </c>
      <c r="F36" s="45" t="s">
        <v>6029</v>
      </c>
      <c r="G36" s="46" t="s">
        <v>6030</v>
      </c>
      <c r="H36" s="47" t="s">
        <v>36</v>
      </c>
      <c r="I36" s="125" t="s">
        <v>31</v>
      </c>
      <c r="J36" s="155"/>
      <c r="K36" s="155"/>
      <c r="L36" s="155"/>
      <c r="M36" s="155"/>
      <c r="N36" s="155"/>
      <c r="O36" s="155"/>
    </row>
    <row r="37" spans="1:15" ht="181.5">
      <c r="A37" s="399"/>
      <c r="B37" s="44" t="s">
        <v>96</v>
      </c>
      <c r="C37" s="45" t="s">
        <v>6031</v>
      </c>
      <c r="D37" s="45" t="s">
        <v>6032</v>
      </c>
      <c r="E37" s="78" t="s">
        <v>5909</v>
      </c>
      <c r="F37" s="45" t="s">
        <v>6033</v>
      </c>
      <c r="G37" s="46" t="s">
        <v>108</v>
      </c>
      <c r="H37" s="47" t="s">
        <v>36</v>
      </c>
      <c r="I37" s="125" t="s">
        <v>31</v>
      </c>
      <c r="J37" s="155"/>
      <c r="K37" s="155"/>
      <c r="L37" s="155"/>
      <c r="M37" s="155"/>
      <c r="N37" s="155"/>
      <c r="O37" s="155"/>
    </row>
    <row r="38" spans="1:15" ht="148.5">
      <c r="A38" s="399"/>
      <c r="B38" s="44" t="s">
        <v>96</v>
      </c>
      <c r="C38" s="45" t="s">
        <v>6034</v>
      </c>
      <c r="D38" s="45" t="s">
        <v>6035</v>
      </c>
      <c r="E38" s="78" t="s">
        <v>5909</v>
      </c>
      <c r="F38" s="45" t="s">
        <v>6036</v>
      </c>
      <c r="G38" s="46" t="s">
        <v>6037</v>
      </c>
      <c r="H38" s="47" t="s">
        <v>36</v>
      </c>
      <c r="I38" s="125" t="s">
        <v>31</v>
      </c>
      <c r="J38" s="155"/>
      <c r="K38" s="155"/>
      <c r="L38" s="155"/>
      <c r="M38" s="155"/>
      <c r="N38" s="155"/>
      <c r="O38" s="155"/>
    </row>
    <row r="39" spans="1:15" ht="132">
      <c r="A39" s="399"/>
      <c r="B39" s="44" t="s">
        <v>96</v>
      </c>
      <c r="C39" s="45" t="s">
        <v>6038</v>
      </c>
      <c r="D39" s="45" t="s">
        <v>6039</v>
      </c>
      <c r="E39" s="78" t="s">
        <v>5909</v>
      </c>
      <c r="F39" s="45" t="s">
        <v>6040</v>
      </c>
      <c r="G39" s="46" t="s">
        <v>6041</v>
      </c>
      <c r="H39" s="47" t="s">
        <v>41</v>
      </c>
      <c r="I39" s="125" t="s">
        <v>31</v>
      </c>
      <c r="J39" s="155"/>
      <c r="K39" s="155"/>
      <c r="L39" s="155"/>
      <c r="M39" s="155"/>
      <c r="N39" s="155"/>
      <c r="O39" s="155"/>
    </row>
    <row r="40" spans="1:15" ht="247.5">
      <c r="A40" s="399"/>
      <c r="B40" s="44" t="s">
        <v>96</v>
      </c>
      <c r="C40" s="45" t="s">
        <v>6042</v>
      </c>
      <c r="D40" s="45" t="s">
        <v>112</v>
      </c>
      <c r="E40" s="78" t="s">
        <v>5909</v>
      </c>
      <c r="F40" s="45" t="s">
        <v>6043</v>
      </c>
      <c r="G40" s="46" t="s">
        <v>6044</v>
      </c>
      <c r="H40" s="47" t="s">
        <v>24</v>
      </c>
      <c r="I40" s="122"/>
      <c r="J40" s="155"/>
      <c r="K40" s="155"/>
      <c r="L40" s="155"/>
      <c r="M40" s="155"/>
      <c r="N40" s="155"/>
      <c r="O40" s="155"/>
    </row>
    <row r="41" spans="1:15" ht="247.5">
      <c r="A41" s="399"/>
      <c r="B41" s="44" t="s">
        <v>96</v>
      </c>
      <c r="C41" s="45" t="s">
        <v>6045</v>
      </c>
      <c r="D41" s="45" t="s">
        <v>6046</v>
      </c>
      <c r="E41" s="78" t="s">
        <v>5909</v>
      </c>
      <c r="F41" s="45" t="s">
        <v>6047</v>
      </c>
      <c r="G41" s="46" t="s">
        <v>6044</v>
      </c>
      <c r="H41" s="47" t="s">
        <v>24</v>
      </c>
      <c r="I41" s="122"/>
      <c r="J41" s="155"/>
      <c r="K41" s="155"/>
      <c r="L41" s="155"/>
      <c r="M41" s="155"/>
      <c r="N41" s="155"/>
      <c r="O41" s="155"/>
    </row>
    <row r="42" spans="1:15" ht="247.5">
      <c r="A42" s="399"/>
      <c r="B42" s="44" t="s">
        <v>96</v>
      </c>
      <c r="C42" s="45" t="s">
        <v>6048</v>
      </c>
      <c r="D42" s="45" t="s">
        <v>6049</v>
      </c>
      <c r="E42" s="78" t="s">
        <v>5909</v>
      </c>
      <c r="F42" s="45" t="s">
        <v>6050</v>
      </c>
      <c r="G42" s="46" t="s">
        <v>6044</v>
      </c>
      <c r="H42" s="47" t="s">
        <v>24</v>
      </c>
      <c r="I42" s="122"/>
      <c r="J42" s="155"/>
      <c r="K42" s="155"/>
      <c r="L42" s="155"/>
      <c r="M42" s="155"/>
      <c r="N42" s="155"/>
      <c r="O42" s="155"/>
    </row>
    <row r="43" spans="1:15" ht="231">
      <c r="A43" s="399"/>
      <c r="B43" s="44" t="s">
        <v>96</v>
      </c>
      <c r="C43" s="45" t="s">
        <v>6051</v>
      </c>
      <c r="D43" s="45" t="s">
        <v>6052</v>
      </c>
      <c r="E43" s="78" t="s">
        <v>5909</v>
      </c>
      <c r="F43" s="45" t="s">
        <v>6053</v>
      </c>
      <c r="G43" s="46" t="s">
        <v>6054</v>
      </c>
      <c r="H43" s="47" t="s">
        <v>36</v>
      </c>
      <c r="I43" s="125" t="s">
        <v>31</v>
      </c>
      <c r="J43" s="155"/>
      <c r="K43" s="155"/>
      <c r="L43" s="155"/>
      <c r="M43" s="155"/>
      <c r="N43" s="155"/>
      <c r="O43" s="155"/>
    </row>
    <row r="44" spans="1:15" ht="264">
      <c r="A44" s="399"/>
      <c r="B44" s="44" t="s">
        <v>96</v>
      </c>
      <c r="C44" s="45" t="s">
        <v>6055</v>
      </c>
      <c r="D44" s="45" t="s">
        <v>6056</v>
      </c>
      <c r="E44" s="78" t="s">
        <v>5909</v>
      </c>
      <c r="F44" s="45" t="s">
        <v>6057</v>
      </c>
      <c r="G44" s="46" t="s">
        <v>6058</v>
      </c>
      <c r="H44" s="47" t="s">
        <v>117</v>
      </c>
      <c r="I44" s="125" t="s">
        <v>31</v>
      </c>
      <c r="J44" s="155"/>
      <c r="K44" s="155"/>
      <c r="L44" s="155"/>
      <c r="M44" s="155"/>
      <c r="N44" s="155"/>
      <c r="O44" s="155"/>
    </row>
    <row r="45" spans="1:15" ht="264">
      <c r="A45" s="399"/>
      <c r="B45" s="44" t="s">
        <v>96</v>
      </c>
      <c r="C45" s="45" t="s">
        <v>6059</v>
      </c>
      <c r="D45" s="45" t="s">
        <v>114</v>
      </c>
      <c r="E45" s="78" t="s">
        <v>5949</v>
      </c>
      <c r="F45" s="45" t="s">
        <v>6060</v>
      </c>
      <c r="G45" s="46" t="s">
        <v>116</v>
      </c>
      <c r="H45" s="47" t="s">
        <v>117</v>
      </c>
      <c r="I45" s="125" t="s">
        <v>31</v>
      </c>
      <c r="J45" s="155"/>
      <c r="K45" s="155"/>
      <c r="L45" s="155"/>
      <c r="M45" s="155"/>
      <c r="N45" s="155"/>
      <c r="O45" s="155"/>
    </row>
    <row r="46" spans="1:15" ht="264">
      <c r="A46" s="399"/>
      <c r="B46" s="44" t="s">
        <v>96</v>
      </c>
      <c r="C46" s="45" t="s">
        <v>6061</v>
      </c>
      <c r="D46" s="45" t="s">
        <v>119</v>
      </c>
      <c r="E46" s="78" t="s">
        <v>5949</v>
      </c>
      <c r="F46" s="45" t="s">
        <v>6062</v>
      </c>
      <c r="G46" s="46" t="s">
        <v>116</v>
      </c>
      <c r="H46" s="47" t="s">
        <v>117</v>
      </c>
      <c r="I46" s="125" t="s">
        <v>31</v>
      </c>
      <c r="J46" s="155"/>
      <c r="K46" s="155"/>
      <c r="L46" s="155"/>
      <c r="M46" s="155"/>
      <c r="N46" s="155"/>
      <c r="O46" s="155"/>
    </row>
    <row r="47" spans="1:15" ht="264">
      <c r="A47" s="399" t="s">
        <v>125</v>
      </c>
      <c r="B47" s="50" t="s">
        <v>126</v>
      </c>
      <c r="C47" s="45" t="s">
        <v>6063</v>
      </c>
      <c r="D47" s="45" t="s">
        <v>6064</v>
      </c>
      <c r="E47" s="78" t="s">
        <v>5909</v>
      </c>
      <c r="F47" s="45" t="s">
        <v>6065</v>
      </c>
      <c r="G47" s="46" t="s">
        <v>6066</v>
      </c>
      <c r="H47" s="47" t="s">
        <v>30</v>
      </c>
      <c r="I47" s="125" t="s">
        <v>25</v>
      </c>
      <c r="J47" s="155"/>
      <c r="K47" s="155"/>
      <c r="L47" s="155"/>
      <c r="M47" s="155"/>
      <c r="N47" s="155"/>
      <c r="O47" s="155"/>
    </row>
    <row r="48" spans="1:15" ht="247.5">
      <c r="A48" s="399"/>
      <c r="B48" s="50" t="s">
        <v>126</v>
      </c>
      <c r="C48" s="45" t="s">
        <v>6067</v>
      </c>
      <c r="D48" s="45" t="s">
        <v>6068</v>
      </c>
      <c r="E48" s="78" t="s">
        <v>5909</v>
      </c>
      <c r="F48" s="45" t="s">
        <v>6069</v>
      </c>
      <c r="G48" s="46" t="s">
        <v>6070</v>
      </c>
      <c r="H48" s="47" t="s">
        <v>41</v>
      </c>
      <c r="I48" s="125" t="s">
        <v>31</v>
      </c>
      <c r="J48" s="155"/>
      <c r="K48" s="155"/>
      <c r="L48" s="155"/>
      <c r="M48" s="155"/>
      <c r="N48" s="155"/>
      <c r="O48" s="155"/>
    </row>
    <row r="49" spans="1:15" ht="231">
      <c r="A49" s="399"/>
      <c r="B49" s="50" t="s">
        <v>126</v>
      </c>
      <c r="C49" s="45" t="s">
        <v>6071</v>
      </c>
      <c r="D49" s="45" t="s">
        <v>6072</v>
      </c>
      <c r="E49" s="78" t="s">
        <v>5909</v>
      </c>
      <c r="F49" s="45" t="s">
        <v>6073</v>
      </c>
      <c r="G49" s="46" t="s">
        <v>6074</v>
      </c>
      <c r="H49" s="47" t="s">
        <v>41</v>
      </c>
      <c r="I49" s="125" t="s">
        <v>31</v>
      </c>
      <c r="J49" s="155"/>
      <c r="K49" s="155"/>
      <c r="L49" s="155"/>
      <c r="M49" s="155"/>
      <c r="N49" s="155"/>
      <c r="O49" s="155"/>
    </row>
    <row r="50" spans="1:15" ht="231">
      <c r="A50" s="399"/>
      <c r="B50" s="50" t="s">
        <v>126</v>
      </c>
      <c r="C50" s="45" t="s">
        <v>6075</v>
      </c>
      <c r="D50" s="45" t="s">
        <v>6076</v>
      </c>
      <c r="E50" s="78" t="s">
        <v>5909</v>
      </c>
      <c r="F50" s="45" t="s">
        <v>6077</v>
      </c>
      <c r="G50" s="46" t="s">
        <v>6066</v>
      </c>
      <c r="H50" s="47" t="s">
        <v>24</v>
      </c>
      <c r="I50" s="125" t="s">
        <v>31</v>
      </c>
      <c r="J50" s="155"/>
      <c r="K50" s="155"/>
      <c r="L50" s="155"/>
      <c r="M50" s="155"/>
      <c r="N50" s="155"/>
      <c r="O50" s="155"/>
    </row>
    <row r="51" spans="1:15" ht="181.5">
      <c r="A51" s="399"/>
      <c r="B51" s="50" t="s">
        <v>126</v>
      </c>
      <c r="C51" s="45" t="s">
        <v>6078</v>
      </c>
      <c r="D51" s="45" t="s">
        <v>6079</v>
      </c>
      <c r="E51" s="78" t="s">
        <v>5909</v>
      </c>
      <c r="F51" s="45" t="s">
        <v>6080</v>
      </c>
      <c r="G51" s="46" t="s">
        <v>6081</v>
      </c>
      <c r="H51" s="47" t="s">
        <v>41</v>
      </c>
      <c r="I51" s="125" t="s">
        <v>31</v>
      </c>
      <c r="J51" s="155"/>
      <c r="K51" s="155"/>
      <c r="L51" s="155"/>
      <c r="M51" s="155"/>
      <c r="N51" s="155"/>
      <c r="O51" s="155"/>
    </row>
    <row r="52" spans="1:15" ht="198">
      <c r="A52" s="399"/>
      <c r="B52" s="50" t="s">
        <v>126</v>
      </c>
      <c r="C52" s="45" t="s">
        <v>6082</v>
      </c>
      <c r="D52" s="45" t="s">
        <v>6083</v>
      </c>
      <c r="E52" s="78" t="s">
        <v>5909</v>
      </c>
      <c r="F52" s="45" t="s">
        <v>6084</v>
      </c>
      <c r="G52" s="46" t="s">
        <v>138</v>
      </c>
      <c r="H52" s="47" t="s">
        <v>24</v>
      </c>
      <c r="I52" s="125" t="s">
        <v>31</v>
      </c>
      <c r="J52" s="155"/>
      <c r="K52" s="155"/>
      <c r="L52" s="155"/>
      <c r="M52" s="155"/>
      <c r="N52" s="155"/>
      <c r="O52" s="155"/>
    </row>
    <row r="53" spans="1:15" ht="231">
      <c r="A53" s="399"/>
      <c r="B53" s="50" t="s">
        <v>126</v>
      </c>
      <c r="C53" s="45" t="s">
        <v>6085</v>
      </c>
      <c r="D53" s="45" t="s">
        <v>6086</v>
      </c>
      <c r="E53" s="78" t="s">
        <v>5909</v>
      </c>
      <c r="F53" s="45" t="s">
        <v>6087</v>
      </c>
      <c r="G53" s="46" t="s">
        <v>6088</v>
      </c>
      <c r="H53" s="47" t="s">
        <v>41</v>
      </c>
      <c r="I53" s="125" t="s">
        <v>31</v>
      </c>
      <c r="J53" s="155"/>
      <c r="K53" s="155"/>
      <c r="L53" s="155"/>
      <c r="M53" s="155"/>
      <c r="N53" s="155"/>
      <c r="O53" s="155"/>
    </row>
    <row r="54" spans="1:15" ht="247.5">
      <c r="A54" s="399"/>
      <c r="B54" s="50" t="s">
        <v>126</v>
      </c>
      <c r="C54" s="45" t="s">
        <v>6089</v>
      </c>
      <c r="D54" s="45" t="s">
        <v>6090</v>
      </c>
      <c r="E54" s="78" t="s">
        <v>5949</v>
      </c>
      <c r="F54" s="45" t="s">
        <v>6091</v>
      </c>
      <c r="G54" s="46" t="s">
        <v>6092</v>
      </c>
      <c r="H54" s="47" t="s">
        <v>24</v>
      </c>
      <c r="I54" s="125" t="s">
        <v>31</v>
      </c>
      <c r="J54" s="155"/>
      <c r="K54" s="155"/>
      <c r="L54" s="155"/>
      <c r="M54" s="155"/>
      <c r="N54" s="155"/>
      <c r="O54" s="155"/>
    </row>
    <row r="55" spans="1:15" ht="264">
      <c r="A55" s="399"/>
      <c r="B55" s="50" t="s">
        <v>126</v>
      </c>
      <c r="C55" s="45" t="s">
        <v>6093</v>
      </c>
      <c r="D55" s="45" t="s">
        <v>140</v>
      </c>
      <c r="E55" s="78" t="s">
        <v>5949</v>
      </c>
      <c r="F55" s="45" t="s">
        <v>6094</v>
      </c>
      <c r="G55" s="46" t="s">
        <v>142</v>
      </c>
      <c r="H55" s="47" t="s">
        <v>24</v>
      </c>
      <c r="I55" s="125" t="s">
        <v>31</v>
      </c>
      <c r="J55" s="155"/>
      <c r="K55" s="155"/>
      <c r="L55" s="155"/>
      <c r="M55" s="155"/>
      <c r="N55" s="155"/>
      <c r="O55" s="155"/>
    </row>
    <row r="56" spans="1:15" ht="264">
      <c r="A56" s="399"/>
      <c r="B56" s="50" t="s">
        <v>126</v>
      </c>
      <c r="C56" s="45" t="s">
        <v>6095</v>
      </c>
      <c r="D56" s="45" t="s">
        <v>6096</v>
      </c>
      <c r="E56" s="78" t="s">
        <v>5909</v>
      </c>
      <c r="F56" s="45" t="s">
        <v>6097</v>
      </c>
      <c r="G56" s="46" t="s">
        <v>6098</v>
      </c>
      <c r="H56" s="47" t="s">
        <v>36</v>
      </c>
      <c r="I56" s="125" t="s">
        <v>31</v>
      </c>
      <c r="J56" s="155"/>
      <c r="K56" s="155"/>
      <c r="L56" s="155"/>
      <c r="M56" s="155"/>
      <c r="N56" s="155"/>
      <c r="O56" s="155"/>
    </row>
    <row r="57" spans="1:15" ht="231">
      <c r="A57" s="399"/>
      <c r="B57" s="50" t="s">
        <v>126</v>
      </c>
      <c r="C57" s="45" t="s">
        <v>6099</v>
      </c>
      <c r="D57" s="45" t="s">
        <v>6100</v>
      </c>
      <c r="E57" s="78" t="s">
        <v>5909</v>
      </c>
      <c r="F57" s="45" t="s">
        <v>6101</v>
      </c>
      <c r="G57" s="46" t="s">
        <v>6102</v>
      </c>
      <c r="H57" s="47" t="s">
        <v>36</v>
      </c>
      <c r="I57" s="125" t="s">
        <v>31</v>
      </c>
      <c r="J57" s="155"/>
      <c r="K57" s="155"/>
      <c r="L57" s="155"/>
      <c r="M57" s="155"/>
      <c r="N57" s="155"/>
      <c r="O57" s="155"/>
    </row>
    <row r="58" spans="1:15" ht="247.5">
      <c r="A58" s="399"/>
      <c r="B58" s="50" t="s">
        <v>126</v>
      </c>
      <c r="C58" s="45" t="s">
        <v>6103</v>
      </c>
      <c r="D58" s="45" t="s">
        <v>6104</v>
      </c>
      <c r="E58" s="78" t="s">
        <v>5949</v>
      </c>
      <c r="F58" s="45" t="s">
        <v>6105</v>
      </c>
      <c r="G58" s="46" t="s">
        <v>6106</v>
      </c>
      <c r="H58" s="47" t="s">
        <v>24</v>
      </c>
      <c r="I58" s="125" t="s">
        <v>31</v>
      </c>
      <c r="J58" s="155"/>
      <c r="K58" s="155"/>
      <c r="L58" s="155"/>
      <c r="M58" s="155"/>
      <c r="N58" s="155"/>
      <c r="O58" s="155"/>
    </row>
    <row r="59" spans="1:15" ht="297">
      <c r="A59" s="399"/>
      <c r="B59" s="50" t="s">
        <v>126</v>
      </c>
      <c r="C59" s="45" t="s">
        <v>6107</v>
      </c>
      <c r="D59" s="45" t="s">
        <v>6108</v>
      </c>
      <c r="E59" s="78" t="s">
        <v>5909</v>
      </c>
      <c r="F59" s="45" t="s">
        <v>6109</v>
      </c>
      <c r="G59" s="46" t="s">
        <v>6110</v>
      </c>
      <c r="H59" s="47" t="s">
        <v>24</v>
      </c>
      <c r="I59" s="125" t="s">
        <v>31</v>
      </c>
      <c r="J59" s="155"/>
      <c r="K59" s="155"/>
      <c r="L59" s="155"/>
      <c r="M59" s="155"/>
      <c r="N59" s="155"/>
      <c r="O59" s="155"/>
    </row>
    <row r="60" spans="1:15" ht="297">
      <c r="A60" s="399"/>
      <c r="B60" s="50" t="s">
        <v>126</v>
      </c>
      <c r="C60" s="45" t="s">
        <v>6111</v>
      </c>
      <c r="D60" s="45" t="s">
        <v>6112</v>
      </c>
      <c r="E60" s="78" t="s">
        <v>5909</v>
      </c>
      <c r="F60" s="45" t="s">
        <v>6113</v>
      </c>
      <c r="G60" s="46" t="s">
        <v>6114</v>
      </c>
      <c r="H60" s="47" t="s">
        <v>86</v>
      </c>
      <c r="I60" s="125" t="s">
        <v>31</v>
      </c>
      <c r="J60" s="155"/>
      <c r="K60" s="155"/>
      <c r="L60" s="155"/>
      <c r="M60" s="155"/>
      <c r="N60" s="155"/>
      <c r="O60" s="155"/>
    </row>
    <row r="61" spans="1:15" ht="297">
      <c r="A61" s="399"/>
      <c r="B61" s="50" t="s">
        <v>126</v>
      </c>
      <c r="C61" s="45" t="s">
        <v>6115</v>
      </c>
      <c r="D61" s="45" t="s">
        <v>6116</v>
      </c>
      <c r="E61" s="78" t="s">
        <v>5909</v>
      </c>
      <c r="F61" s="45" t="s">
        <v>6117</v>
      </c>
      <c r="G61" s="46" t="s">
        <v>6114</v>
      </c>
      <c r="H61" s="47" t="s">
        <v>86</v>
      </c>
      <c r="I61" s="125" t="s">
        <v>31</v>
      </c>
      <c r="J61" s="155"/>
      <c r="K61" s="155"/>
      <c r="L61" s="155"/>
      <c r="M61" s="155"/>
      <c r="N61" s="155"/>
      <c r="O61" s="155"/>
    </row>
    <row r="62" spans="1:15" ht="346.5">
      <c r="A62" s="399"/>
      <c r="B62" s="50" t="s">
        <v>126</v>
      </c>
      <c r="C62" s="45" t="s">
        <v>6118</v>
      </c>
      <c r="D62" s="45" t="s">
        <v>6119</v>
      </c>
      <c r="E62" s="78" t="s">
        <v>5949</v>
      </c>
      <c r="F62" s="45" t="s">
        <v>6120</v>
      </c>
      <c r="G62" s="46" t="s">
        <v>6121</v>
      </c>
      <c r="H62" s="47" t="s">
        <v>117</v>
      </c>
      <c r="I62" s="120"/>
      <c r="J62" s="155"/>
      <c r="K62" s="155"/>
      <c r="L62" s="155"/>
      <c r="M62" s="155"/>
      <c r="N62" s="155"/>
      <c r="O62" s="155"/>
    </row>
    <row r="63" spans="1:15" ht="409.5">
      <c r="A63" s="399"/>
      <c r="B63" s="50" t="s">
        <v>126</v>
      </c>
      <c r="C63" s="45" t="s">
        <v>6122</v>
      </c>
      <c r="D63" s="45" t="s">
        <v>6123</v>
      </c>
      <c r="E63" s="78" t="s">
        <v>6000</v>
      </c>
      <c r="F63" s="45" t="s">
        <v>6124</v>
      </c>
      <c r="G63" s="46" t="s">
        <v>6125</v>
      </c>
      <c r="H63" s="47" t="s">
        <v>233</v>
      </c>
      <c r="I63" s="120"/>
      <c r="J63" s="155"/>
      <c r="K63" s="155"/>
      <c r="L63" s="155"/>
      <c r="M63" s="155"/>
      <c r="N63" s="155"/>
      <c r="O63" s="155"/>
    </row>
    <row r="64" spans="1:15" ht="409.5">
      <c r="A64" s="399"/>
      <c r="B64" s="50" t="s">
        <v>126</v>
      </c>
      <c r="C64" s="45" t="s">
        <v>6126</v>
      </c>
      <c r="D64" s="45" t="s">
        <v>6127</v>
      </c>
      <c r="E64" s="78" t="s">
        <v>6000</v>
      </c>
      <c r="F64" s="45" t="s">
        <v>6128</v>
      </c>
      <c r="G64" s="46" t="s">
        <v>6129</v>
      </c>
      <c r="H64" s="47" t="s">
        <v>184</v>
      </c>
      <c r="I64" s="120"/>
      <c r="J64" s="155"/>
      <c r="K64" s="155"/>
      <c r="L64" s="155"/>
      <c r="M64" s="155"/>
      <c r="N64" s="155"/>
      <c r="O64" s="155"/>
    </row>
    <row r="65" spans="1:15" ht="409.5">
      <c r="A65" s="399"/>
      <c r="B65" s="50" t="s">
        <v>126</v>
      </c>
      <c r="C65" s="45" t="s">
        <v>6130</v>
      </c>
      <c r="D65" s="45" t="s">
        <v>6131</v>
      </c>
      <c r="E65" s="78" t="s">
        <v>6000</v>
      </c>
      <c r="F65" s="45" t="s">
        <v>6124</v>
      </c>
      <c r="G65" s="46" t="s">
        <v>6125</v>
      </c>
      <c r="H65" s="47" t="s">
        <v>233</v>
      </c>
      <c r="I65" s="120"/>
      <c r="J65" s="155"/>
      <c r="K65" s="155"/>
      <c r="L65" s="155"/>
      <c r="M65" s="155"/>
      <c r="N65" s="155"/>
      <c r="O65" s="155"/>
    </row>
    <row r="66" spans="1:15" ht="409.5">
      <c r="A66" s="399"/>
      <c r="B66" s="50" t="s">
        <v>126</v>
      </c>
      <c r="C66" s="45" t="s">
        <v>6132</v>
      </c>
      <c r="D66" s="45" t="s">
        <v>6133</v>
      </c>
      <c r="E66" s="78" t="s">
        <v>6000</v>
      </c>
      <c r="F66" s="45" t="s">
        <v>6128</v>
      </c>
      <c r="G66" s="46" t="s">
        <v>6134</v>
      </c>
      <c r="H66" s="47" t="s">
        <v>184</v>
      </c>
      <c r="I66" s="120"/>
      <c r="J66" s="155"/>
      <c r="K66" s="155"/>
      <c r="L66" s="155"/>
      <c r="M66" s="155"/>
      <c r="N66" s="155"/>
      <c r="O66" s="155"/>
    </row>
    <row r="67" spans="1:15" ht="396">
      <c r="A67" s="399"/>
      <c r="B67" s="50" t="s">
        <v>126</v>
      </c>
      <c r="C67" s="45" t="s">
        <v>6135</v>
      </c>
      <c r="D67" s="45" t="s">
        <v>6136</v>
      </c>
      <c r="E67" s="78" t="s">
        <v>6000</v>
      </c>
      <c r="F67" s="45" t="s">
        <v>6137</v>
      </c>
      <c r="G67" s="46" t="s">
        <v>6138</v>
      </c>
      <c r="H67" s="47" t="s">
        <v>233</v>
      </c>
      <c r="I67" s="120"/>
      <c r="J67" s="155"/>
      <c r="K67" s="155"/>
      <c r="L67" s="155"/>
      <c r="M67" s="155"/>
      <c r="N67" s="155"/>
      <c r="O67" s="155"/>
    </row>
    <row r="68" spans="1:15" ht="396">
      <c r="A68" s="399"/>
      <c r="B68" s="50" t="s">
        <v>126</v>
      </c>
      <c r="C68" s="45" t="s">
        <v>6139</v>
      </c>
      <c r="D68" s="45" t="s">
        <v>6140</v>
      </c>
      <c r="E68" s="78" t="s">
        <v>6000</v>
      </c>
      <c r="F68" s="45" t="s">
        <v>6141</v>
      </c>
      <c r="G68" s="46" t="s">
        <v>6138</v>
      </c>
      <c r="H68" s="47" t="s">
        <v>233</v>
      </c>
      <c r="I68" s="120"/>
      <c r="J68" s="155"/>
      <c r="K68" s="155"/>
      <c r="L68" s="155"/>
      <c r="M68" s="155"/>
      <c r="N68" s="155"/>
      <c r="O68" s="155"/>
    </row>
    <row r="69" spans="1:15" ht="396">
      <c r="A69" s="399"/>
      <c r="B69" s="50" t="s">
        <v>126</v>
      </c>
      <c r="C69" s="45" t="s">
        <v>6142</v>
      </c>
      <c r="D69" s="45" t="s">
        <v>6143</v>
      </c>
      <c r="E69" s="78" t="s">
        <v>6000</v>
      </c>
      <c r="F69" s="45" t="s">
        <v>6144</v>
      </c>
      <c r="G69" s="46" t="s">
        <v>6138</v>
      </c>
      <c r="H69" s="47" t="s">
        <v>233</v>
      </c>
      <c r="I69" s="120"/>
      <c r="J69" s="155"/>
      <c r="K69" s="155"/>
      <c r="L69" s="155"/>
      <c r="M69" s="155"/>
      <c r="N69" s="155"/>
      <c r="O69" s="155"/>
    </row>
    <row r="70" spans="1:15" ht="247.5">
      <c r="A70" s="399"/>
      <c r="B70" s="50" t="s">
        <v>126</v>
      </c>
      <c r="C70" s="45" t="s">
        <v>6145</v>
      </c>
      <c r="D70" s="45" t="s">
        <v>6146</v>
      </c>
      <c r="E70" s="78" t="s">
        <v>5909</v>
      </c>
      <c r="F70" s="45" t="s">
        <v>6147</v>
      </c>
      <c r="G70" s="46" t="s">
        <v>6148</v>
      </c>
      <c r="H70" s="47" t="s">
        <v>41</v>
      </c>
      <c r="I70" s="125" t="s">
        <v>31</v>
      </c>
      <c r="J70" s="155"/>
      <c r="K70" s="155"/>
      <c r="L70" s="155"/>
      <c r="M70" s="155"/>
      <c r="N70" s="155"/>
      <c r="O70" s="155"/>
    </row>
    <row r="71" spans="1:15" ht="280.5">
      <c r="A71" s="399"/>
      <c r="B71" s="50" t="s">
        <v>126</v>
      </c>
      <c r="C71" s="45" t="s">
        <v>6149</v>
      </c>
      <c r="D71" s="45" t="s">
        <v>6150</v>
      </c>
      <c r="E71" s="78" t="s">
        <v>5909</v>
      </c>
      <c r="F71" s="45" t="s">
        <v>6151</v>
      </c>
      <c r="G71" s="46" t="s">
        <v>6152</v>
      </c>
      <c r="H71" s="47" t="s">
        <v>30</v>
      </c>
      <c r="I71" s="125" t="s">
        <v>31</v>
      </c>
      <c r="J71" s="155"/>
      <c r="K71" s="155"/>
      <c r="L71" s="155"/>
      <c r="M71" s="155"/>
      <c r="N71" s="155"/>
      <c r="O71" s="155"/>
    </row>
    <row r="72" spans="1:15" ht="231">
      <c r="A72" s="399"/>
      <c r="B72" s="50" t="s">
        <v>126</v>
      </c>
      <c r="C72" s="45" t="s">
        <v>6153</v>
      </c>
      <c r="D72" s="45" t="s">
        <v>6154</v>
      </c>
      <c r="E72" s="78" t="s">
        <v>5909</v>
      </c>
      <c r="F72" s="45" t="s">
        <v>6155</v>
      </c>
      <c r="G72" s="46" t="s">
        <v>6156</v>
      </c>
      <c r="H72" s="47" t="s">
        <v>41</v>
      </c>
      <c r="I72" s="125" t="s">
        <v>31</v>
      </c>
      <c r="J72" s="155"/>
      <c r="K72" s="155"/>
      <c r="L72" s="155"/>
      <c r="M72" s="155"/>
      <c r="N72" s="155"/>
      <c r="O72" s="155"/>
    </row>
    <row r="73" spans="1:15" ht="231">
      <c r="A73" s="399"/>
      <c r="B73" s="50" t="s">
        <v>126</v>
      </c>
      <c r="C73" s="45" t="s">
        <v>6157</v>
      </c>
      <c r="D73" s="45" t="s">
        <v>6158</v>
      </c>
      <c r="E73" s="78" t="s">
        <v>5909</v>
      </c>
      <c r="F73" s="45" t="s">
        <v>6159</v>
      </c>
      <c r="G73" s="46" t="s">
        <v>6160</v>
      </c>
      <c r="H73" s="47" t="s">
        <v>24</v>
      </c>
      <c r="I73" s="125" t="s">
        <v>31</v>
      </c>
      <c r="J73" s="155"/>
      <c r="K73" s="155"/>
      <c r="L73" s="155"/>
      <c r="M73" s="155"/>
      <c r="N73" s="155"/>
      <c r="O73" s="155"/>
    </row>
    <row r="74" spans="1:15" ht="181.5">
      <c r="A74" s="399"/>
      <c r="B74" s="50" t="s">
        <v>126</v>
      </c>
      <c r="C74" s="45" t="s">
        <v>6161</v>
      </c>
      <c r="D74" s="45" t="s">
        <v>6162</v>
      </c>
      <c r="E74" s="78" t="s">
        <v>5909</v>
      </c>
      <c r="F74" s="45" t="s">
        <v>6163</v>
      </c>
      <c r="G74" s="46" t="s">
        <v>6164</v>
      </c>
      <c r="H74" s="47" t="s">
        <v>24</v>
      </c>
      <c r="I74" s="125" t="s">
        <v>31</v>
      </c>
      <c r="J74" s="155"/>
      <c r="K74" s="155"/>
      <c r="L74" s="155"/>
      <c r="M74" s="155"/>
      <c r="N74" s="155"/>
      <c r="O74" s="155"/>
    </row>
    <row r="75" spans="1:15" ht="214.5">
      <c r="A75" s="399"/>
      <c r="B75" s="50" t="s">
        <v>126</v>
      </c>
      <c r="C75" s="45" t="s">
        <v>6165</v>
      </c>
      <c r="D75" s="45" t="s">
        <v>6166</v>
      </c>
      <c r="E75" s="78" t="s">
        <v>5909</v>
      </c>
      <c r="F75" s="45" t="s">
        <v>6167</v>
      </c>
      <c r="G75" s="46" t="s">
        <v>6168</v>
      </c>
      <c r="H75" s="47" t="s">
        <v>24</v>
      </c>
      <c r="I75" s="125" t="s">
        <v>31</v>
      </c>
      <c r="J75" s="155"/>
      <c r="K75" s="155"/>
      <c r="L75" s="155"/>
      <c r="M75" s="155"/>
      <c r="N75" s="155"/>
      <c r="O75" s="155"/>
    </row>
    <row r="76" spans="1:15" ht="231">
      <c r="A76" s="399"/>
      <c r="B76" s="50" t="s">
        <v>126</v>
      </c>
      <c r="C76" s="45" t="s">
        <v>6169</v>
      </c>
      <c r="D76" s="45" t="s">
        <v>6170</v>
      </c>
      <c r="E76" s="78" t="s">
        <v>5909</v>
      </c>
      <c r="F76" s="45" t="s">
        <v>6171</v>
      </c>
      <c r="G76" s="46" t="s">
        <v>6172</v>
      </c>
      <c r="H76" s="47" t="s">
        <v>24</v>
      </c>
      <c r="I76" s="125" t="s">
        <v>31</v>
      </c>
      <c r="J76" s="155"/>
      <c r="K76" s="155"/>
      <c r="L76" s="155"/>
      <c r="M76" s="155"/>
      <c r="N76" s="155"/>
      <c r="O76" s="155"/>
    </row>
    <row r="77" spans="1:15" ht="247.5">
      <c r="A77" s="399"/>
      <c r="B77" s="50" t="s">
        <v>126</v>
      </c>
      <c r="C77" s="45" t="s">
        <v>6173</v>
      </c>
      <c r="D77" s="45" t="s">
        <v>6174</v>
      </c>
      <c r="E77" s="78" t="s">
        <v>5909</v>
      </c>
      <c r="F77" s="45" t="s">
        <v>6175</v>
      </c>
      <c r="G77" s="46" t="s">
        <v>6176</v>
      </c>
      <c r="H77" s="47" t="s">
        <v>36</v>
      </c>
      <c r="I77" s="125" t="s">
        <v>31</v>
      </c>
      <c r="J77" s="155"/>
      <c r="K77" s="155"/>
      <c r="L77" s="155"/>
      <c r="M77" s="155"/>
      <c r="N77" s="155"/>
      <c r="O77" s="155"/>
    </row>
    <row r="78" spans="1:15" ht="247.5">
      <c r="A78" s="399"/>
      <c r="B78" s="50" t="s">
        <v>126</v>
      </c>
      <c r="C78" s="45" t="s">
        <v>6177</v>
      </c>
      <c r="D78" s="45" t="s">
        <v>6178</v>
      </c>
      <c r="E78" s="78" t="s">
        <v>5949</v>
      </c>
      <c r="F78" s="45" t="s">
        <v>6179</v>
      </c>
      <c r="G78" s="46" t="s">
        <v>6180</v>
      </c>
      <c r="H78" s="47" t="s">
        <v>36</v>
      </c>
      <c r="I78" s="125" t="s">
        <v>31</v>
      </c>
      <c r="J78" s="155"/>
      <c r="K78" s="155"/>
      <c r="L78" s="155"/>
      <c r="M78" s="155"/>
      <c r="N78" s="155"/>
      <c r="O78" s="155"/>
    </row>
    <row r="79" spans="1:15" ht="214.5">
      <c r="A79" s="399"/>
      <c r="B79" s="50" t="s">
        <v>126</v>
      </c>
      <c r="C79" s="45" t="s">
        <v>6181</v>
      </c>
      <c r="D79" s="45" t="s">
        <v>6182</v>
      </c>
      <c r="E79" s="78" t="s">
        <v>5909</v>
      </c>
      <c r="F79" s="45" t="s">
        <v>6183</v>
      </c>
      <c r="G79" s="46" t="s">
        <v>6184</v>
      </c>
      <c r="H79" s="47" t="s">
        <v>36</v>
      </c>
      <c r="I79" s="125" t="s">
        <v>31</v>
      </c>
      <c r="J79" s="155"/>
      <c r="K79" s="155"/>
      <c r="L79" s="155"/>
      <c r="M79" s="155"/>
      <c r="N79" s="155"/>
      <c r="O79" s="155"/>
    </row>
    <row r="80" spans="1:15" ht="247.5">
      <c r="A80" s="399"/>
      <c r="B80" s="50" t="s">
        <v>126</v>
      </c>
      <c r="C80" s="45" t="s">
        <v>6185</v>
      </c>
      <c r="D80" s="45" t="s">
        <v>6186</v>
      </c>
      <c r="E80" s="78" t="s">
        <v>5909</v>
      </c>
      <c r="F80" s="45" t="s">
        <v>6187</v>
      </c>
      <c r="G80" s="46" t="s">
        <v>161</v>
      </c>
      <c r="H80" s="47" t="s">
        <v>62</v>
      </c>
      <c r="I80" s="120"/>
      <c r="J80" s="155"/>
      <c r="K80" s="155"/>
      <c r="L80" s="155"/>
      <c r="M80" s="155"/>
      <c r="N80" s="155"/>
      <c r="O80" s="155"/>
    </row>
    <row r="81" spans="1:15" ht="297">
      <c r="A81" s="399"/>
      <c r="B81" s="50" t="s">
        <v>126</v>
      </c>
      <c r="C81" s="45" t="s">
        <v>6188</v>
      </c>
      <c r="D81" s="45" t="s">
        <v>6189</v>
      </c>
      <c r="E81" s="78" t="s">
        <v>5909</v>
      </c>
      <c r="F81" s="45" t="s">
        <v>6190</v>
      </c>
      <c r="G81" s="46" t="s">
        <v>6110</v>
      </c>
      <c r="H81" s="47" t="s">
        <v>24</v>
      </c>
      <c r="I81" s="120"/>
      <c r="J81" s="155"/>
      <c r="K81" s="155"/>
      <c r="L81" s="155"/>
      <c r="M81" s="155"/>
      <c r="N81" s="155"/>
      <c r="O81" s="155"/>
    </row>
    <row r="82" spans="1:15" ht="346.5">
      <c r="A82" s="399"/>
      <c r="B82" s="50" t="s">
        <v>126</v>
      </c>
      <c r="C82" s="45" t="s">
        <v>6191</v>
      </c>
      <c r="D82" s="45" t="s">
        <v>6192</v>
      </c>
      <c r="E82" s="78" t="s">
        <v>5909</v>
      </c>
      <c r="F82" s="45" t="s">
        <v>6193</v>
      </c>
      <c r="G82" s="46" t="s">
        <v>164</v>
      </c>
      <c r="H82" s="47" t="s">
        <v>117</v>
      </c>
      <c r="I82" s="120"/>
      <c r="J82" s="155"/>
      <c r="K82" s="155"/>
      <c r="L82" s="155"/>
      <c r="M82" s="155"/>
      <c r="N82" s="155"/>
      <c r="O82" s="155"/>
    </row>
    <row r="83" spans="1:15" ht="198">
      <c r="A83" s="399"/>
      <c r="B83" s="44" t="s">
        <v>6194</v>
      </c>
      <c r="C83" s="45" t="s">
        <v>6195</v>
      </c>
      <c r="D83" s="45" t="s">
        <v>6196</v>
      </c>
      <c r="E83" s="78" t="s">
        <v>6197</v>
      </c>
      <c r="F83" s="45" t="s">
        <v>6198</v>
      </c>
      <c r="G83" s="46" t="s">
        <v>6199</v>
      </c>
      <c r="H83" s="47" t="s">
        <v>30</v>
      </c>
      <c r="I83" s="126" t="s">
        <v>31</v>
      </c>
      <c r="J83" s="155"/>
      <c r="K83" s="155"/>
      <c r="L83" s="155"/>
      <c r="M83" s="155"/>
      <c r="N83" s="155"/>
      <c r="O83" s="155"/>
    </row>
    <row r="84" spans="1:15" ht="330">
      <c r="A84" s="399"/>
      <c r="B84" s="44" t="s">
        <v>6194</v>
      </c>
      <c r="C84" s="45" t="s">
        <v>6200</v>
      </c>
      <c r="D84" s="45" t="s">
        <v>6201</v>
      </c>
      <c r="E84" s="78" t="s">
        <v>6197</v>
      </c>
      <c r="F84" s="45" t="s">
        <v>6202</v>
      </c>
      <c r="G84" s="46" t="s">
        <v>6203</v>
      </c>
      <c r="H84" s="47"/>
      <c r="I84" s="122"/>
      <c r="J84" s="155"/>
      <c r="K84" s="155"/>
      <c r="L84" s="155"/>
      <c r="M84" s="155"/>
      <c r="N84" s="155"/>
      <c r="O84" s="155"/>
    </row>
    <row r="85" spans="1:15" ht="297">
      <c r="A85" s="399"/>
      <c r="B85" s="44" t="s">
        <v>6194</v>
      </c>
      <c r="C85" s="45" t="s">
        <v>6204</v>
      </c>
      <c r="D85" s="45" t="s">
        <v>6205</v>
      </c>
      <c r="E85" s="78" t="s">
        <v>6206</v>
      </c>
      <c r="F85" s="45" t="s">
        <v>6207</v>
      </c>
      <c r="G85" s="46" t="s">
        <v>6208</v>
      </c>
      <c r="H85" s="54" t="s">
        <v>24</v>
      </c>
      <c r="I85" s="127" t="s">
        <v>31</v>
      </c>
      <c r="J85" s="155"/>
      <c r="K85" s="155"/>
      <c r="L85" s="155"/>
      <c r="M85" s="155"/>
      <c r="N85" s="155"/>
      <c r="O85" s="155"/>
    </row>
    <row r="86" spans="1:15" ht="330">
      <c r="A86" s="399"/>
      <c r="B86" s="44" t="s">
        <v>6194</v>
      </c>
      <c r="C86" s="45" t="s">
        <v>6209</v>
      </c>
      <c r="D86" s="45" t="s">
        <v>6210</v>
      </c>
      <c r="E86" s="78" t="s">
        <v>6206</v>
      </c>
      <c r="F86" s="45" t="s">
        <v>6211</v>
      </c>
      <c r="G86" s="46" t="s">
        <v>6212</v>
      </c>
      <c r="H86" s="54" t="s">
        <v>24</v>
      </c>
      <c r="I86" s="127" t="s">
        <v>31</v>
      </c>
      <c r="J86" s="155"/>
      <c r="K86" s="155"/>
      <c r="L86" s="155"/>
      <c r="M86" s="155"/>
      <c r="N86" s="155"/>
      <c r="O86" s="155"/>
    </row>
    <row r="87" spans="1:15" ht="330">
      <c r="A87" s="399"/>
      <c r="B87" s="44" t="s">
        <v>6194</v>
      </c>
      <c r="C87" s="45" t="s">
        <v>6213</v>
      </c>
      <c r="D87" s="45" t="s">
        <v>6214</v>
      </c>
      <c r="E87" s="78" t="s">
        <v>6206</v>
      </c>
      <c r="F87" s="45" t="s">
        <v>6215</v>
      </c>
      <c r="G87" s="46" t="s">
        <v>6216</v>
      </c>
      <c r="H87" s="47" t="s">
        <v>24</v>
      </c>
      <c r="I87" s="126" t="s">
        <v>31</v>
      </c>
      <c r="J87" s="155"/>
      <c r="K87" s="155"/>
      <c r="L87" s="155"/>
      <c r="M87" s="155"/>
      <c r="N87" s="155"/>
      <c r="O87" s="155"/>
    </row>
    <row r="88" spans="1:15" ht="346.5">
      <c r="A88" s="399"/>
      <c r="B88" s="44" t="s">
        <v>6194</v>
      </c>
      <c r="C88" s="45" t="s">
        <v>6217</v>
      </c>
      <c r="D88" s="45" t="s">
        <v>6218</v>
      </c>
      <c r="E88" s="78" t="s">
        <v>6206</v>
      </c>
      <c r="F88" s="45" t="s">
        <v>6219</v>
      </c>
      <c r="G88" s="46" t="s">
        <v>6220</v>
      </c>
      <c r="H88" s="47" t="s">
        <v>24</v>
      </c>
      <c r="I88" s="126" t="s">
        <v>31</v>
      </c>
      <c r="J88" s="155"/>
      <c r="K88" s="155"/>
      <c r="L88" s="155"/>
      <c r="M88" s="155"/>
      <c r="N88" s="155"/>
      <c r="O88" s="155"/>
    </row>
    <row r="89" spans="1:15" ht="297">
      <c r="A89" s="399"/>
      <c r="B89" s="44" t="s">
        <v>6194</v>
      </c>
      <c r="C89" s="45" t="s">
        <v>6221</v>
      </c>
      <c r="D89" s="45" t="s">
        <v>6222</v>
      </c>
      <c r="E89" s="78" t="s">
        <v>6206</v>
      </c>
      <c r="F89" s="45" t="s">
        <v>6223</v>
      </c>
      <c r="G89" s="46" t="s">
        <v>6224</v>
      </c>
      <c r="H89" s="47" t="s">
        <v>41</v>
      </c>
      <c r="I89" s="126" t="s">
        <v>31</v>
      </c>
      <c r="J89" s="155"/>
      <c r="K89" s="155"/>
      <c r="L89" s="155"/>
      <c r="M89" s="155"/>
      <c r="N89" s="155"/>
      <c r="O89" s="155"/>
    </row>
    <row r="90" spans="1:15" ht="330">
      <c r="A90" s="399"/>
      <c r="B90" s="44" t="s">
        <v>6194</v>
      </c>
      <c r="C90" s="45" t="s">
        <v>6225</v>
      </c>
      <c r="D90" s="45" t="s">
        <v>6226</v>
      </c>
      <c r="E90" s="78" t="s">
        <v>6206</v>
      </c>
      <c r="F90" s="45" t="s">
        <v>6227</v>
      </c>
      <c r="G90" s="46" t="s">
        <v>6228</v>
      </c>
      <c r="H90" s="47" t="s">
        <v>24</v>
      </c>
      <c r="I90" s="126" t="s">
        <v>31</v>
      </c>
      <c r="J90" s="155"/>
      <c r="K90" s="155"/>
      <c r="L90" s="155"/>
      <c r="M90" s="155"/>
      <c r="N90" s="155"/>
      <c r="O90" s="155"/>
    </row>
    <row r="91" spans="1:15" ht="264">
      <c r="A91" s="399"/>
      <c r="B91" s="44" t="s">
        <v>6194</v>
      </c>
      <c r="C91" s="45" t="s">
        <v>6229</v>
      </c>
      <c r="D91" s="45" t="s">
        <v>6230</v>
      </c>
      <c r="E91" s="78" t="s">
        <v>6206</v>
      </c>
      <c r="F91" s="45" t="s">
        <v>6231</v>
      </c>
      <c r="G91" s="46" t="s">
        <v>6232</v>
      </c>
      <c r="H91" s="47" t="s">
        <v>62</v>
      </c>
      <c r="I91" s="120" t="s">
        <v>6233</v>
      </c>
      <c r="J91" s="155"/>
      <c r="K91" s="155"/>
      <c r="L91" s="155"/>
      <c r="M91" s="155"/>
      <c r="N91" s="155"/>
      <c r="O91" s="155"/>
    </row>
    <row r="92" spans="1:15" ht="313.5">
      <c r="A92" s="399"/>
      <c r="B92" s="44" t="s">
        <v>6194</v>
      </c>
      <c r="C92" s="45" t="s">
        <v>6234</v>
      </c>
      <c r="D92" s="45" t="s">
        <v>6235</v>
      </c>
      <c r="E92" s="78" t="s">
        <v>6236</v>
      </c>
      <c r="F92" s="45" t="s">
        <v>6237</v>
      </c>
      <c r="G92" s="46" t="s">
        <v>6238</v>
      </c>
      <c r="H92" s="47" t="s">
        <v>184</v>
      </c>
      <c r="I92" s="125" t="s">
        <v>31</v>
      </c>
      <c r="J92" s="155"/>
      <c r="K92" s="155"/>
      <c r="L92" s="155"/>
      <c r="M92" s="155"/>
      <c r="N92" s="155"/>
      <c r="O92" s="155"/>
    </row>
    <row r="93" spans="1:15" ht="346.5">
      <c r="A93" s="399"/>
      <c r="B93" s="44" t="s">
        <v>6194</v>
      </c>
      <c r="C93" s="45" t="s">
        <v>6239</v>
      </c>
      <c r="D93" s="45" t="s">
        <v>6240</v>
      </c>
      <c r="E93" s="78" t="s">
        <v>6236</v>
      </c>
      <c r="F93" s="45" t="s">
        <v>6241</v>
      </c>
      <c r="G93" s="60" t="s">
        <v>6242</v>
      </c>
      <c r="H93" s="47" t="s">
        <v>233</v>
      </c>
      <c r="I93" s="122"/>
      <c r="J93" s="155"/>
      <c r="K93" s="155"/>
      <c r="L93" s="155"/>
      <c r="M93" s="155"/>
      <c r="N93" s="155"/>
      <c r="O93" s="155"/>
    </row>
    <row r="94" spans="1:15" ht="330">
      <c r="A94" s="399"/>
      <c r="B94" s="44" t="s">
        <v>6194</v>
      </c>
      <c r="C94" s="53" t="s">
        <v>6243</v>
      </c>
      <c r="D94" s="45" t="s">
        <v>6244</v>
      </c>
      <c r="E94" s="78" t="s">
        <v>6245</v>
      </c>
      <c r="F94" s="45" t="s">
        <v>6246</v>
      </c>
      <c r="G94" s="46" t="s">
        <v>6247</v>
      </c>
      <c r="H94" s="47" t="s">
        <v>117</v>
      </c>
      <c r="I94" s="124"/>
      <c r="J94" s="155"/>
      <c r="K94" s="155"/>
      <c r="L94" s="155"/>
      <c r="M94" s="155"/>
      <c r="N94" s="155"/>
      <c r="O94" s="155"/>
    </row>
    <row r="95" spans="1:15" ht="313.5">
      <c r="A95" s="399"/>
      <c r="B95" s="44" t="s">
        <v>6194</v>
      </c>
      <c r="C95" s="45" t="s">
        <v>6248</v>
      </c>
      <c r="D95" s="45" t="s">
        <v>6249</v>
      </c>
      <c r="E95" s="78" t="s">
        <v>6250</v>
      </c>
      <c r="F95" s="45" t="s">
        <v>6251</v>
      </c>
      <c r="G95" s="46" t="s">
        <v>6252</v>
      </c>
      <c r="H95" s="47" t="s">
        <v>24</v>
      </c>
      <c r="I95" s="125" t="s">
        <v>31</v>
      </c>
      <c r="J95" s="155"/>
      <c r="K95" s="155"/>
      <c r="L95" s="155"/>
      <c r="M95" s="155"/>
      <c r="N95" s="155"/>
      <c r="O95" s="155"/>
    </row>
    <row r="96" spans="1:15" ht="313.5">
      <c r="A96" s="399"/>
      <c r="B96" s="44" t="s">
        <v>6194</v>
      </c>
      <c r="C96" s="45" t="s">
        <v>6253</v>
      </c>
      <c r="D96" s="45" t="s">
        <v>6254</v>
      </c>
      <c r="E96" s="78" t="s">
        <v>6250</v>
      </c>
      <c r="F96" s="45" t="s">
        <v>6255</v>
      </c>
      <c r="G96" s="46" t="s">
        <v>6256</v>
      </c>
      <c r="H96" s="47" t="s">
        <v>41</v>
      </c>
      <c r="I96" s="125" t="s">
        <v>31</v>
      </c>
      <c r="J96" s="155"/>
      <c r="K96" s="155"/>
      <c r="L96" s="155"/>
      <c r="M96" s="155"/>
      <c r="N96" s="155"/>
      <c r="O96" s="155"/>
    </row>
    <row r="97" spans="1:15" ht="313.5">
      <c r="A97" s="399"/>
      <c r="B97" s="44" t="s">
        <v>6194</v>
      </c>
      <c r="C97" s="45" t="s">
        <v>6257</v>
      </c>
      <c r="D97" s="45" t="s">
        <v>6258</v>
      </c>
      <c r="E97" s="78" t="s">
        <v>6250</v>
      </c>
      <c r="F97" s="45" t="s">
        <v>6259</v>
      </c>
      <c r="G97" s="46" t="s">
        <v>6260</v>
      </c>
      <c r="H97" s="47" t="s">
        <v>36</v>
      </c>
      <c r="I97" s="120"/>
      <c r="J97" s="155"/>
      <c r="K97" s="155"/>
      <c r="L97" s="155"/>
      <c r="M97" s="155"/>
      <c r="N97" s="155"/>
      <c r="O97" s="155"/>
    </row>
    <row r="98" spans="1:15" ht="297">
      <c r="A98" s="399"/>
      <c r="B98" s="44" t="s">
        <v>6194</v>
      </c>
      <c r="C98" s="45" t="s">
        <v>6261</v>
      </c>
      <c r="D98" s="45" t="s">
        <v>6262</v>
      </c>
      <c r="E98" s="78" t="s">
        <v>6250</v>
      </c>
      <c r="F98" s="45" t="s">
        <v>6263</v>
      </c>
      <c r="G98" s="46" t="s">
        <v>6264</v>
      </c>
      <c r="H98" s="47" t="s">
        <v>62</v>
      </c>
      <c r="I98" s="120"/>
      <c r="J98" s="155"/>
      <c r="K98" s="155"/>
      <c r="L98" s="155"/>
      <c r="M98" s="155"/>
      <c r="N98" s="155"/>
      <c r="O98" s="155"/>
    </row>
    <row r="99" spans="1:15" ht="297">
      <c r="A99" s="399"/>
      <c r="B99" s="44" t="s">
        <v>6194</v>
      </c>
      <c r="C99" s="45" t="s">
        <v>6265</v>
      </c>
      <c r="D99" s="45" t="s">
        <v>6266</v>
      </c>
      <c r="E99" s="78" t="s">
        <v>6197</v>
      </c>
      <c r="F99" s="45" t="s">
        <v>6267</v>
      </c>
      <c r="G99" s="46" t="s">
        <v>6268</v>
      </c>
      <c r="H99" s="47" t="s">
        <v>184</v>
      </c>
      <c r="I99" s="126" t="s">
        <v>31</v>
      </c>
      <c r="J99" s="155"/>
      <c r="K99" s="155"/>
      <c r="L99" s="155"/>
      <c r="M99" s="155"/>
      <c r="N99" s="155"/>
      <c r="O99" s="155"/>
    </row>
    <row r="100" spans="1:15" ht="313.5">
      <c r="A100" s="399"/>
      <c r="B100" s="44" t="s">
        <v>6194</v>
      </c>
      <c r="C100" s="45" t="s">
        <v>6269</v>
      </c>
      <c r="D100" s="45" t="s">
        <v>6270</v>
      </c>
      <c r="E100" s="78" t="s">
        <v>6197</v>
      </c>
      <c r="F100" s="45" t="s">
        <v>6271</v>
      </c>
      <c r="G100" s="46" t="s">
        <v>6272</v>
      </c>
      <c r="H100" s="47" t="s">
        <v>24</v>
      </c>
      <c r="I100" s="126" t="s">
        <v>31</v>
      </c>
      <c r="J100" s="155"/>
      <c r="K100" s="155"/>
      <c r="L100" s="155"/>
      <c r="M100" s="155"/>
      <c r="N100" s="155"/>
      <c r="O100" s="155"/>
    </row>
    <row r="101" spans="1:15" ht="313.5">
      <c r="A101" s="399"/>
      <c r="B101" s="56" t="s">
        <v>6194</v>
      </c>
      <c r="C101" s="45" t="s">
        <v>6273</v>
      </c>
      <c r="D101" s="45" t="s">
        <v>6274</v>
      </c>
      <c r="E101" s="78" t="s">
        <v>6197</v>
      </c>
      <c r="F101" s="45" t="s">
        <v>6275</v>
      </c>
      <c r="G101" s="46" t="s">
        <v>6276</v>
      </c>
      <c r="H101" s="47" t="s">
        <v>24</v>
      </c>
      <c r="I101" s="120" t="s">
        <v>31</v>
      </c>
      <c r="J101" s="155"/>
      <c r="K101" s="155"/>
      <c r="L101" s="155"/>
      <c r="M101" s="155"/>
      <c r="N101" s="155"/>
      <c r="O101" s="155"/>
    </row>
    <row r="102" spans="1:15" ht="330">
      <c r="A102" s="399"/>
      <c r="B102" s="44" t="s">
        <v>6194</v>
      </c>
      <c r="C102" s="45" t="s">
        <v>6277</v>
      </c>
      <c r="D102" s="45" t="s">
        <v>6278</v>
      </c>
      <c r="E102" s="78" t="s">
        <v>6197</v>
      </c>
      <c r="F102" s="45" t="s">
        <v>6279</v>
      </c>
      <c r="G102" s="46" t="s">
        <v>6280</v>
      </c>
      <c r="H102" s="47" t="s">
        <v>36</v>
      </c>
      <c r="I102" s="126" t="s">
        <v>31</v>
      </c>
      <c r="J102" s="155"/>
      <c r="K102" s="155"/>
      <c r="L102" s="155"/>
      <c r="M102" s="155"/>
      <c r="N102" s="155"/>
      <c r="O102" s="155"/>
    </row>
    <row r="103" spans="1:15" ht="313.5">
      <c r="A103" s="399"/>
      <c r="B103" s="56" t="s">
        <v>6194</v>
      </c>
      <c r="C103" s="53" t="s">
        <v>6281</v>
      </c>
      <c r="D103" s="53" t="s">
        <v>6282</v>
      </c>
      <c r="E103" s="73" t="s">
        <v>6206</v>
      </c>
      <c r="F103" s="53" t="s">
        <v>6283</v>
      </c>
      <c r="G103" s="46" t="s">
        <v>6284</v>
      </c>
      <c r="H103" s="49" t="s">
        <v>36</v>
      </c>
      <c r="I103" s="126" t="s">
        <v>31</v>
      </c>
      <c r="J103" s="155"/>
      <c r="K103" s="155"/>
      <c r="L103" s="155"/>
      <c r="M103" s="155"/>
      <c r="N103" s="155"/>
      <c r="O103" s="155"/>
    </row>
    <row r="104" spans="1:15" ht="297">
      <c r="A104" s="399"/>
      <c r="B104" s="44" t="s">
        <v>6194</v>
      </c>
      <c r="C104" s="45" t="s">
        <v>6285</v>
      </c>
      <c r="D104" s="45" t="s">
        <v>6286</v>
      </c>
      <c r="E104" s="78" t="s">
        <v>6197</v>
      </c>
      <c r="F104" s="45" t="s">
        <v>6287</v>
      </c>
      <c r="G104" s="46" t="s">
        <v>6224</v>
      </c>
      <c r="H104" s="47" t="s">
        <v>36</v>
      </c>
      <c r="I104" s="125" t="s">
        <v>31</v>
      </c>
      <c r="J104" s="155"/>
      <c r="K104" s="155"/>
      <c r="L104" s="155"/>
      <c r="M104" s="155"/>
      <c r="N104" s="155"/>
      <c r="O104" s="155"/>
    </row>
    <row r="105" spans="1:15" ht="264">
      <c r="A105" s="399"/>
      <c r="B105" s="44" t="s">
        <v>6194</v>
      </c>
      <c r="C105" s="45" t="s">
        <v>6288</v>
      </c>
      <c r="D105" s="45" t="s">
        <v>6289</v>
      </c>
      <c r="E105" s="78" t="s">
        <v>6197</v>
      </c>
      <c r="F105" s="45" t="s">
        <v>6290</v>
      </c>
      <c r="G105" s="46" t="s">
        <v>6291</v>
      </c>
      <c r="H105" s="47" t="s">
        <v>36</v>
      </c>
      <c r="I105" s="120"/>
      <c r="J105" s="155"/>
      <c r="K105" s="155"/>
      <c r="L105" s="155"/>
      <c r="M105" s="155"/>
      <c r="N105" s="155"/>
      <c r="O105" s="155"/>
    </row>
    <row r="106" spans="1:15" ht="313.5">
      <c r="A106" s="399"/>
      <c r="B106" s="44" t="s">
        <v>6194</v>
      </c>
      <c r="C106" s="45" t="s">
        <v>6292</v>
      </c>
      <c r="D106" s="45" t="s">
        <v>6293</v>
      </c>
      <c r="E106" s="78" t="s">
        <v>6294</v>
      </c>
      <c r="F106" s="45" t="s">
        <v>6295</v>
      </c>
      <c r="G106" s="46" t="s">
        <v>6296</v>
      </c>
      <c r="H106" s="47" t="s">
        <v>24</v>
      </c>
      <c r="I106" s="125" t="s">
        <v>31</v>
      </c>
      <c r="J106" s="155"/>
      <c r="K106" s="155"/>
      <c r="L106" s="155"/>
      <c r="M106" s="155"/>
      <c r="N106" s="155"/>
      <c r="O106" s="155"/>
    </row>
    <row r="107" spans="1:15" ht="313.5">
      <c r="A107" s="399"/>
      <c r="B107" s="44" t="s">
        <v>6194</v>
      </c>
      <c r="C107" s="45" t="s">
        <v>6297</v>
      </c>
      <c r="D107" s="45" t="s">
        <v>6298</v>
      </c>
      <c r="E107" s="78" t="s">
        <v>6294</v>
      </c>
      <c r="F107" s="45" t="s">
        <v>6299</v>
      </c>
      <c r="G107" s="46" t="s">
        <v>6300</v>
      </c>
      <c r="H107" s="47" t="s">
        <v>24</v>
      </c>
      <c r="I107" s="125" t="s">
        <v>31</v>
      </c>
      <c r="J107" s="155"/>
      <c r="K107" s="155"/>
      <c r="L107" s="155"/>
      <c r="M107" s="155"/>
      <c r="N107" s="155"/>
      <c r="O107" s="155"/>
    </row>
    <row r="108" spans="1:15" ht="313.5">
      <c r="A108" s="399"/>
      <c r="B108" s="44" t="s">
        <v>6194</v>
      </c>
      <c r="C108" s="45" t="s">
        <v>6301</v>
      </c>
      <c r="D108" s="45" t="s">
        <v>6302</v>
      </c>
      <c r="E108" s="78" t="s">
        <v>6303</v>
      </c>
      <c r="F108" s="45" t="s">
        <v>6304</v>
      </c>
      <c r="G108" s="46" t="s">
        <v>6305</v>
      </c>
      <c r="H108" s="47" t="s">
        <v>41</v>
      </c>
      <c r="I108" s="125" t="s">
        <v>31</v>
      </c>
      <c r="J108" s="155"/>
      <c r="K108" s="155"/>
      <c r="L108" s="155"/>
      <c r="M108" s="155"/>
      <c r="N108" s="155"/>
      <c r="O108" s="155"/>
    </row>
    <row r="109" spans="1:15" ht="330">
      <c r="A109" s="399"/>
      <c r="B109" s="44" t="s">
        <v>6194</v>
      </c>
      <c r="C109" s="45" t="s">
        <v>6306</v>
      </c>
      <c r="D109" s="45" t="s">
        <v>6307</v>
      </c>
      <c r="E109" s="78" t="s">
        <v>6308</v>
      </c>
      <c r="F109" s="45" t="s">
        <v>6309</v>
      </c>
      <c r="G109" s="46" t="s">
        <v>6310</v>
      </c>
      <c r="H109" s="47" t="s">
        <v>24</v>
      </c>
      <c r="I109" s="125" t="s">
        <v>31</v>
      </c>
      <c r="J109" s="155"/>
      <c r="K109" s="155"/>
      <c r="L109" s="155"/>
      <c r="M109" s="155"/>
      <c r="N109" s="155"/>
      <c r="O109" s="155"/>
    </row>
    <row r="110" spans="1:15" ht="346.5">
      <c r="A110" s="399"/>
      <c r="B110" s="44" t="s">
        <v>6194</v>
      </c>
      <c r="C110" s="45" t="s">
        <v>6311</v>
      </c>
      <c r="D110" s="45" t="s">
        <v>6312</v>
      </c>
      <c r="E110" s="78" t="s">
        <v>6308</v>
      </c>
      <c r="F110" s="45" t="s">
        <v>6313</v>
      </c>
      <c r="G110" s="46" t="s">
        <v>6314</v>
      </c>
      <c r="H110" s="47" t="s">
        <v>233</v>
      </c>
      <c r="I110" s="120"/>
      <c r="J110" s="155"/>
      <c r="K110" s="155"/>
      <c r="L110" s="155"/>
      <c r="M110" s="155"/>
      <c r="N110" s="155"/>
      <c r="O110" s="155"/>
    </row>
    <row r="111" spans="1:15" ht="313.5">
      <c r="A111" s="399"/>
      <c r="B111" s="44" t="s">
        <v>6194</v>
      </c>
      <c r="C111" s="45" t="s">
        <v>6315</v>
      </c>
      <c r="D111" s="45" t="s">
        <v>6316</v>
      </c>
      <c r="E111" s="78" t="s">
        <v>6308</v>
      </c>
      <c r="F111" s="45" t="s">
        <v>6317</v>
      </c>
      <c r="G111" s="46" t="s">
        <v>6318</v>
      </c>
      <c r="H111" s="47" t="s">
        <v>62</v>
      </c>
      <c r="I111" s="120"/>
      <c r="J111" s="155"/>
      <c r="K111" s="155"/>
      <c r="L111" s="155"/>
      <c r="M111" s="155"/>
      <c r="N111" s="155"/>
      <c r="O111" s="155"/>
    </row>
    <row r="112" spans="1:15" ht="346.5">
      <c r="A112" s="399"/>
      <c r="B112" s="56" t="s">
        <v>6194</v>
      </c>
      <c r="C112" s="45" t="s">
        <v>6319</v>
      </c>
      <c r="D112" s="95" t="s">
        <v>6320</v>
      </c>
      <c r="E112" s="78" t="s">
        <v>6308</v>
      </c>
      <c r="F112" s="45" t="s">
        <v>6321</v>
      </c>
      <c r="G112" s="46" t="s">
        <v>6322</v>
      </c>
      <c r="H112" s="47" t="s">
        <v>36</v>
      </c>
      <c r="I112" s="120"/>
      <c r="J112" s="155"/>
      <c r="K112" s="155"/>
      <c r="L112" s="155"/>
      <c r="M112" s="155"/>
      <c r="N112" s="155"/>
      <c r="O112" s="155"/>
    </row>
    <row r="113" spans="1:15" ht="346.5">
      <c r="A113" s="399"/>
      <c r="B113" s="56" t="s">
        <v>6194</v>
      </c>
      <c r="C113" s="45" t="s">
        <v>6323</v>
      </c>
      <c r="D113" s="95" t="s">
        <v>6324</v>
      </c>
      <c r="E113" s="78" t="s">
        <v>6308</v>
      </c>
      <c r="F113" s="45" t="s">
        <v>6325</v>
      </c>
      <c r="G113" s="46" t="s">
        <v>6326</v>
      </c>
      <c r="H113" s="47" t="s">
        <v>36</v>
      </c>
      <c r="I113" s="120"/>
      <c r="J113" s="155"/>
      <c r="K113" s="155"/>
      <c r="L113" s="155"/>
      <c r="M113" s="155"/>
      <c r="N113" s="155"/>
      <c r="O113" s="155"/>
    </row>
    <row r="114" spans="1:15" ht="82.5">
      <c r="A114" s="399"/>
      <c r="B114" s="56" t="s">
        <v>6194</v>
      </c>
      <c r="C114" s="45" t="s">
        <v>6327</v>
      </c>
      <c r="D114" s="45" t="s">
        <v>6328</v>
      </c>
      <c r="E114" s="78" t="s">
        <v>6303</v>
      </c>
      <c r="F114" s="45" t="s">
        <v>6329</v>
      </c>
      <c r="G114" s="46" t="s">
        <v>6330</v>
      </c>
      <c r="H114" s="47" t="s">
        <v>36</v>
      </c>
      <c r="I114" s="120"/>
      <c r="J114" s="155"/>
      <c r="K114" s="155"/>
      <c r="L114" s="155"/>
      <c r="M114" s="155"/>
      <c r="N114" s="155"/>
      <c r="O114" s="155"/>
    </row>
    <row r="115" spans="1:15" ht="115.5">
      <c r="A115" s="399"/>
      <c r="B115" s="56" t="s">
        <v>6194</v>
      </c>
      <c r="C115" s="45" t="s">
        <v>6331</v>
      </c>
      <c r="D115" s="20" t="s">
        <v>6332</v>
      </c>
      <c r="E115" s="78" t="s">
        <v>6303</v>
      </c>
      <c r="F115" s="45" t="s">
        <v>6333</v>
      </c>
      <c r="G115" s="46" t="s">
        <v>6334</v>
      </c>
      <c r="H115" s="47" t="s">
        <v>36</v>
      </c>
      <c r="I115" s="115"/>
      <c r="J115" s="155"/>
      <c r="K115" s="155"/>
      <c r="L115" s="155"/>
      <c r="M115" s="155"/>
      <c r="N115" s="155"/>
      <c r="O115" s="155"/>
    </row>
    <row r="116" spans="1:15" ht="409.5">
      <c r="A116" s="399" t="s">
        <v>227</v>
      </c>
      <c r="B116" s="50" t="s">
        <v>228</v>
      </c>
      <c r="C116" s="48" t="s">
        <v>6335</v>
      </c>
      <c r="D116" s="48" t="s">
        <v>6336</v>
      </c>
      <c r="E116" s="80" t="s">
        <v>6308</v>
      </c>
      <c r="F116" s="45" t="s">
        <v>6337</v>
      </c>
      <c r="G116" s="46" t="s">
        <v>6338</v>
      </c>
      <c r="H116" s="47" t="s">
        <v>233</v>
      </c>
      <c r="I116" s="125" t="s">
        <v>31</v>
      </c>
      <c r="J116" s="155"/>
      <c r="K116" s="155"/>
      <c r="L116" s="155"/>
      <c r="M116" s="155"/>
      <c r="N116" s="155"/>
      <c r="O116" s="155"/>
    </row>
    <row r="117" spans="1:15" ht="409.5">
      <c r="A117" s="399"/>
      <c r="B117" s="50" t="s">
        <v>234</v>
      </c>
      <c r="C117" s="45" t="s">
        <v>6339</v>
      </c>
      <c r="D117" s="45" t="s">
        <v>6340</v>
      </c>
      <c r="E117" s="78" t="s">
        <v>6308</v>
      </c>
      <c r="F117" s="45" t="s">
        <v>6341</v>
      </c>
      <c r="G117" s="46" t="s">
        <v>6342</v>
      </c>
      <c r="H117" s="47" t="s">
        <v>41</v>
      </c>
      <c r="I117" s="125" t="s">
        <v>31</v>
      </c>
      <c r="J117" s="155"/>
      <c r="K117" s="155"/>
      <c r="L117" s="155"/>
      <c r="M117" s="155"/>
      <c r="N117" s="155"/>
      <c r="O117" s="155"/>
    </row>
    <row r="118" spans="1:15" ht="409.5">
      <c r="A118" s="399"/>
      <c r="B118" s="50" t="s">
        <v>234</v>
      </c>
      <c r="C118" s="45" t="s">
        <v>6343</v>
      </c>
      <c r="D118" s="45" t="s">
        <v>6344</v>
      </c>
      <c r="E118" s="78" t="s">
        <v>6308</v>
      </c>
      <c r="F118" s="45" t="s">
        <v>6345</v>
      </c>
      <c r="G118" s="46" t="s">
        <v>6342</v>
      </c>
      <c r="H118" s="47" t="s">
        <v>41</v>
      </c>
      <c r="I118" s="125" t="s">
        <v>31</v>
      </c>
      <c r="J118" s="155"/>
      <c r="K118" s="155"/>
      <c r="L118" s="155"/>
      <c r="M118" s="155"/>
      <c r="N118" s="155"/>
      <c r="O118" s="155"/>
    </row>
    <row r="119" spans="1:15" ht="409.5">
      <c r="A119" s="399"/>
      <c r="B119" s="50" t="s">
        <v>234</v>
      </c>
      <c r="C119" s="45" t="s">
        <v>6346</v>
      </c>
      <c r="D119" s="45" t="s">
        <v>6347</v>
      </c>
      <c r="E119" s="78" t="s">
        <v>6308</v>
      </c>
      <c r="F119" s="45" t="s">
        <v>6348</v>
      </c>
      <c r="G119" s="46" t="s">
        <v>6349</v>
      </c>
      <c r="H119" s="47" t="s">
        <v>117</v>
      </c>
      <c r="I119" s="120"/>
      <c r="J119" s="155"/>
      <c r="K119" s="155"/>
      <c r="L119" s="155"/>
      <c r="M119" s="155"/>
      <c r="N119" s="155"/>
      <c r="O119" s="155"/>
    </row>
    <row r="120" spans="1:15" ht="409.5">
      <c r="A120" s="399"/>
      <c r="B120" s="50" t="s">
        <v>234</v>
      </c>
      <c r="C120" s="45" t="s">
        <v>6350</v>
      </c>
      <c r="D120" s="45" t="s">
        <v>6351</v>
      </c>
      <c r="E120" s="78" t="s">
        <v>6308</v>
      </c>
      <c r="F120" s="45" t="s">
        <v>6352</v>
      </c>
      <c r="G120" s="46" t="s">
        <v>6353</v>
      </c>
      <c r="H120" s="47" t="s">
        <v>41</v>
      </c>
      <c r="I120" s="125" t="s">
        <v>31</v>
      </c>
      <c r="J120" s="155"/>
      <c r="K120" s="155"/>
      <c r="L120" s="155"/>
      <c r="M120" s="155"/>
      <c r="N120" s="155"/>
      <c r="O120" s="155"/>
    </row>
    <row r="121" spans="1:15" ht="409.5">
      <c r="A121" s="399"/>
      <c r="B121" s="50" t="s">
        <v>234</v>
      </c>
      <c r="C121" s="45" t="s">
        <v>6354</v>
      </c>
      <c r="D121" s="45" t="s">
        <v>6355</v>
      </c>
      <c r="E121" s="78" t="s">
        <v>6303</v>
      </c>
      <c r="F121" s="45" t="s">
        <v>6356</v>
      </c>
      <c r="G121" s="46" t="s">
        <v>6357</v>
      </c>
      <c r="H121" s="47" t="s">
        <v>24</v>
      </c>
      <c r="I121" s="125" t="s">
        <v>31</v>
      </c>
      <c r="J121" s="155"/>
      <c r="K121" s="155"/>
      <c r="L121" s="155"/>
      <c r="M121" s="155"/>
      <c r="N121" s="155"/>
      <c r="O121" s="155"/>
    </row>
    <row r="122" spans="1:15" ht="409.5">
      <c r="A122" s="399"/>
      <c r="B122" s="50" t="s">
        <v>234</v>
      </c>
      <c r="C122" s="45" t="s">
        <v>6358</v>
      </c>
      <c r="D122" s="45" t="s">
        <v>6359</v>
      </c>
      <c r="E122" s="78" t="s">
        <v>6303</v>
      </c>
      <c r="F122" s="45" t="s">
        <v>6360</v>
      </c>
      <c r="G122" s="46" t="s">
        <v>6361</v>
      </c>
      <c r="H122" s="47" t="s">
        <v>24</v>
      </c>
      <c r="I122" s="125" t="s">
        <v>31</v>
      </c>
      <c r="J122" s="155"/>
      <c r="K122" s="155"/>
      <c r="L122" s="155"/>
      <c r="M122" s="155"/>
      <c r="N122" s="155"/>
      <c r="O122" s="155"/>
    </row>
    <row r="123" spans="1:15" ht="409.5">
      <c r="A123" s="399"/>
      <c r="B123" s="50" t="s">
        <v>234</v>
      </c>
      <c r="C123" s="45" t="s">
        <v>6362</v>
      </c>
      <c r="D123" s="45" t="s">
        <v>6363</v>
      </c>
      <c r="E123" s="78" t="s">
        <v>6308</v>
      </c>
      <c r="F123" s="45" t="s">
        <v>6364</v>
      </c>
      <c r="G123" s="46" t="s">
        <v>6365</v>
      </c>
      <c r="H123" s="47" t="s">
        <v>36</v>
      </c>
      <c r="I123" s="125" t="s">
        <v>31</v>
      </c>
      <c r="J123" s="155"/>
      <c r="K123" s="155"/>
      <c r="L123" s="155"/>
      <c r="M123" s="155"/>
      <c r="N123" s="155"/>
      <c r="O123" s="155"/>
    </row>
    <row r="124" spans="1:15" ht="409.5">
      <c r="A124" s="399"/>
      <c r="B124" s="50" t="s">
        <v>234</v>
      </c>
      <c r="C124" s="45" t="s">
        <v>6366</v>
      </c>
      <c r="D124" s="45" t="s">
        <v>6367</v>
      </c>
      <c r="E124" s="78" t="s">
        <v>6308</v>
      </c>
      <c r="F124" s="45" t="s">
        <v>6368</v>
      </c>
      <c r="G124" s="46" t="s">
        <v>6369</v>
      </c>
      <c r="H124" s="47" t="s">
        <v>24</v>
      </c>
      <c r="I124" s="125" t="s">
        <v>31</v>
      </c>
      <c r="J124" s="155"/>
      <c r="K124" s="155"/>
      <c r="L124" s="155"/>
      <c r="M124" s="155"/>
      <c r="N124" s="155"/>
      <c r="O124" s="155"/>
    </row>
    <row r="125" spans="1:15" ht="409.5">
      <c r="A125" s="399"/>
      <c r="B125" s="50" t="s">
        <v>234</v>
      </c>
      <c r="C125" s="45" t="s">
        <v>6370</v>
      </c>
      <c r="D125" s="45" t="s">
        <v>6371</v>
      </c>
      <c r="E125" s="78" t="s">
        <v>6308</v>
      </c>
      <c r="F125" s="45" t="s">
        <v>6372</v>
      </c>
      <c r="G125" s="46" t="s">
        <v>6373</v>
      </c>
      <c r="H125" s="47" t="s">
        <v>36</v>
      </c>
      <c r="I125" s="125" t="s">
        <v>31</v>
      </c>
      <c r="J125" s="155"/>
      <c r="K125" s="155"/>
      <c r="L125" s="155"/>
      <c r="M125" s="155"/>
      <c r="N125" s="155"/>
      <c r="O125" s="155"/>
    </row>
    <row r="126" spans="1:15" ht="409.5">
      <c r="A126" s="399"/>
      <c r="B126" s="50" t="s">
        <v>234</v>
      </c>
      <c r="C126" s="45" t="s">
        <v>6374</v>
      </c>
      <c r="D126" s="45" t="s">
        <v>6375</v>
      </c>
      <c r="E126" s="78" t="s">
        <v>6308</v>
      </c>
      <c r="F126" s="45" t="s">
        <v>6376</v>
      </c>
      <c r="G126" s="46" t="s">
        <v>6377</v>
      </c>
      <c r="H126" s="47" t="s">
        <v>24</v>
      </c>
      <c r="I126" s="125" t="s">
        <v>31</v>
      </c>
      <c r="J126" s="155"/>
      <c r="K126" s="155"/>
      <c r="L126" s="155"/>
      <c r="M126" s="155"/>
      <c r="N126" s="155"/>
      <c r="O126" s="155"/>
    </row>
    <row r="127" spans="1:15" ht="409.5">
      <c r="A127" s="399"/>
      <c r="B127" s="50" t="s">
        <v>234</v>
      </c>
      <c r="C127" s="45" t="s">
        <v>6378</v>
      </c>
      <c r="D127" s="45" t="s">
        <v>6379</v>
      </c>
      <c r="E127" s="78" t="s">
        <v>6303</v>
      </c>
      <c r="F127" s="45" t="s">
        <v>6380</v>
      </c>
      <c r="G127" s="46" t="s">
        <v>6381</v>
      </c>
      <c r="H127" s="47" t="s">
        <v>36</v>
      </c>
      <c r="I127" s="125" t="s">
        <v>31</v>
      </c>
      <c r="J127" s="155"/>
      <c r="K127" s="155"/>
      <c r="L127" s="155"/>
      <c r="M127" s="155"/>
      <c r="N127" s="155"/>
      <c r="O127" s="155"/>
    </row>
    <row r="128" spans="1:15" ht="409.5">
      <c r="A128" s="399"/>
      <c r="B128" s="50" t="s">
        <v>234</v>
      </c>
      <c r="C128" s="45" t="s">
        <v>6382</v>
      </c>
      <c r="D128" s="45" t="s">
        <v>6383</v>
      </c>
      <c r="E128" s="78" t="s">
        <v>6308</v>
      </c>
      <c r="F128" s="45" t="s">
        <v>6384</v>
      </c>
      <c r="G128" s="46" t="s">
        <v>6385</v>
      </c>
      <c r="H128" s="47" t="s">
        <v>62</v>
      </c>
      <c r="I128" s="125" t="s">
        <v>31</v>
      </c>
      <c r="J128" s="155"/>
      <c r="K128" s="155"/>
      <c r="L128" s="155"/>
      <c r="M128" s="155"/>
      <c r="N128" s="155"/>
      <c r="O128" s="155"/>
    </row>
    <row r="129" spans="1:15" ht="409.5">
      <c r="A129" s="399"/>
      <c r="B129" s="50" t="s">
        <v>234</v>
      </c>
      <c r="C129" s="45" t="s">
        <v>6386</v>
      </c>
      <c r="D129" s="45" t="s">
        <v>6387</v>
      </c>
      <c r="E129" s="78" t="s">
        <v>6308</v>
      </c>
      <c r="F129" s="45" t="s">
        <v>6388</v>
      </c>
      <c r="G129" s="46" t="s">
        <v>6389</v>
      </c>
      <c r="H129" s="47" t="s">
        <v>62</v>
      </c>
      <c r="I129" s="125" t="s">
        <v>31</v>
      </c>
      <c r="J129" s="155"/>
      <c r="K129" s="155"/>
      <c r="L129" s="155"/>
      <c r="M129" s="155"/>
      <c r="N129" s="155"/>
      <c r="O129" s="155"/>
    </row>
    <row r="130" spans="1:15" ht="363">
      <c r="A130" s="399"/>
      <c r="B130" s="50" t="s">
        <v>234</v>
      </c>
      <c r="C130" s="45" t="s">
        <v>6390</v>
      </c>
      <c r="D130" s="45" t="s">
        <v>6391</v>
      </c>
      <c r="E130" s="78" t="s">
        <v>6303</v>
      </c>
      <c r="F130" s="45" t="s">
        <v>6392</v>
      </c>
      <c r="G130" s="46" t="s">
        <v>6393</v>
      </c>
      <c r="H130" s="47" t="s">
        <v>36</v>
      </c>
      <c r="I130" s="125" t="s">
        <v>31</v>
      </c>
      <c r="J130" s="155"/>
      <c r="K130" s="155"/>
      <c r="L130" s="155"/>
      <c r="M130" s="155"/>
      <c r="N130" s="155"/>
      <c r="O130" s="155"/>
    </row>
    <row r="131" spans="1:15" ht="409.5">
      <c r="A131" s="399"/>
      <c r="B131" s="50" t="s">
        <v>234</v>
      </c>
      <c r="C131" s="45" t="s">
        <v>6394</v>
      </c>
      <c r="D131" s="45" t="s">
        <v>6395</v>
      </c>
      <c r="E131" s="78" t="s">
        <v>6308</v>
      </c>
      <c r="F131" s="45" t="s">
        <v>6396</v>
      </c>
      <c r="G131" s="46" t="s">
        <v>6397</v>
      </c>
      <c r="H131" s="47" t="s">
        <v>62</v>
      </c>
      <c r="I131" s="125" t="s">
        <v>31</v>
      </c>
      <c r="J131" s="155"/>
      <c r="K131" s="155"/>
      <c r="L131" s="155"/>
      <c r="M131" s="155"/>
      <c r="N131" s="155"/>
      <c r="O131" s="155"/>
    </row>
    <row r="132" spans="1:15" ht="363">
      <c r="A132" s="399"/>
      <c r="B132" s="50" t="s">
        <v>234</v>
      </c>
      <c r="C132" s="45" t="s">
        <v>6398</v>
      </c>
      <c r="D132" s="45" t="s">
        <v>6399</v>
      </c>
      <c r="E132" s="78" t="s">
        <v>6308</v>
      </c>
      <c r="F132" s="45" t="s">
        <v>6400</v>
      </c>
      <c r="G132" s="46" t="s">
        <v>6401</v>
      </c>
      <c r="H132" s="47" t="s">
        <v>36</v>
      </c>
      <c r="I132" s="125" t="s">
        <v>31</v>
      </c>
      <c r="J132" s="155"/>
      <c r="K132" s="155"/>
      <c r="L132" s="155"/>
      <c r="M132" s="155"/>
      <c r="N132" s="155"/>
      <c r="O132" s="155"/>
    </row>
    <row r="133" spans="1:15" ht="409.5">
      <c r="A133" s="399"/>
      <c r="B133" s="50" t="s">
        <v>234</v>
      </c>
      <c r="C133" s="45" t="s">
        <v>6402</v>
      </c>
      <c r="D133" s="45" t="s">
        <v>6403</v>
      </c>
      <c r="E133" s="78" t="s">
        <v>6404</v>
      </c>
      <c r="F133" s="45" t="s">
        <v>6405</v>
      </c>
      <c r="G133" s="46" t="s">
        <v>6406</v>
      </c>
      <c r="H133" s="47" t="s">
        <v>30</v>
      </c>
      <c r="I133" s="125" t="s">
        <v>31</v>
      </c>
      <c r="J133" s="155"/>
      <c r="K133" s="155"/>
      <c r="L133" s="155"/>
      <c r="M133" s="155"/>
      <c r="N133" s="155"/>
      <c r="O133" s="155"/>
    </row>
    <row r="134" spans="1:15" ht="409.5">
      <c r="A134" s="399"/>
      <c r="B134" s="50" t="s">
        <v>234</v>
      </c>
      <c r="C134" s="45" t="s">
        <v>6407</v>
      </c>
      <c r="D134" s="45" t="s">
        <v>6408</v>
      </c>
      <c r="E134" s="78" t="s">
        <v>6404</v>
      </c>
      <c r="F134" s="45" t="s">
        <v>6409</v>
      </c>
      <c r="G134" s="46" t="s">
        <v>6410</v>
      </c>
      <c r="H134" s="47" t="s">
        <v>117</v>
      </c>
      <c r="I134" s="120"/>
      <c r="J134" s="155"/>
      <c r="K134" s="155"/>
      <c r="L134" s="155"/>
      <c r="M134" s="155"/>
      <c r="N134" s="155"/>
      <c r="O134" s="155"/>
    </row>
    <row r="135" spans="1:15" ht="409.5">
      <c r="A135" s="399"/>
      <c r="B135" s="50" t="s">
        <v>234</v>
      </c>
      <c r="C135" s="45" t="s">
        <v>6411</v>
      </c>
      <c r="D135" s="45" t="s">
        <v>6412</v>
      </c>
      <c r="E135" s="78" t="s">
        <v>6413</v>
      </c>
      <c r="F135" s="45" t="s">
        <v>6414</v>
      </c>
      <c r="G135" s="46" t="s">
        <v>6415</v>
      </c>
      <c r="H135" s="47" t="s">
        <v>24</v>
      </c>
      <c r="I135" s="125" t="s">
        <v>31</v>
      </c>
      <c r="J135" s="155"/>
      <c r="K135" s="155"/>
      <c r="L135" s="155"/>
      <c r="M135" s="155"/>
      <c r="N135" s="155"/>
      <c r="O135" s="155"/>
    </row>
    <row r="136" spans="1:15" ht="409.5">
      <c r="A136" s="399"/>
      <c r="B136" s="50" t="s">
        <v>234</v>
      </c>
      <c r="C136" s="45" t="s">
        <v>6416</v>
      </c>
      <c r="D136" s="45" t="s">
        <v>6417</v>
      </c>
      <c r="E136" s="78" t="s">
        <v>6404</v>
      </c>
      <c r="F136" s="45" t="s">
        <v>6418</v>
      </c>
      <c r="G136" s="46" t="s">
        <v>6419</v>
      </c>
      <c r="H136" s="47" t="s">
        <v>86</v>
      </c>
      <c r="I136" s="120"/>
      <c r="J136" s="155"/>
      <c r="K136" s="155"/>
      <c r="L136" s="155"/>
      <c r="M136" s="155"/>
      <c r="N136" s="155"/>
      <c r="O136" s="155"/>
    </row>
    <row r="137" spans="1:15" ht="409.5">
      <c r="A137" s="399"/>
      <c r="B137" s="50" t="s">
        <v>234</v>
      </c>
      <c r="C137" s="45" t="s">
        <v>6420</v>
      </c>
      <c r="D137" s="45" t="s">
        <v>6421</v>
      </c>
      <c r="E137" s="78" t="s">
        <v>6404</v>
      </c>
      <c r="F137" s="45" t="s">
        <v>6422</v>
      </c>
      <c r="G137" s="46" t="s">
        <v>6423</v>
      </c>
      <c r="H137" s="47" t="s">
        <v>41</v>
      </c>
      <c r="I137" s="125" t="s">
        <v>31</v>
      </c>
      <c r="J137" s="155"/>
      <c r="K137" s="155"/>
      <c r="L137" s="155"/>
      <c r="M137" s="155"/>
      <c r="N137" s="155"/>
      <c r="O137" s="155"/>
    </row>
    <row r="138" spans="1:15" ht="409.5">
      <c r="A138" s="399"/>
      <c r="B138" s="50" t="s">
        <v>234</v>
      </c>
      <c r="C138" s="45" t="s">
        <v>6424</v>
      </c>
      <c r="D138" s="45" t="s">
        <v>6425</v>
      </c>
      <c r="E138" s="78" t="s">
        <v>6404</v>
      </c>
      <c r="F138" s="45" t="s">
        <v>6426</v>
      </c>
      <c r="G138" s="46" t="s">
        <v>6427</v>
      </c>
      <c r="H138" s="47" t="s">
        <v>24</v>
      </c>
      <c r="I138" s="125" t="s">
        <v>31</v>
      </c>
      <c r="J138" s="155"/>
      <c r="K138" s="155"/>
      <c r="L138" s="155"/>
      <c r="M138" s="155"/>
      <c r="N138" s="155"/>
      <c r="O138" s="155"/>
    </row>
    <row r="139" spans="1:15" ht="409.5">
      <c r="A139" s="399"/>
      <c r="B139" s="50" t="s">
        <v>234</v>
      </c>
      <c r="C139" s="45" t="s">
        <v>6428</v>
      </c>
      <c r="D139" s="45" t="s">
        <v>6429</v>
      </c>
      <c r="E139" s="78" t="s">
        <v>6404</v>
      </c>
      <c r="F139" s="45" t="s">
        <v>6430</v>
      </c>
      <c r="G139" s="46" t="s">
        <v>6431</v>
      </c>
      <c r="H139" s="47" t="s">
        <v>24</v>
      </c>
      <c r="I139" s="125" t="s">
        <v>31</v>
      </c>
      <c r="J139" s="155"/>
      <c r="K139" s="155"/>
      <c r="L139" s="155"/>
      <c r="M139" s="155"/>
      <c r="N139" s="155"/>
      <c r="O139" s="155"/>
    </row>
    <row r="140" spans="1:15" ht="409.5">
      <c r="A140" s="399"/>
      <c r="B140" s="50" t="s">
        <v>234</v>
      </c>
      <c r="C140" s="45" t="s">
        <v>6432</v>
      </c>
      <c r="D140" s="45" t="s">
        <v>6433</v>
      </c>
      <c r="E140" s="78" t="s">
        <v>6434</v>
      </c>
      <c r="F140" s="45" t="s">
        <v>6435</v>
      </c>
      <c r="G140" s="46" t="s">
        <v>6436</v>
      </c>
      <c r="H140" s="47" t="s">
        <v>233</v>
      </c>
      <c r="I140" s="120"/>
      <c r="J140" s="155"/>
      <c r="K140" s="155"/>
      <c r="L140" s="155"/>
      <c r="M140" s="155"/>
      <c r="N140" s="155"/>
      <c r="O140" s="155"/>
    </row>
    <row r="141" spans="1:15" ht="409.5">
      <c r="A141" s="399"/>
      <c r="B141" s="50" t="s">
        <v>234</v>
      </c>
      <c r="C141" s="45" t="s">
        <v>6437</v>
      </c>
      <c r="D141" s="45" t="s">
        <v>6438</v>
      </c>
      <c r="E141" s="78" t="s">
        <v>6434</v>
      </c>
      <c r="F141" s="45" t="s">
        <v>6439</v>
      </c>
      <c r="G141" s="46" t="s">
        <v>6440</v>
      </c>
      <c r="H141" s="47" t="s">
        <v>117</v>
      </c>
      <c r="I141" s="120"/>
      <c r="J141" s="155"/>
      <c r="K141" s="155"/>
      <c r="L141" s="155"/>
      <c r="M141" s="155"/>
      <c r="N141" s="155"/>
      <c r="O141" s="155"/>
    </row>
    <row r="142" spans="1:15" ht="409.5">
      <c r="A142" s="399"/>
      <c r="B142" s="50" t="s">
        <v>234</v>
      </c>
      <c r="C142" s="45" t="s">
        <v>6441</v>
      </c>
      <c r="D142" s="45" t="s">
        <v>6442</v>
      </c>
      <c r="E142" s="78" t="s">
        <v>6443</v>
      </c>
      <c r="F142" s="45" t="s">
        <v>6444</v>
      </c>
      <c r="G142" s="46" t="s">
        <v>6445</v>
      </c>
      <c r="H142" s="47" t="s">
        <v>62</v>
      </c>
      <c r="I142" s="120"/>
      <c r="J142" s="155"/>
      <c r="K142" s="155"/>
      <c r="L142" s="155"/>
      <c r="M142" s="155"/>
      <c r="N142" s="155"/>
      <c r="O142" s="155"/>
    </row>
    <row r="143" spans="1:15" ht="409.5">
      <c r="A143" s="399"/>
      <c r="B143" s="50" t="s">
        <v>234</v>
      </c>
      <c r="C143" s="45" t="s">
        <v>6446</v>
      </c>
      <c r="D143" s="45" t="s">
        <v>6447</v>
      </c>
      <c r="E143" s="78" t="s">
        <v>6443</v>
      </c>
      <c r="F143" s="45" t="s">
        <v>6448</v>
      </c>
      <c r="G143" s="46" t="s">
        <v>6449</v>
      </c>
      <c r="H143" s="47" t="s">
        <v>62</v>
      </c>
      <c r="I143" s="120"/>
      <c r="J143" s="155"/>
      <c r="K143" s="155"/>
      <c r="L143" s="155"/>
      <c r="M143" s="155"/>
      <c r="N143" s="155"/>
      <c r="O143" s="155"/>
    </row>
    <row r="144" spans="1:15" ht="409.5">
      <c r="A144" s="399"/>
      <c r="B144" s="50" t="s">
        <v>234</v>
      </c>
      <c r="C144" s="45" t="s">
        <v>6450</v>
      </c>
      <c r="D144" s="45" t="s">
        <v>6451</v>
      </c>
      <c r="E144" s="78" t="s">
        <v>6308</v>
      </c>
      <c r="F144" s="45" t="s">
        <v>6452</v>
      </c>
      <c r="G144" s="46" t="s">
        <v>6453</v>
      </c>
      <c r="H144" s="47" t="s">
        <v>41</v>
      </c>
      <c r="I144" s="125" t="s">
        <v>25</v>
      </c>
      <c r="J144" s="155"/>
      <c r="K144" s="155"/>
      <c r="L144" s="155"/>
      <c r="M144" s="155"/>
      <c r="N144" s="155"/>
      <c r="O144" s="155"/>
    </row>
    <row r="145" spans="1:15" ht="409.5">
      <c r="A145" s="399"/>
      <c r="B145" s="50" t="s">
        <v>234</v>
      </c>
      <c r="C145" s="45" t="s">
        <v>6454</v>
      </c>
      <c r="D145" s="45" t="s">
        <v>6455</v>
      </c>
      <c r="E145" s="78" t="s">
        <v>6308</v>
      </c>
      <c r="F145" s="45" t="s">
        <v>6456</v>
      </c>
      <c r="G145" s="46" t="s">
        <v>6453</v>
      </c>
      <c r="H145" s="47" t="s">
        <v>184</v>
      </c>
      <c r="I145" s="120"/>
      <c r="J145" s="155"/>
      <c r="K145" s="155"/>
      <c r="L145" s="155"/>
      <c r="M145" s="155"/>
      <c r="N145" s="155"/>
      <c r="O145" s="155"/>
    </row>
    <row r="146" spans="1:15" ht="409.5">
      <c r="A146" s="399"/>
      <c r="B146" s="50" t="s">
        <v>234</v>
      </c>
      <c r="C146" s="45" t="s">
        <v>6457</v>
      </c>
      <c r="D146" s="45" t="s">
        <v>6458</v>
      </c>
      <c r="E146" s="78" t="s">
        <v>6308</v>
      </c>
      <c r="F146" s="45" t="s">
        <v>6459</v>
      </c>
      <c r="G146" s="46" t="s">
        <v>6453</v>
      </c>
      <c r="H146" s="47" t="s">
        <v>24</v>
      </c>
      <c r="I146" s="120"/>
      <c r="J146" s="155"/>
      <c r="K146" s="155"/>
      <c r="L146" s="155"/>
      <c r="M146" s="155"/>
      <c r="N146" s="155"/>
      <c r="O146" s="155"/>
    </row>
    <row r="147" spans="1:15" ht="409.5">
      <c r="A147" s="399"/>
      <c r="B147" s="50" t="s">
        <v>234</v>
      </c>
      <c r="C147" s="45" t="s">
        <v>6460</v>
      </c>
      <c r="D147" s="45" t="s">
        <v>6461</v>
      </c>
      <c r="E147" s="78" t="s">
        <v>6308</v>
      </c>
      <c r="F147" s="45" t="s">
        <v>6462</v>
      </c>
      <c r="G147" s="46" t="s">
        <v>6463</v>
      </c>
      <c r="H147" s="47" t="s">
        <v>41</v>
      </c>
      <c r="I147" s="125" t="s">
        <v>31</v>
      </c>
      <c r="J147" s="155"/>
      <c r="K147" s="155"/>
      <c r="L147" s="155"/>
      <c r="M147" s="155"/>
      <c r="N147" s="155"/>
      <c r="O147" s="155"/>
    </row>
    <row r="148" spans="1:15" ht="409.5">
      <c r="A148" s="399"/>
      <c r="B148" s="50" t="s">
        <v>234</v>
      </c>
      <c r="C148" s="45" t="s">
        <v>6464</v>
      </c>
      <c r="D148" s="45" t="s">
        <v>6465</v>
      </c>
      <c r="E148" s="78" t="s">
        <v>6308</v>
      </c>
      <c r="F148" s="45" t="s">
        <v>6466</v>
      </c>
      <c r="G148" s="46" t="s">
        <v>6467</v>
      </c>
      <c r="H148" s="47" t="s">
        <v>41</v>
      </c>
      <c r="I148" s="120"/>
      <c r="J148" s="155"/>
      <c r="K148" s="155"/>
      <c r="L148" s="155"/>
      <c r="M148" s="155"/>
      <c r="N148" s="155"/>
      <c r="O148" s="155"/>
    </row>
    <row r="149" spans="1:15" ht="409.5">
      <c r="A149" s="399"/>
      <c r="B149" s="50" t="s">
        <v>234</v>
      </c>
      <c r="C149" s="45" t="s">
        <v>6468</v>
      </c>
      <c r="D149" s="45" t="s">
        <v>6469</v>
      </c>
      <c r="E149" s="78" t="s">
        <v>6308</v>
      </c>
      <c r="F149" s="45" t="s">
        <v>6470</v>
      </c>
      <c r="G149" s="46" t="s">
        <v>6471</v>
      </c>
      <c r="H149" s="47" t="s">
        <v>24</v>
      </c>
      <c r="I149" s="120"/>
      <c r="J149" s="155"/>
      <c r="K149" s="155"/>
      <c r="L149" s="155"/>
      <c r="M149" s="155"/>
      <c r="N149" s="155"/>
      <c r="O149" s="155"/>
    </row>
    <row r="150" spans="1:15" ht="409.5">
      <c r="A150" s="399"/>
      <c r="B150" s="44" t="s">
        <v>291</v>
      </c>
      <c r="C150" s="45" t="s">
        <v>6472</v>
      </c>
      <c r="D150" s="45" t="s">
        <v>6473</v>
      </c>
      <c r="E150" s="78" t="s">
        <v>6303</v>
      </c>
      <c r="F150" s="45" t="s">
        <v>6474</v>
      </c>
      <c r="G150" s="46" t="s">
        <v>6475</v>
      </c>
      <c r="H150" s="47" t="s">
        <v>24</v>
      </c>
      <c r="I150" s="125" t="s">
        <v>31</v>
      </c>
      <c r="J150" s="155"/>
      <c r="K150" s="155"/>
      <c r="L150" s="155"/>
      <c r="M150" s="155"/>
      <c r="N150" s="155"/>
      <c r="O150" s="155"/>
    </row>
    <row r="151" spans="1:15" ht="409.5">
      <c r="A151" s="399"/>
      <c r="B151" s="44" t="s">
        <v>291</v>
      </c>
      <c r="C151" s="45" t="s">
        <v>6476</v>
      </c>
      <c r="D151" s="45" t="s">
        <v>6477</v>
      </c>
      <c r="E151" s="78" t="s">
        <v>6308</v>
      </c>
      <c r="F151" s="45" t="s">
        <v>6478</v>
      </c>
      <c r="G151" s="46" t="s">
        <v>6479</v>
      </c>
      <c r="H151" s="47" t="s">
        <v>30</v>
      </c>
      <c r="I151" s="125" t="s">
        <v>31</v>
      </c>
      <c r="J151" s="155"/>
      <c r="K151" s="155"/>
      <c r="L151" s="155"/>
      <c r="M151" s="155"/>
      <c r="N151" s="155"/>
      <c r="O151" s="155"/>
    </row>
    <row r="152" spans="1:15" ht="409.5">
      <c r="A152" s="399"/>
      <c r="B152" s="44" t="s">
        <v>291</v>
      </c>
      <c r="C152" s="45" t="s">
        <v>6480</v>
      </c>
      <c r="D152" s="45" t="s">
        <v>6481</v>
      </c>
      <c r="E152" s="78" t="s">
        <v>6308</v>
      </c>
      <c r="F152" s="45" t="s">
        <v>6482</v>
      </c>
      <c r="G152" s="46" t="s">
        <v>6479</v>
      </c>
      <c r="H152" s="47" t="s">
        <v>184</v>
      </c>
      <c r="I152" s="125" t="s">
        <v>31</v>
      </c>
      <c r="J152" s="155"/>
      <c r="K152" s="155"/>
      <c r="L152" s="155"/>
      <c r="M152" s="155"/>
      <c r="N152" s="155"/>
      <c r="O152" s="155"/>
    </row>
    <row r="153" spans="1:15" ht="409.5">
      <c r="A153" s="399"/>
      <c r="B153" s="44" t="s">
        <v>291</v>
      </c>
      <c r="C153" s="45" t="s">
        <v>6483</v>
      </c>
      <c r="D153" s="45" t="s">
        <v>6484</v>
      </c>
      <c r="E153" s="78" t="s">
        <v>6308</v>
      </c>
      <c r="F153" s="45" t="s">
        <v>6485</v>
      </c>
      <c r="G153" s="46" t="s">
        <v>6475</v>
      </c>
      <c r="H153" s="47" t="s">
        <v>41</v>
      </c>
      <c r="I153" s="125" t="s">
        <v>31</v>
      </c>
      <c r="J153" s="155"/>
      <c r="K153" s="155"/>
      <c r="L153" s="155"/>
      <c r="M153" s="155"/>
      <c r="N153" s="155"/>
      <c r="O153" s="155"/>
    </row>
    <row r="154" spans="1:15" ht="409.5">
      <c r="A154" s="399"/>
      <c r="B154" s="44" t="s">
        <v>291</v>
      </c>
      <c r="C154" s="45" t="s">
        <v>6486</v>
      </c>
      <c r="D154" s="45" t="s">
        <v>6487</v>
      </c>
      <c r="E154" s="78" t="s">
        <v>6308</v>
      </c>
      <c r="F154" s="45" t="s">
        <v>6488</v>
      </c>
      <c r="G154" s="46" t="s">
        <v>6479</v>
      </c>
      <c r="H154" s="47" t="s">
        <v>24</v>
      </c>
      <c r="I154" s="125" t="s">
        <v>31</v>
      </c>
      <c r="J154" s="155"/>
      <c r="K154" s="155"/>
      <c r="L154" s="155"/>
      <c r="M154" s="155"/>
      <c r="N154" s="155"/>
      <c r="O154" s="155"/>
    </row>
    <row r="155" spans="1:15" ht="409.5">
      <c r="A155" s="399"/>
      <c r="B155" s="44" t="s">
        <v>291</v>
      </c>
      <c r="C155" s="45" t="s">
        <v>6489</v>
      </c>
      <c r="D155" s="45" t="s">
        <v>6490</v>
      </c>
      <c r="E155" s="78" t="s">
        <v>6308</v>
      </c>
      <c r="F155" s="45" t="s">
        <v>6491</v>
      </c>
      <c r="G155" s="46" t="s">
        <v>6475</v>
      </c>
      <c r="H155" s="47" t="s">
        <v>24</v>
      </c>
      <c r="I155" s="125" t="s">
        <v>31</v>
      </c>
      <c r="J155" s="155"/>
      <c r="K155" s="155"/>
      <c r="L155" s="155"/>
      <c r="M155" s="155"/>
      <c r="N155" s="155"/>
      <c r="O155" s="155"/>
    </row>
    <row r="156" spans="1:15" ht="409.5">
      <c r="A156" s="399"/>
      <c r="B156" s="44" t="s">
        <v>291</v>
      </c>
      <c r="C156" s="45" t="s">
        <v>6492</v>
      </c>
      <c r="D156" s="45" t="s">
        <v>6493</v>
      </c>
      <c r="E156" s="78" t="s">
        <v>6303</v>
      </c>
      <c r="F156" s="45" t="s">
        <v>6494</v>
      </c>
      <c r="G156" s="46" t="s">
        <v>6479</v>
      </c>
      <c r="H156" s="47" t="s">
        <v>24</v>
      </c>
      <c r="I156" s="125" t="s">
        <v>31</v>
      </c>
      <c r="J156" s="155"/>
      <c r="K156" s="155"/>
      <c r="L156" s="155"/>
      <c r="M156" s="155"/>
      <c r="N156" s="155"/>
      <c r="O156" s="155"/>
    </row>
    <row r="157" spans="1:15" ht="409.5">
      <c r="A157" s="399"/>
      <c r="B157" s="44" t="s">
        <v>291</v>
      </c>
      <c r="C157" s="45" t="s">
        <v>6495</v>
      </c>
      <c r="D157" s="45" t="s">
        <v>6496</v>
      </c>
      <c r="E157" s="78" t="s">
        <v>6308</v>
      </c>
      <c r="F157" s="45" t="s">
        <v>6497</v>
      </c>
      <c r="G157" s="46" t="s">
        <v>6475</v>
      </c>
      <c r="H157" s="47" t="s">
        <v>36</v>
      </c>
      <c r="I157" s="125" t="s">
        <v>31</v>
      </c>
      <c r="J157" s="155"/>
      <c r="K157" s="155"/>
      <c r="L157" s="155"/>
      <c r="M157" s="155"/>
      <c r="N157" s="155"/>
      <c r="O157" s="155"/>
    </row>
    <row r="158" spans="1:15" ht="409.5">
      <c r="A158" s="399"/>
      <c r="B158" s="44" t="s">
        <v>291</v>
      </c>
      <c r="C158" s="45" t="s">
        <v>6498</v>
      </c>
      <c r="D158" s="45" t="s">
        <v>6499</v>
      </c>
      <c r="E158" s="78" t="s">
        <v>6303</v>
      </c>
      <c r="F158" s="45" t="s">
        <v>6500</v>
      </c>
      <c r="G158" s="46" t="s">
        <v>6475</v>
      </c>
      <c r="H158" s="47" t="s">
        <v>24</v>
      </c>
      <c r="I158" s="125" t="s">
        <v>31</v>
      </c>
      <c r="J158" s="155"/>
      <c r="K158" s="155"/>
      <c r="L158" s="155"/>
      <c r="M158" s="155"/>
      <c r="N158" s="155"/>
      <c r="O158" s="155"/>
    </row>
    <row r="159" spans="1:15" ht="409.5">
      <c r="A159" s="399"/>
      <c r="B159" s="44" t="s">
        <v>291</v>
      </c>
      <c r="C159" s="45" t="s">
        <v>6501</v>
      </c>
      <c r="D159" s="45" t="s">
        <v>6502</v>
      </c>
      <c r="E159" s="78" t="s">
        <v>6303</v>
      </c>
      <c r="F159" s="45" t="s">
        <v>6503</v>
      </c>
      <c r="G159" s="46" t="s">
        <v>6479</v>
      </c>
      <c r="H159" s="47" t="s">
        <v>36</v>
      </c>
      <c r="I159" s="125" t="s">
        <v>31</v>
      </c>
      <c r="J159" s="155"/>
      <c r="K159" s="155"/>
      <c r="L159" s="155"/>
      <c r="M159" s="155"/>
      <c r="N159" s="155"/>
      <c r="O159" s="155"/>
    </row>
    <row r="160" spans="1:15" ht="409.5">
      <c r="A160" s="399"/>
      <c r="B160" s="44" t="s">
        <v>291</v>
      </c>
      <c r="C160" s="45" t="s">
        <v>6504</v>
      </c>
      <c r="D160" s="45" t="s">
        <v>6505</v>
      </c>
      <c r="E160" s="78" t="s">
        <v>6303</v>
      </c>
      <c r="F160" s="45" t="s">
        <v>6506</v>
      </c>
      <c r="G160" s="46" t="s">
        <v>6475</v>
      </c>
      <c r="H160" s="47" t="s">
        <v>24</v>
      </c>
      <c r="I160" s="125" t="s">
        <v>31</v>
      </c>
      <c r="J160" s="155"/>
      <c r="K160" s="155"/>
      <c r="L160" s="155"/>
      <c r="M160" s="155"/>
      <c r="N160" s="155"/>
      <c r="O160" s="155"/>
    </row>
    <row r="161" spans="1:15" ht="396">
      <c r="A161" s="399"/>
      <c r="B161" s="44" t="s">
        <v>291</v>
      </c>
      <c r="C161" s="45" t="s">
        <v>6507</v>
      </c>
      <c r="D161" s="45" t="s">
        <v>6508</v>
      </c>
      <c r="E161" s="78" t="s">
        <v>6308</v>
      </c>
      <c r="F161" s="45" t="s">
        <v>6509</v>
      </c>
      <c r="G161" s="46" t="s">
        <v>6510</v>
      </c>
      <c r="H161" s="47" t="s">
        <v>24</v>
      </c>
      <c r="I161" s="125" t="s">
        <v>31</v>
      </c>
      <c r="J161" s="155"/>
      <c r="K161" s="155"/>
      <c r="L161" s="155"/>
      <c r="M161" s="155"/>
      <c r="N161" s="155"/>
      <c r="O161" s="155"/>
    </row>
    <row r="162" spans="1:15" ht="396">
      <c r="A162" s="399"/>
      <c r="B162" s="44" t="s">
        <v>291</v>
      </c>
      <c r="C162" s="45" t="s">
        <v>6511</v>
      </c>
      <c r="D162" s="45" t="s">
        <v>6512</v>
      </c>
      <c r="E162" s="78" t="s">
        <v>6308</v>
      </c>
      <c r="F162" s="45" t="s">
        <v>6513</v>
      </c>
      <c r="G162" s="46" t="s">
        <v>6514</v>
      </c>
      <c r="H162" s="47" t="s">
        <v>36</v>
      </c>
      <c r="I162" s="125" t="s">
        <v>31</v>
      </c>
      <c r="J162" s="155"/>
      <c r="K162" s="155"/>
      <c r="L162" s="155"/>
      <c r="M162" s="155"/>
      <c r="N162" s="155"/>
      <c r="O162" s="155"/>
    </row>
    <row r="163" spans="1:15" ht="379.5">
      <c r="A163" s="399"/>
      <c r="B163" s="44" t="s">
        <v>302</v>
      </c>
      <c r="C163" s="45" t="s">
        <v>6515</v>
      </c>
      <c r="D163" s="45" t="s">
        <v>6516</v>
      </c>
      <c r="E163" s="78" t="s">
        <v>6303</v>
      </c>
      <c r="F163" s="73" t="s">
        <v>6517</v>
      </c>
      <c r="G163" s="46" t="s">
        <v>6518</v>
      </c>
      <c r="H163" s="47" t="s">
        <v>36</v>
      </c>
      <c r="I163" s="125"/>
      <c r="J163" s="155"/>
      <c r="K163" s="155"/>
      <c r="L163" s="155"/>
      <c r="M163" s="155"/>
      <c r="N163" s="155"/>
      <c r="O163" s="155"/>
    </row>
    <row r="164" spans="1:15" ht="363">
      <c r="A164" s="399"/>
      <c r="B164" s="44" t="s">
        <v>291</v>
      </c>
      <c r="C164" s="45" t="s">
        <v>6519</v>
      </c>
      <c r="D164" s="45" t="s">
        <v>6391</v>
      </c>
      <c r="E164" s="78" t="s">
        <v>6308</v>
      </c>
      <c r="F164" s="45" t="s">
        <v>6520</v>
      </c>
      <c r="G164" s="46" t="s">
        <v>6521</v>
      </c>
      <c r="H164" s="47" t="s">
        <v>36</v>
      </c>
      <c r="I164" s="125" t="s">
        <v>31</v>
      </c>
      <c r="J164" s="155"/>
      <c r="K164" s="155"/>
      <c r="L164" s="155"/>
      <c r="M164" s="155"/>
      <c r="N164" s="155"/>
      <c r="O164" s="155"/>
    </row>
    <row r="165" spans="1:15" ht="409.5">
      <c r="A165" s="399"/>
      <c r="B165" s="44" t="s">
        <v>291</v>
      </c>
      <c r="C165" s="45" t="s">
        <v>6522</v>
      </c>
      <c r="D165" s="45" t="s">
        <v>6523</v>
      </c>
      <c r="E165" s="78" t="s">
        <v>6308</v>
      </c>
      <c r="F165" s="73" t="s">
        <v>6524</v>
      </c>
      <c r="G165" s="46" t="s">
        <v>6397</v>
      </c>
      <c r="H165" s="47" t="s">
        <v>36</v>
      </c>
      <c r="I165" s="125"/>
      <c r="J165" s="155"/>
      <c r="K165" s="155"/>
      <c r="L165" s="155"/>
      <c r="M165" s="155"/>
      <c r="N165" s="155"/>
      <c r="O165" s="155"/>
    </row>
    <row r="166" spans="1:15" ht="363">
      <c r="A166" s="399"/>
      <c r="B166" s="44" t="s">
        <v>291</v>
      </c>
      <c r="C166" s="45" t="s">
        <v>6525</v>
      </c>
      <c r="D166" s="45" t="s">
        <v>6526</v>
      </c>
      <c r="E166" s="78" t="s">
        <v>6303</v>
      </c>
      <c r="F166" s="45" t="s">
        <v>6527</v>
      </c>
      <c r="G166" s="46" t="s">
        <v>6528</v>
      </c>
      <c r="H166" s="47" t="s">
        <v>36</v>
      </c>
      <c r="I166" s="125" t="s">
        <v>31</v>
      </c>
      <c r="J166" s="155"/>
      <c r="K166" s="155"/>
      <c r="L166" s="155"/>
      <c r="M166" s="155"/>
      <c r="N166" s="155"/>
      <c r="O166" s="155"/>
    </row>
    <row r="167" spans="1:15" ht="409.5">
      <c r="A167" s="399"/>
      <c r="B167" s="44" t="s">
        <v>291</v>
      </c>
      <c r="C167" s="45" t="s">
        <v>6529</v>
      </c>
      <c r="D167" s="45" t="s">
        <v>6530</v>
      </c>
      <c r="E167" s="78" t="s">
        <v>6197</v>
      </c>
      <c r="F167" s="45" t="s">
        <v>6531</v>
      </c>
      <c r="G167" s="46" t="s">
        <v>6532</v>
      </c>
      <c r="H167" s="47" t="s">
        <v>30</v>
      </c>
      <c r="I167" s="125" t="s">
        <v>31</v>
      </c>
      <c r="J167" s="155"/>
      <c r="K167" s="155"/>
      <c r="L167" s="155"/>
      <c r="M167" s="155"/>
      <c r="N167" s="155"/>
      <c r="O167" s="155"/>
    </row>
    <row r="168" spans="1:15" ht="409.5">
      <c r="A168" s="399"/>
      <c r="B168" s="44" t="s">
        <v>291</v>
      </c>
      <c r="C168" s="45" t="s">
        <v>6533</v>
      </c>
      <c r="D168" s="45" t="s">
        <v>6534</v>
      </c>
      <c r="E168" s="78" t="s">
        <v>6197</v>
      </c>
      <c r="F168" s="45" t="s">
        <v>6535</v>
      </c>
      <c r="G168" s="46" t="s">
        <v>6536</v>
      </c>
      <c r="H168" s="47" t="s">
        <v>41</v>
      </c>
      <c r="I168" s="125" t="s">
        <v>31</v>
      </c>
      <c r="J168" s="155"/>
      <c r="K168" s="155"/>
      <c r="L168" s="155"/>
      <c r="M168" s="155"/>
      <c r="N168" s="155"/>
      <c r="O168" s="155"/>
    </row>
    <row r="169" spans="1:15" ht="409.5">
      <c r="A169" s="399"/>
      <c r="B169" s="44" t="s">
        <v>291</v>
      </c>
      <c r="C169" s="45" t="s">
        <v>6537</v>
      </c>
      <c r="D169" s="45" t="s">
        <v>6538</v>
      </c>
      <c r="E169" s="78" t="s">
        <v>6206</v>
      </c>
      <c r="F169" s="45" t="s">
        <v>6539</v>
      </c>
      <c r="G169" s="46" t="s">
        <v>6540</v>
      </c>
      <c r="H169" s="47" t="s">
        <v>41</v>
      </c>
      <c r="I169" s="125" t="s">
        <v>31</v>
      </c>
      <c r="J169" s="155"/>
      <c r="K169" s="155"/>
      <c r="L169" s="155"/>
      <c r="M169" s="155"/>
      <c r="N169" s="155"/>
      <c r="O169" s="155"/>
    </row>
    <row r="170" spans="1:15" ht="409.5">
      <c r="A170" s="399"/>
      <c r="B170" s="44" t="s">
        <v>291</v>
      </c>
      <c r="C170" s="45" t="s">
        <v>6541</v>
      </c>
      <c r="D170" s="45" t="s">
        <v>6542</v>
      </c>
      <c r="E170" s="78" t="s">
        <v>6197</v>
      </c>
      <c r="F170" s="45" t="s">
        <v>6543</v>
      </c>
      <c r="G170" s="46" t="s">
        <v>6540</v>
      </c>
      <c r="H170" s="47" t="s">
        <v>24</v>
      </c>
      <c r="I170" s="125" t="s">
        <v>31</v>
      </c>
      <c r="J170" s="155"/>
      <c r="K170" s="155"/>
      <c r="L170" s="155"/>
      <c r="M170" s="155"/>
      <c r="N170" s="155"/>
      <c r="O170" s="155"/>
    </row>
    <row r="171" spans="1:15" ht="409.5">
      <c r="A171" s="399"/>
      <c r="B171" s="44" t="s">
        <v>291</v>
      </c>
      <c r="C171" s="45" t="s">
        <v>6544</v>
      </c>
      <c r="D171" s="45" t="s">
        <v>6545</v>
      </c>
      <c r="E171" s="78" t="s">
        <v>6197</v>
      </c>
      <c r="F171" s="46" t="s">
        <v>6546</v>
      </c>
      <c r="G171" s="46" t="s">
        <v>6540</v>
      </c>
      <c r="H171" s="47" t="s">
        <v>24</v>
      </c>
      <c r="I171" s="125" t="s">
        <v>31</v>
      </c>
      <c r="J171" s="155"/>
      <c r="K171" s="155"/>
      <c r="L171" s="155"/>
      <c r="M171" s="155"/>
      <c r="N171" s="155"/>
      <c r="O171" s="155"/>
    </row>
    <row r="172" spans="1:15" ht="409.5">
      <c r="A172" s="399"/>
      <c r="B172" s="44" t="s">
        <v>291</v>
      </c>
      <c r="C172" s="45" t="s">
        <v>6547</v>
      </c>
      <c r="D172" s="45" t="s">
        <v>6548</v>
      </c>
      <c r="E172" s="78" t="s">
        <v>6206</v>
      </c>
      <c r="F172" s="46" t="s">
        <v>6549</v>
      </c>
      <c r="G172" s="46" t="s">
        <v>6540</v>
      </c>
      <c r="H172" s="47" t="s">
        <v>62</v>
      </c>
      <c r="I172" s="120"/>
      <c r="J172" s="155"/>
      <c r="K172" s="155"/>
      <c r="L172" s="155"/>
      <c r="M172" s="155"/>
      <c r="N172" s="155"/>
      <c r="O172" s="155"/>
    </row>
    <row r="173" spans="1:15" ht="409.5">
      <c r="A173" s="399"/>
      <c r="B173" s="44" t="s">
        <v>291</v>
      </c>
      <c r="C173" s="45" t="s">
        <v>6550</v>
      </c>
      <c r="D173" s="45" t="s">
        <v>6551</v>
      </c>
      <c r="E173" s="78" t="s">
        <v>6206</v>
      </c>
      <c r="F173" s="46" t="s">
        <v>6552</v>
      </c>
      <c r="G173" s="46" t="s">
        <v>6536</v>
      </c>
      <c r="H173" s="47" t="s">
        <v>62</v>
      </c>
      <c r="I173" s="120"/>
      <c r="J173" s="155"/>
      <c r="K173" s="155"/>
      <c r="L173" s="155"/>
      <c r="M173" s="155"/>
      <c r="N173" s="155"/>
      <c r="O173" s="155"/>
    </row>
    <row r="174" spans="1:15" ht="363">
      <c r="A174" s="395" t="s">
        <v>308</v>
      </c>
      <c r="B174" s="50" t="s">
        <v>309</v>
      </c>
      <c r="C174" s="45" t="s">
        <v>6553</v>
      </c>
      <c r="D174" s="45" t="s">
        <v>6554</v>
      </c>
      <c r="E174" s="78" t="s">
        <v>6303</v>
      </c>
      <c r="F174" s="45" t="s">
        <v>6555</v>
      </c>
      <c r="G174" s="46" t="s">
        <v>6556</v>
      </c>
      <c r="H174" s="47" t="s">
        <v>41</v>
      </c>
      <c r="I174" s="122" t="s">
        <v>31</v>
      </c>
      <c r="J174" s="155"/>
      <c r="K174" s="155"/>
      <c r="L174" s="155"/>
      <c r="M174" s="155"/>
      <c r="N174" s="155"/>
      <c r="O174" s="155"/>
    </row>
    <row r="175" spans="1:15" ht="363">
      <c r="A175" s="395"/>
      <c r="B175" s="50" t="s">
        <v>309</v>
      </c>
      <c r="C175" s="45" t="s">
        <v>6557</v>
      </c>
      <c r="D175" s="45" t="s">
        <v>6558</v>
      </c>
      <c r="E175" s="78" t="s">
        <v>6303</v>
      </c>
      <c r="F175" s="45" t="s">
        <v>6559</v>
      </c>
      <c r="G175" s="46" t="s">
        <v>6560</v>
      </c>
      <c r="H175" s="47" t="s">
        <v>24</v>
      </c>
      <c r="I175" s="122" t="s">
        <v>31</v>
      </c>
      <c r="J175" s="155"/>
      <c r="K175" s="155"/>
      <c r="L175" s="155"/>
      <c r="M175" s="155"/>
      <c r="N175" s="155"/>
      <c r="O175" s="155"/>
    </row>
    <row r="176" spans="1:15" ht="346.5">
      <c r="A176" s="395"/>
      <c r="B176" s="50" t="s">
        <v>309</v>
      </c>
      <c r="C176" s="45" t="s">
        <v>6561</v>
      </c>
      <c r="D176" s="45" t="s">
        <v>6562</v>
      </c>
      <c r="E176" s="78" t="s">
        <v>6303</v>
      </c>
      <c r="F176" s="45" t="s">
        <v>6563</v>
      </c>
      <c r="G176" s="46" t="s">
        <v>6564</v>
      </c>
      <c r="H176" s="47" t="s">
        <v>30</v>
      </c>
      <c r="I176" s="125" t="s">
        <v>31</v>
      </c>
      <c r="J176" s="155"/>
      <c r="K176" s="155"/>
      <c r="L176" s="155"/>
      <c r="M176" s="155"/>
      <c r="N176" s="155"/>
      <c r="O176" s="155"/>
    </row>
    <row r="177" spans="1:15" ht="346.5">
      <c r="A177" s="395"/>
      <c r="B177" s="50" t="s">
        <v>309</v>
      </c>
      <c r="C177" s="45" t="s">
        <v>6565</v>
      </c>
      <c r="D177" s="45" t="s">
        <v>6566</v>
      </c>
      <c r="E177" s="78" t="s">
        <v>6308</v>
      </c>
      <c r="F177" s="45" t="s">
        <v>6567</v>
      </c>
      <c r="G177" s="46" t="s">
        <v>6568</v>
      </c>
      <c r="H177" s="47" t="s">
        <v>24</v>
      </c>
      <c r="I177" s="125" t="s">
        <v>31</v>
      </c>
      <c r="J177" s="155"/>
      <c r="K177" s="155"/>
      <c r="L177" s="155"/>
      <c r="M177" s="155"/>
      <c r="N177" s="155"/>
      <c r="O177" s="155"/>
    </row>
    <row r="178" spans="1:15" ht="363">
      <c r="A178" s="395"/>
      <c r="B178" s="50" t="s">
        <v>309</v>
      </c>
      <c r="C178" s="45" t="s">
        <v>6569</v>
      </c>
      <c r="D178" s="45" t="s">
        <v>6570</v>
      </c>
      <c r="E178" s="78" t="s">
        <v>6303</v>
      </c>
      <c r="F178" s="45" t="s">
        <v>6571</v>
      </c>
      <c r="G178" s="46" t="s">
        <v>6564</v>
      </c>
      <c r="H178" s="47" t="s">
        <v>36</v>
      </c>
      <c r="I178" s="125" t="s">
        <v>31</v>
      </c>
      <c r="J178" s="155"/>
      <c r="K178" s="155"/>
      <c r="L178" s="155"/>
      <c r="M178" s="155"/>
      <c r="N178" s="155"/>
      <c r="O178" s="155"/>
    </row>
    <row r="179" spans="1:15" ht="346.5">
      <c r="A179" s="395"/>
      <c r="B179" s="50" t="s">
        <v>309</v>
      </c>
      <c r="C179" s="45" t="s">
        <v>6572</v>
      </c>
      <c r="D179" s="45" t="s">
        <v>6573</v>
      </c>
      <c r="E179" s="78" t="s">
        <v>6303</v>
      </c>
      <c r="F179" s="45" t="s">
        <v>6574</v>
      </c>
      <c r="G179" s="46" t="s">
        <v>6564</v>
      </c>
      <c r="H179" s="47" t="s">
        <v>36</v>
      </c>
      <c r="I179" s="125" t="s">
        <v>31</v>
      </c>
      <c r="J179" s="155"/>
      <c r="K179" s="155"/>
      <c r="L179" s="155"/>
      <c r="M179" s="155"/>
      <c r="N179" s="155"/>
      <c r="O179" s="155"/>
    </row>
    <row r="180" spans="1:15" ht="346.5">
      <c r="A180" s="395"/>
      <c r="B180" s="50" t="s">
        <v>309</v>
      </c>
      <c r="C180" s="45" t="s">
        <v>6575</v>
      </c>
      <c r="D180" s="45" t="s">
        <v>6576</v>
      </c>
      <c r="E180" s="78" t="s">
        <v>6308</v>
      </c>
      <c r="F180" s="45" t="s">
        <v>6577</v>
      </c>
      <c r="G180" s="46" t="s">
        <v>6568</v>
      </c>
      <c r="H180" s="47" t="s">
        <v>36</v>
      </c>
      <c r="I180" s="125" t="s">
        <v>31</v>
      </c>
      <c r="J180" s="155"/>
      <c r="K180" s="155"/>
      <c r="L180" s="155"/>
      <c r="M180" s="155"/>
      <c r="N180" s="155"/>
      <c r="O180" s="155"/>
    </row>
    <row r="181" spans="1:15" ht="346.5">
      <c r="A181" s="395"/>
      <c r="B181" s="50" t="s">
        <v>309</v>
      </c>
      <c r="C181" s="45" t="s">
        <v>6578</v>
      </c>
      <c r="D181" s="45" t="s">
        <v>6579</v>
      </c>
      <c r="E181" s="78" t="s">
        <v>6308</v>
      </c>
      <c r="F181" s="45" t="s">
        <v>6580</v>
      </c>
      <c r="G181" s="46" t="s">
        <v>6581</v>
      </c>
      <c r="H181" s="47" t="s">
        <v>233</v>
      </c>
      <c r="I181" s="125" t="s">
        <v>31</v>
      </c>
      <c r="J181" s="155"/>
      <c r="K181" s="155"/>
      <c r="L181" s="155"/>
      <c r="M181" s="155"/>
      <c r="N181" s="155"/>
      <c r="O181" s="155"/>
    </row>
    <row r="182" spans="1:15" ht="346.5">
      <c r="A182" s="395"/>
      <c r="B182" s="50" t="s">
        <v>309</v>
      </c>
      <c r="C182" s="45" t="s">
        <v>6582</v>
      </c>
      <c r="D182" s="45" t="s">
        <v>6583</v>
      </c>
      <c r="E182" s="78" t="s">
        <v>6308</v>
      </c>
      <c r="F182" s="45" t="s">
        <v>6584</v>
      </c>
      <c r="G182" s="46" t="s">
        <v>6581</v>
      </c>
      <c r="H182" s="47" t="s">
        <v>41</v>
      </c>
      <c r="I182" s="125" t="s">
        <v>31</v>
      </c>
      <c r="J182" s="155"/>
      <c r="K182" s="155"/>
      <c r="L182" s="155"/>
      <c r="M182" s="155"/>
      <c r="N182" s="155"/>
      <c r="O182" s="155"/>
    </row>
    <row r="183" spans="1:15" ht="346.5">
      <c r="A183" s="395"/>
      <c r="B183" s="50" t="s">
        <v>309</v>
      </c>
      <c r="C183" s="45" t="s">
        <v>6585</v>
      </c>
      <c r="D183" s="45" t="s">
        <v>6586</v>
      </c>
      <c r="E183" s="78" t="s">
        <v>6308</v>
      </c>
      <c r="F183" s="45" t="s">
        <v>6587</v>
      </c>
      <c r="G183" s="46" t="s">
        <v>6581</v>
      </c>
      <c r="H183" s="47" t="s">
        <v>24</v>
      </c>
      <c r="I183" s="125" t="s">
        <v>31</v>
      </c>
      <c r="J183" s="155"/>
      <c r="K183" s="155"/>
      <c r="L183" s="155"/>
      <c r="M183" s="155"/>
      <c r="N183" s="155"/>
      <c r="O183" s="155"/>
    </row>
    <row r="184" spans="1:15" ht="363">
      <c r="A184" s="395"/>
      <c r="B184" s="50" t="s">
        <v>309</v>
      </c>
      <c r="C184" s="45" t="s">
        <v>6588</v>
      </c>
      <c r="D184" s="45" t="s">
        <v>6589</v>
      </c>
      <c r="E184" s="78" t="s">
        <v>6303</v>
      </c>
      <c r="F184" s="45" t="s">
        <v>6590</v>
      </c>
      <c r="G184" s="46" t="s">
        <v>6564</v>
      </c>
      <c r="H184" s="47" t="s">
        <v>36</v>
      </c>
      <c r="I184" s="122" t="s">
        <v>31</v>
      </c>
      <c r="J184" s="155"/>
      <c r="K184" s="155"/>
      <c r="L184" s="155"/>
      <c r="M184" s="155"/>
      <c r="N184" s="155"/>
      <c r="O184" s="155"/>
    </row>
    <row r="185" spans="1:15" ht="346.5">
      <c r="A185" s="395"/>
      <c r="B185" s="50" t="s">
        <v>309</v>
      </c>
      <c r="C185" s="45" t="s">
        <v>6591</v>
      </c>
      <c r="D185" s="45" t="s">
        <v>6592</v>
      </c>
      <c r="E185" s="78" t="s">
        <v>6308</v>
      </c>
      <c r="F185" s="45" t="s">
        <v>6593</v>
      </c>
      <c r="G185" s="46" t="s">
        <v>6581</v>
      </c>
      <c r="H185" s="47" t="s">
        <v>24</v>
      </c>
      <c r="I185" s="125" t="s">
        <v>31</v>
      </c>
      <c r="J185" s="155"/>
      <c r="K185" s="155"/>
      <c r="L185" s="155"/>
      <c r="M185" s="155"/>
      <c r="N185" s="155"/>
      <c r="O185" s="155"/>
    </row>
    <row r="186" spans="1:15" ht="346.5">
      <c r="A186" s="395"/>
      <c r="B186" s="50" t="s">
        <v>309</v>
      </c>
      <c r="C186" s="45" t="s">
        <v>6594</v>
      </c>
      <c r="D186" s="45" t="s">
        <v>6595</v>
      </c>
      <c r="E186" s="78" t="s">
        <v>6596</v>
      </c>
      <c r="F186" s="45" t="s">
        <v>6597</v>
      </c>
      <c r="G186" s="46" t="s">
        <v>6598</v>
      </c>
      <c r="H186" s="47" t="s">
        <v>24</v>
      </c>
      <c r="I186" s="120"/>
      <c r="J186" s="155"/>
      <c r="K186" s="155"/>
      <c r="L186" s="155"/>
      <c r="M186" s="155"/>
      <c r="N186" s="155"/>
      <c r="O186" s="155"/>
    </row>
    <row r="187" spans="1:15" ht="313.5">
      <c r="A187" s="395"/>
      <c r="B187" s="50" t="s">
        <v>309</v>
      </c>
      <c r="C187" s="45" t="s">
        <v>6599</v>
      </c>
      <c r="D187" s="45" t="s">
        <v>6600</v>
      </c>
      <c r="E187" s="78" t="s">
        <v>6303</v>
      </c>
      <c r="F187" s="45" t="s">
        <v>6601</v>
      </c>
      <c r="G187" s="46" t="s">
        <v>6602</v>
      </c>
      <c r="H187" s="47" t="s">
        <v>36</v>
      </c>
      <c r="I187" s="120"/>
      <c r="J187" s="155"/>
      <c r="K187" s="155"/>
      <c r="L187" s="155"/>
      <c r="M187" s="155"/>
      <c r="N187" s="155"/>
      <c r="O187" s="155"/>
    </row>
    <row r="188" spans="1:15" ht="363">
      <c r="A188" s="395"/>
      <c r="B188" s="44" t="s">
        <v>6603</v>
      </c>
      <c r="C188" s="45" t="s">
        <v>6604</v>
      </c>
      <c r="D188" s="45" t="s">
        <v>6605</v>
      </c>
      <c r="E188" s="78" t="s">
        <v>6303</v>
      </c>
      <c r="F188" s="45" t="s">
        <v>6606</v>
      </c>
      <c r="G188" s="46" t="s">
        <v>6607</v>
      </c>
      <c r="H188" s="47" t="s">
        <v>30</v>
      </c>
      <c r="I188" s="122" t="s">
        <v>31</v>
      </c>
      <c r="J188" s="155"/>
      <c r="K188" s="155"/>
      <c r="L188" s="155"/>
      <c r="M188" s="155"/>
      <c r="N188" s="155"/>
      <c r="O188" s="155"/>
    </row>
    <row r="189" spans="1:15" ht="379.5">
      <c r="A189" s="395"/>
      <c r="B189" s="44" t="s">
        <v>6603</v>
      </c>
      <c r="C189" s="45" t="s">
        <v>6608</v>
      </c>
      <c r="D189" s="45" t="s">
        <v>6609</v>
      </c>
      <c r="E189" s="78" t="s">
        <v>6308</v>
      </c>
      <c r="F189" s="45" t="s">
        <v>6610</v>
      </c>
      <c r="G189" s="46" t="s">
        <v>6611</v>
      </c>
      <c r="H189" s="47" t="s">
        <v>41</v>
      </c>
      <c r="I189" s="125" t="s">
        <v>31</v>
      </c>
      <c r="J189" s="155"/>
      <c r="K189" s="155"/>
      <c r="L189" s="155"/>
      <c r="M189" s="155"/>
      <c r="N189" s="155"/>
      <c r="O189" s="155"/>
    </row>
    <row r="190" spans="1:15" ht="379.5">
      <c r="A190" s="395"/>
      <c r="B190" s="44" t="s">
        <v>6603</v>
      </c>
      <c r="C190" s="45" t="s">
        <v>6612</v>
      </c>
      <c r="D190" s="45" t="s">
        <v>6613</v>
      </c>
      <c r="E190" s="78" t="s">
        <v>6308</v>
      </c>
      <c r="F190" s="45" t="s">
        <v>6614</v>
      </c>
      <c r="G190" s="46" t="s">
        <v>6615</v>
      </c>
      <c r="H190" s="47" t="s">
        <v>24</v>
      </c>
      <c r="I190" s="125" t="s">
        <v>31</v>
      </c>
      <c r="J190" s="155"/>
      <c r="K190" s="155"/>
      <c r="L190" s="155"/>
      <c r="M190" s="155"/>
      <c r="N190" s="155"/>
      <c r="O190" s="155"/>
    </row>
    <row r="191" spans="1:15" ht="280.5">
      <c r="A191" s="395"/>
      <c r="B191" s="44" t="s">
        <v>6603</v>
      </c>
      <c r="C191" s="45" t="s">
        <v>6616</v>
      </c>
      <c r="D191" s="45" t="s">
        <v>6617</v>
      </c>
      <c r="E191" s="78" t="s">
        <v>6197</v>
      </c>
      <c r="F191" s="45" t="s">
        <v>6618</v>
      </c>
      <c r="G191" s="46" t="s">
        <v>6619</v>
      </c>
      <c r="H191" s="47" t="s">
        <v>233</v>
      </c>
      <c r="I191" s="122"/>
      <c r="J191" s="155"/>
      <c r="K191" s="155"/>
      <c r="L191" s="155"/>
      <c r="M191" s="155"/>
      <c r="N191" s="155"/>
      <c r="O191" s="155"/>
    </row>
    <row r="192" spans="1:15" ht="181.5">
      <c r="A192" s="396" t="s">
        <v>355</v>
      </c>
      <c r="B192" s="58" t="s">
        <v>356</v>
      </c>
      <c r="C192" s="45" t="s">
        <v>6620</v>
      </c>
      <c r="D192" s="45" t="s">
        <v>6621</v>
      </c>
      <c r="E192" s="78" t="s">
        <v>6622</v>
      </c>
      <c r="F192" s="45" t="s">
        <v>6623</v>
      </c>
      <c r="G192" s="46" t="s">
        <v>361</v>
      </c>
      <c r="H192" s="47" t="s">
        <v>41</v>
      </c>
      <c r="I192" s="125" t="s">
        <v>31</v>
      </c>
      <c r="J192" s="155"/>
      <c r="K192" s="155"/>
      <c r="L192" s="155"/>
      <c r="M192" s="155"/>
      <c r="N192" s="155"/>
      <c r="O192" s="155"/>
    </row>
    <row r="193" spans="1:15" ht="181.5">
      <c r="A193" s="397"/>
      <c r="B193" s="58" t="s">
        <v>370</v>
      </c>
      <c r="C193" s="45" t="s">
        <v>6624</v>
      </c>
      <c r="D193" s="45" t="s">
        <v>6625</v>
      </c>
      <c r="E193" s="78" t="s">
        <v>6622</v>
      </c>
      <c r="F193" s="45" t="s">
        <v>6626</v>
      </c>
      <c r="G193" s="46" t="s">
        <v>6627</v>
      </c>
      <c r="H193" s="47"/>
      <c r="I193" s="120"/>
      <c r="J193" s="155"/>
      <c r="K193" s="155"/>
      <c r="L193" s="155"/>
      <c r="M193" s="155"/>
      <c r="N193" s="155"/>
      <c r="O193" s="155"/>
    </row>
    <row r="194" spans="1:15" ht="165">
      <c r="A194" s="397"/>
      <c r="B194" s="58" t="s">
        <v>356</v>
      </c>
      <c r="C194" s="45" t="s">
        <v>6628</v>
      </c>
      <c r="D194" s="45" t="s">
        <v>6629</v>
      </c>
      <c r="E194" s="78" t="s">
        <v>6622</v>
      </c>
      <c r="F194" s="45" t="s">
        <v>6630</v>
      </c>
      <c r="G194" s="46" t="s">
        <v>361</v>
      </c>
      <c r="H194" s="47" t="s">
        <v>24</v>
      </c>
      <c r="I194" s="125" t="s">
        <v>31</v>
      </c>
      <c r="J194" s="155"/>
      <c r="K194" s="155"/>
      <c r="L194" s="155"/>
      <c r="M194" s="155"/>
      <c r="N194" s="155"/>
      <c r="O194" s="155"/>
    </row>
    <row r="195" spans="1:15" ht="165">
      <c r="A195" s="397"/>
      <c r="B195" s="58" t="s">
        <v>356</v>
      </c>
      <c r="C195" s="45" t="s">
        <v>6631</v>
      </c>
      <c r="D195" s="45" t="s">
        <v>6632</v>
      </c>
      <c r="E195" s="78" t="s">
        <v>6622</v>
      </c>
      <c r="F195" s="45" t="s">
        <v>6633</v>
      </c>
      <c r="G195" s="46" t="s">
        <v>361</v>
      </c>
      <c r="H195" s="47" t="s">
        <v>30</v>
      </c>
      <c r="I195" s="125" t="s">
        <v>31</v>
      </c>
      <c r="J195" s="155"/>
      <c r="K195" s="155"/>
      <c r="L195" s="155"/>
      <c r="M195" s="155"/>
      <c r="N195" s="155"/>
      <c r="O195" s="155"/>
    </row>
    <row r="196" spans="1:15" ht="165">
      <c r="A196" s="397"/>
      <c r="B196" s="58" t="s">
        <v>356</v>
      </c>
      <c r="C196" s="45" t="s">
        <v>6634</v>
      </c>
      <c r="D196" s="45" t="s">
        <v>6635</v>
      </c>
      <c r="E196" s="78" t="s">
        <v>6622</v>
      </c>
      <c r="F196" s="45" t="s">
        <v>6636</v>
      </c>
      <c r="G196" s="46" t="s">
        <v>361</v>
      </c>
      <c r="H196" s="47" t="s">
        <v>24</v>
      </c>
      <c r="I196" s="125" t="s">
        <v>31</v>
      </c>
      <c r="J196" s="155"/>
      <c r="K196" s="155"/>
      <c r="L196" s="155"/>
      <c r="M196" s="155"/>
      <c r="N196" s="155"/>
      <c r="O196" s="155"/>
    </row>
    <row r="197" spans="1:15" ht="165">
      <c r="A197" s="397"/>
      <c r="B197" s="58" t="s">
        <v>356</v>
      </c>
      <c r="C197" s="45" t="s">
        <v>6637</v>
      </c>
      <c r="D197" s="45" t="s">
        <v>6638</v>
      </c>
      <c r="E197" s="78" t="s">
        <v>6622</v>
      </c>
      <c r="F197" s="45" t="s">
        <v>6639</v>
      </c>
      <c r="G197" s="46" t="s">
        <v>6640</v>
      </c>
      <c r="H197" s="47" t="s">
        <v>24</v>
      </c>
      <c r="I197" s="125" t="s">
        <v>31</v>
      </c>
      <c r="J197" s="155"/>
      <c r="K197" s="155"/>
      <c r="L197" s="155"/>
      <c r="M197" s="155"/>
      <c r="N197" s="155"/>
      <c r="O197" s="155"/>
    </row>
    <row r="198" spans="1:15" ht="165">
      <c r="A198" s="397"/>
      <c r="B198" s="58" t="s">
        <v>356</v>
      </c>
      <c r="C198" s="45" t="s">
        <v>6641</v>
      </c>
      <c r="D198" s="45" t="s">
        <v>6642</v>
      </c>
      <c r="E198" s="78" t="s">
        <v>6622</v>
      </c>
      <c r="F198" s="45" t="s">
        <v>6643</v>
      </c>
      <c r="G198" s="46" t="s">
        <v>361</v>
      </c>
      <c r="H198" s="47" t="s">
        <v>36</v>
      </c>
      <c r="I198" s="125" t="s">
        <v>31</v>
      </c>
      <c r="J198" s="155"/>
      <c r="K198" s="155"/>
      <c r="L198" s="155"/>
      <c r="M198" s="155"/>
      <c r="N198" s="155"/>
      <c r="O198" s="155"/>
    </row>
    <row r="199" spans="1:15" ht="165">
      <c r="A199" s="397"/>
      <c r="B199" s="58" t="s">
        <v>356</v>
      </c>
      <c r="C199" s="45" t="s">
        <v>6644</v>
      </c>
      <c r="D199" s="45" t="s">
        <v>6645</v>
      </c>
      <c r="E199" s="78" t="s">
        <v>6622</v>
      </c>
      <c r="F199" s="45" t="s">
        <v>6646</v>
      </c>
      <c r="G199" s="46" t="s">
        <v>361</v>
      </c>
      <c r="H199" s="47" t="s">
        <v>41</v>
      </c>
      <c r="I199" s="125" t="s">
        <v>31</v>
      </c>
      <c r="J199" s="155"/>
      <c r="K199" s="155"/>
      <c r="L199" s="155"/>
      <c r="M199" s="155"/>
      <c r="N199" s="155"/>
      <c r="O199" s="155"/>
    </row>
    <row r="200" spans="1:15" ht="165">
      <c r="A200" s="397"/>
      <c r="B200" s="58" t="s">
        <v>356</v>
      </c>
      <c r="C200" s="45" t="s">
        <v>6647</v>
      </c>
      <c r="D200" s="45" t="s">
        <v>6648</v>
      </c>
      <c r="E200" s="78" t="s">
        <v>6622</v>
      </c>
      <c r="F200" s="45" t="s">
        <v>6649</v>
      </c>
      <c r="G200" s="46" t="s">
        <v>361</v>
      </c>
      <c r="H200" s="47" t="s">
        <v>41</v>
      </c>
      <c r="I200" s="125" t="s">
        <v>31</v>
      </c>
      <c r="J200" s="155"/>
      <c r="K200" s="155"/>
      <c r="L200" s="155"/>
      <c r="M200" s="155"/>
      <c r="N200" s="155"/>
      <c r="O200" s="155"/>
    </row>
    <row r="201" spans="1:15" ht="165">
      <c r="A201" s="397"/>
      <c r="B201" s="58" t="s">
        <v>356</v>
      </c>
      <c r="C201" s="45" t="s">
        <v>6650</v>
      </c>
      <c r="D201" s="45" t="s">
        <v>6651</v>
      </c>
      <c r="E201" s="78" t="s">
        <v>6622</v>
      </c>
      <c r="F201" s="45" t="s">
        <v>6652</v>
      </c>
      <c r="G201" s="46" t="s">
        <v>361</v>
      </c>
      <c r="H201" s="47" t="s">
        <v>36</v>
      </c>
      <c r="I201" s="125" t="s">
        <v>31</v>
      </c>
      <c r="J201" s="155"/>
      <c r="K201" s="155"/>
      <c r="L201" s="155"/>
      <c r="M201" s="155"/>
      <c r="N201" s="155"/>
      <c r="O201" s="155"/>
    </row>
    <row r="202" spans="1:15" ht="165">
      <c r="A202" s="397"/>
      <c r="B202" s="58" t="s">
        <v>356</v>
      </c>
      <c r="C202" s="45" t="s">
        <v>6653</v>
      </c>
      <c r="D202" s="45" t="s">
        <v>6654</v>
      </c>
      <c r="E202" s="78" t="s">
        <v>6622</v>
      </c>
      <c r="F202" s="45" t="s">
        <v>6655</v>
      </c>
      <c r="G202" s="46" t="s">
        <v>361</v>
      </c>
      <c r="H202" s="47" t="s">
        <v>24</v>
      </c>
      <c r="I202" s="125" t="s">
        <v>31</v>
      </c>
      <c r="J202" s="155"/>
      <c r="K202" s="155"/>
      <c r="L202" s="155"/>
      <c r="M202" s="155"/>
      <c r="N202" s="155"/>
      <c r="O202" s="155"/>
    </row>
    <row r="203" spans="1:15" ht="198">
      <c r="A203" s="397"/>
      <c r="B203" s="58" t="s">
        <v>370</v>
      </c>
      <c r="C203" s="45" t="s">
        <v>6656</v>
      </c>
      <c r="D203" s="45" t="s">
        <v>6657</v>
      </c>
      <c r="E203" s="78" t="s">
        <v>6622</v>
      </c>
      <c r="F203" s="45" t="s">
        <v>6658</v>
      </c>
      <c r="G203" s="46" t="s">
        <v>6659</v>
      </c>
      <c r="H203" s="47"/>
      <c r="I203" s="120"/>
      <c r="J203" s="155"/>
      <c r="K203" s="155"/>
      <c r="L203" s="155"/>
      <c r="M203" s="155"/>
      <c r="N203" s="155"/>
      <c r="O203" s="155"/>
    </row>
    <row r="204" spans="1:15" ht="132">
      <c r="A204" s="397"/>
      <c r="B204" s="44" t="s">
        <v>6660</v>
      </c>
      <c r="C204" s="45" t="s">
        <v>6661</v>
      </c>
      <c r="D204" s="45" t="s">
        <v>6662</v>
      </c>
      <c r="E204" s="78" t="s">
        <v>6622</v>
      </c>
      <c r="F204" s="45" t="s">
        <v>6663</v>
      </c>
      <c r="G204" s="46" t="s">
        <v>6664</v>
      </c>
      <c r="H204" s="47" t="s">
        <v>24</v>
      </c>
      <c r="I204" s="125" t="s">
        <v>31</v>
      </c>
      <c r="J204" s="155"/>
      <c r="K204" s="155"/>
      <c r="L204" s="155"/>
      <c r="M204" s="155"/>
      <c r="N204" s="155"/>
      <c r="O204" s="155"/>
    </row>
    <row r="205" spans="1:15" ht="148.5">
      <c r="A205" s="397"/>
      <c r="B205" s="44" t="s">
        <v>6660</v>
      </c>
      <c r="C205" s="45" t="s">
        <v>6665</v>
      </c>
      <c r="D205" s="45" t="s">
        <v>6666</v>
      </c>
      <c r="E205" s="78" t="s">
        <v>6622</v>
      </c>
      <c r="F205" s="45" t="s">
        <v>6667</v>
      </c>
      <c r="G205" s="46" t="s">
        <v>6664</v>
      </c>
      <c r="H205" s="47" t="s">
        <v>41</v>
      </c>
      <c r="I205" s="125" t="s">
        <v>31</v>
      </c>
      <c r="J205" s="155"/>
      <c r="K205" s="155"/>
      <c r="L205" s="155"/>
      <c r="M205" s="155"/>
      <c r="N205" s="155"/>
      <c r="O205" s="155"/>
    </row>
    <row r="206" spans="1:15" ht="148.5">
      <c r="A206" s="397"/>
      <c r="B206" s="44" t="s">
        <v>6660</v>
      </c>
      <c r="C206" s="45" t="s">
        <v>6668</v>
      </c>
      <c r="D206" s="45" t="s">
        <v>6669</v>
      </c>
      <c r="E206" s="78" t="s">
        <v>6622</v>
      </c>
      <c r="F206" s="45" t="s">
        <v>6670</v>
      </c>
      <c r="G206" s="46" t="s">
        <v>6664</v>
      </c>
      <c r="H206" s="47" t="s">
        <v>30</v>
      </c>
      <c r="I206" s="125" t="s">
        <v>31</v>
      </c>
      <c r="J206" s="155"/>
      <c r="K206" s="155"/>
      <c r="L206" s="155"/>
      <c r="M206" s="155"/>
      <c r="N206" s="155"/>
      <c r="O206" s="155"/>
    </row>
    <row r="207" spans="1:15" ht="148.5">
      <c r="A207" s="397"/>
      <c r="B207" s="44" t="s">
        <v>6660</v>
      </c>
      <c r="C207" s="45" t="s">
        <v>6671</v>
      </c>
      <c r="D207" s="45" t="s">
        <v>6672</v>
      </c>
      <c r="E207" s="78" t="s">
        <v>6622</v>
      </c>
      <c r="F207" s="45" t="s">
        <v>6673</v>
      </c>
      <c r="G207" s="46" t="s">
        <v>6664</v>
      </c>
      <c r="H207" s="47" t="s">
        <v>36</v>
      </c>
      <c r="I207" s="125" t="s">
        <v>31</v>
      </c>
      <c r="J207" s="155"/>
      <c r="K207" s="155"/>
      <c r="L207" s="155"/>
      <c r="M207" s="155"/>
      <c r="N207" s="155"/>
      <c r="O207" s="155"/>
    </row>
    <row r="208" spans="1:15" ht="132">
      <c r="A208" s="397"/>
      <c r="B208" s="44" t="s">
        <v>6660</v>
      </c>
      <c r="C208" s="45" t="s">
        <v>6674</v>
      </c>
      <c r="D208" s="45" t="s">
        <v>6675</v>
      </c>
      <c r="E208" s="78" t="s">
        <v>6622</v>
      </c>
      <c r="F208" s="45" t="s">
        <v>6676</v>
      </c>
      <c r="G208" s="46" t="s">
        <v>6664</v>
      </c>
      <c r="H208" s="47" t="s">
        <v>929</v>
      </c>
      <c r="I208" s="120"/>
      <c r="J208" s="155"/>
      <c r="K208" s="155"/>
      <c r="L208" s="155"/>
      <c r="M208" s="155"/>
      <c r="N208" s="155"/>
      <c r="O208" s="155"/>
    </row>
    <row r="209" spans="1:15" ht="181.5">
      <c r="A209" s="397"/>
      <c r="B209" s="44" t="s">
        <v>6660</v>
      </c>
      <c r="C209" s="45" t="s">
        <v>6677</v>
      </c>
      <c r="D209" s="45" t="s">
        <v>6678</v>
      </c>
      <c r="E209" s="78" t="s">
        <v>6622</v>
      </c>
      <c r="F209" s="45" t="s">
        <v>6679</v>
      </c>
      <c r="G209" s="46" t="s">
        <v>6664</v>
      </c>
      <c r="H209" s="47" t="s">
        <v>929</v>
      </c>
      <c r="I209" s="120"/>
      <c r="J209" s="155"/>
      <c r="K209" s="155"/>
      <c r="L209" s="155"/>
      <c r="M209" s="155"/>
      <c r="N209" s="155"/>
      <c r="O209" s="155"/>
    </row>
    <row r="210" spans="1:15" ht="165">
      <c r="A210" s="397"/>
      <c r="B210" s="44" t="s">
        <v>6660</v>
      </c>
      <c r="C210" s="45" t="s">
        <v>6680</v>
      </c>
      <c r="D210" s="45" t="s">
        <v>6681</v>
      </c>
      <c r="E210" s="78" t="s">
        <v>6622</v>
      </c>
      <c r="F210" s="45" t="s">
        <v>6682</v>
      </c>
      <c r="G210" s="46" t="s">
        <v>6683</v>
      </c>
      <c r="H210" s="47" t="s">
        <v>36</v>
      </c>
      <c r="I210" s="120"/>
      <c r="J210" s="155"/>
      <c r="K210" s="155"/>
      <c r="L210" s="155"/>
      <c r="M210" s="155"/>
      <c r="N210" s="155"/>
      <c r="O210" s="155"/>
    </row>
    <row r="211" spans="1:15" ht="148.5">
      <c r="A211" s="397"/>
      <c r="B211" s="44" t="s">
        <v>6660</v>
      </c>
      <c r="C211" s="45" t="s">
        <v>6684</v>
      </c>
      <c r="D211" s="45" t="s">
        <v>6685</v>
      </c>
      <c r="E211" s="78" t="s">
        <v>6622</v>
      </c>
      <c r="F211" s="45" t="s">
        <v>6686</v>
      </c>
      <c r="G211" s="46" t="s">
        <v>6664</v>
      </c>
      <c r="H211" s="47" t="s">
        <v>24</v>
      </c>
      <c r="I211" s="120"/>
      <c r="J211" s="155"/>
      <c r="K211" s="155"/>
      <c r="L211" s="155"/>
      <c r="M211" s="155"/>
      <c r="N211" s="155"/>
      <c r="O211" s="155"/>
    </row>
    <row r="212" spans="1:15" ht="148.5">
      <c r="A212" s="397"/>
      <c r="B212" s="44" t="s">
        <v>6687</v>
      </c>
      <c r="C212" s="45" t="s">
        <v>6688</v>
      </c>
      <c r="D212" s="45" t="s">
        <v>6689</v>
      </c>
      <c r="E212" s="78" t="s">
        <v>6622</v>
      </c>
      <c r="F212" s="45" t="s">
        <v>6690</v>
      </c>
      <c r="G212" s="46" t="s">
        <v>6683</v>
      </c>
      <c r="H212" s="47" t="s">
        <v>24</v>
      </c>
      <c r="I212" s="120"/>
      <c r="J212" s="155"/>
      <c r="K212" s="155"/>
      <c r="L212" s="155"/>
      <c r="M212" s="155"/>
      <c r="N212" s="155"/>
      <c r="O212" s="155"/>
    </row>
    <row r="213" spans="1:15" ht="231">
      <c r="A213" s="398"/>
      <c r="B213" s="44" t="s">
        <v>6660</v>
      </c>
      <c r="C213" s="45" t="s">
        <v>6691</v>
      </c>
      <c r="D213" s="45" t="s">
        <v>383</v>
      </c>
      <c r="E213" s="78" t="s">
        <v>6692</v>
      </c>
      <c r="F213" s="45" t="s">
        <v>6693</v>
      </c>
      <c r="G213" s="46" t="s">
        <v>6694</v>
      </c>
      <c r="H213" s="47" t="s">
        <v>24</v>
      </c>
      <c r="I213" s="120"/>
      <c r="J213" s="155"/>
      <c r="K213" s="155"/>
      <c r="L213" s="155"/>
      <c r="M213" s="155"/>
      <c r="N213" s="155"/>
      <c r="O213" s="155"/>
    </row>
    <row r="214" spans="1:15" ht="247.5">
      <c r="A214" s="395" t="s">
        <v>393</v>
      </c>
      <c r="B214" s="50" t="s">
        <v>6695</v>
      </c>
      <c r="C214" s="45" t="s">
        <v>6696</v>
      </c>
      <c r="D214" s="45" t="s">
        <v>6697</v>
      </c>
      <c r="E214" s="78" t="s">
        <v>6622</v>
      </c>
      <c r="F214" s="45" t="s">
        <v>6698</v>
      </c>
      <c r="G214" s="46" t="s">
        <v>6699</v>
      </c>
      <c r="H214" s="47" t="s">
        <v>36</v>
      </c>
      <c r="I214" s="118"/>
      <c r="J214" s="155"/>
      <c r="K214" s="155"/>
      <c r="L214" s="155"/>
      <c r="M214" s="155"/>
      <c r="N214" s="155"/>
      <c r="O214" s="155"/>
    </row>
    <row r="215" spans="1:15" ht="231">
      <c r="A215" s="395"/>
      <c r="B215" s="50" t="s">
        <v>6700</v>
      </c>
      <c r="C215" s="45" t="s">
        <v>6701</v>
      </c>
      <c r="D215" s="45" t="s">
        <v>6702</v>
      </c>
      <c r="E215" s="78" t="s">
        <v>6622</v>
      </c>
      <c r="F215" s="45" t="s">
        <v>6703</v>
      </c>
      <c r="G215" s="46" t="s">
        <v>6704</v>
      </c>
      <c r="H215" s="47" t="s">
        <v>41</v>
      </c>
      <c r="I215" s="118"/>
      <c r="J215" s="155"/>
      <c r="K215" s="155"/>
      <c r="L215" s="155"/>
      <c r="M215" s="155"/>
      <c r="N215" s="155"/>
      <c r="O215" s="155"/>
    </row>
    <row r="216" spans="1:15" ht="231">
      <c r="A216" s="395"/>
      <c r="B216" s="50" t="s">
        <v>6700</v>
      </c>
      <c r="C216" s="45" t="s">
        <v>6705</v>
      </c>
      <c r="D216" s="45" t="s">
        <v>6706</v>
      </c>
      <c r="E216" s="78" t="s">
        <v>6622</v>
      </c>
      <c r="F216" s="45" t="s">
        <v>6707</v>
      </c>
      <c r="G216" s="46" t="s">
        <v>6708</v>
      </c>
      <c r="H216" s="47" t="s">
        <v>30</v>
      </c>
      <c r="I216" s="118"/>
      <c r="J216" s="155"/>
      <c r="K216" s="155"/>
      <c r="L216" s="155"/>
      <c r="M216" s="155"/>
      <c r="N216" s="155"/>
      <c r="O216" s="155"/>
    </row>
    <row r="217" spans="1:15" ht="231">
      <c r="A217" s="395"/>
      <c r="B217" s="50" t="s">
        <v>6700</v>
      </c>
      <c r="C217" s="45" t="s">
        <v>6709</v>
      </c>
      <c r="D217" s="45" t="s">
        <v>6710</v>
      </c>
      <c r="E217" s="78" t="s">
        <v>6622</v>
      </c>
      <c r="F217" s="45" t="s">
        <v>6711</v>
      </c>
      <c r="G217" s="46" t="s">
        <v>6712</v>
      </c>
      <c r="H217" s="47" t="s">
        <v>41</v>
      </c>
      <c r="I217" s="118"/>
      <c r="J217" s="155"/>
      <c r="K217" s="155"/>
      <c r="L217" s="155"/>
      <c r="M217" s="155"/>
      <c r="N217" s="155"/>
      <c r="O217" s="155"/>
    </row>
    <row r="218" spans="1:15" ht="231">
      <c r="A218" s="395"/>
      <c r="B218" s="50" t="s">
        <v>6700</v>
      </c>
      <c r="C218" s="45" t="s">
        <v>6713</v>
      </c>
      <c r="D218" s="45" t="s">
        <v>6714</v>
      </c>
      <c r="E218" s="78" t="s">
        <v>6622</v>
      </c>
      <c r="F218" s="45" t="s">
        <v>6715</v>
      </c>
      <c r="G218" s="46" t="s">
        <v>6716</v>
      </c>
      <c r="H218" s="47" t="s">
        <v>24</v>
      </c>
      <c r="I218" s="118"/>
      <c r="J218" s="155"/>
      <c r="K218" s="155"/>
      <c r="L218" s="155"/>
      <c r="M218" s="155"/>
      <c r="N218" s="155"/>
      <c r="O218" s="155"/>
    </row>
    <row r="219" spans="1:15" ht="247.5">
      <c r="A219" s="395"/>
      <c r="B219" s="50" t="s">
        <v>6700</v>
      </c>
      <c r="C219" s="45" t="s">
        <v>6717</v>
      </c>
      <c r="D219" s="45" t="s">
        <v>6718</v>
      </c>
      <c r="E219" s="78" t="s">
        <v>6622</v>
      </c>
      <c r="F219" s="45" t="s">
        <v>6719</v>
      </c>
      <c r="G219" s="46" t="s">
        <v>6699</v>
      </c>
      <c r="H219" s="47" t="s">
        <v>24</v>
      </c>
      <c r="I219" s="118"/>
      <c r="J219" s="155"/>
      <c r="K219" s="155"/>
      <c r="L219" s="155"/>
      <c r="M219" s="155"/>
      <c r="N219" s="155"/>
      <c r="O219" s="155"/>
    </row>
    <row r="220" spans="1:15" ht="231">
      <c r="A220" s="395"/>
      <c r="B220" s="50" t="s">
        <v>6700</v>
      </c>
      <c r="C220" s="45" t="s">
        <v>6720</v>
      </c>
      <c r="D220" s="45" t="s">
        <v>6721</v>
      </c>
      <c r="E220" s="78" t="s">
        <v>6622</v>
      </c>
      <c r="F220" s="45" t="s">
        <v>6722</v>
      </c>
      <c r="G220" s="46" t="s">
        <v>6704</v>
      </c>
      <c r="H220" s="47" t="s">
        <v>24</v>
      </c>
      <c r="I220" s="118"/>
      <c r="J220" s="155"/>
      <c r="K220" s="155"/>
      <c r="L220" s="155"/>
      <c r="M220" s="155"/>
      <c r="N220" s="155"/>
      <c r="O220" s="155"/>
    </row>
    <row r="221" spans="1:15" ht="231">
      <c r="A221" s="395"/>
      <c r="B221" s="50" t="s">
        <v>6700</v>
      </c>
      <c r="C221" s="45" t="s">
        <v>6723</v>
      </c>
      <c r="D221" s="45" t="s">
        <v>6724</v>
      </c>
      <c r="E221" s="78" t="s">
        <v>6622</v>
      </c>
      <c r="F221" s="45" t="s">
        <v>6725</v>
      </c>
      <c r="G221" s="46" t="s">
        <v>6708</v>
      </c>
      <c r="H221" s="47" t="s">
        <v>24</v>
      </c>
      <c r="I221" s="118"/>
      <c r="J221" s="155"/>
      <c r="K221" s="155"/>
      <c r="L221" s="155"/>
      <c r="M221" s="155"/>
      <c r="N221" s="155"/>
      <c r="O221" s="155"/>
    </row>
    <row r="222" spans="1:15" ht="231">
      <c r="A222" s="395"/>
      <c r="B222" s="50" t="s">
        <v>6700</v>
      </c>
      <c r="C222" s="45" t="s">
        <v>6726</v>
      </c>
      <c r="D222" s="45" t="s">
        <v>6727</v>
      </c>
      <c r="E222" s="78" t="s">
        <v>6622</v>
      </c>
      <c r="F222" s="45" t="s">
        <v>6728</v>
      </c>
      <c r="G222" s="46" t="s">
        <v>6712</v>
      </c>
      <c r="H222" s="47" t="s">
        <v>24</v>
      </c>
      <c r="I222" s="118"/>
      <c r="J222" s="155"/>
      <c r="K222" s="155"/>
      <c r="L222" s="155"/>
      <c r="M222" s="155"/>
      <c r="N222" s="155"/>
      <c r="O222" s="155"/>
    </row>
    <row r="223" spans="1:15" ht="231">
      <c r="A223" s="395"/>
      <c r="B223" s="50" t="s">
        <v>6700</v>
      </c>
      <c r="C223" s="45" t="s">
        <v>6729</v>
      </c>
      <c r="D223" s="45" t="s">
        <v>6730</v>
      </c>
      <c r="E223" s="78" t="s">
        <v>5909</v>
      </c>
      <c r="F223" s="45" t="s">
        <v>6731</v>
      </c>
      <c r="G223" s="46" t="s">
        <v>6716</v>
      </c>
      <c r="H223" s="47" t="s">
        <v>24</v>
      </c>
      <c r="I223" s="118"/>
      <c r="J223" s="155"/>
      <c r="K223" s="155"/>
      <c r="L223" s="155"/>
      <c r="M223" s="155"/>
      <c r="N223" s="155"/>
      <c r="O223" s="155"/>
    </row>
    <row r="224" spans="1:15" ht="247.5">
      <c r="A224" s="395"/>
      <c r="B224" s="44" t="s">
        <v>6732</v>
      </c>
      <c r="C224" s="45" t="s">
        <v>6733</v>
      </c>
      <c r="D224" s="45" t="s">
        <v>6734</v>
      </c>
      <c r="E224" s="78" t="s">
        <v>6622</v>
      </c>
      <c r="F224" s="45" t="s">
        <v>6735</v>
      </c>
      <c r="G224" s="46" t="s">
        <v>6699</v>
      </c>
      <c r="H224" s="47" t="s">
        <v>24</v>
      </c>
      <c r="I224" s="118"/>
      <c r="J224" s="155"/>
      <c r="K224" s="155"/>
      <c r="L224" s="155"/>
      <c r="M224" s="155"/>
      <c r="N224" s="155"/>
      <c r="O224" s="155"/>
    </row>
    <row r="225" spans="1:15" ht="231">
      <c r="A225" s="395"/>
      <c r="B225" s="44" t="s">
        <v>6732</v>
      </c>
      <c r="C225" s="45" t="s">
        <v>6736</v>
      </c>
      <c r="D225" s="45" t="s">
        <v>6737</v>
      </c>
      <c r="E225" s="78" t="s">
        <v>6622</v>
      </c>
      <c r="F225" s="45" t="s">
        <v>6738</v>
      </c>
      <c r="G225" s="46" t="s">
        <v>6704</v>
      </c>
      <c r="H225" s="47" t="s">
        <v>24</v>
      </c>
      <c r="I225" s="118"/>
      <c r="J225" s="155"/>
      <c r="K225" s="155"/>
      <c r="L225" s="155"/>
      <c r="M225" s="155"/>
      <c r="N225" s="155"/>
      <c r="O225" s="155"/>
    </row>
    <row r="226" spans="1:15" ht="231">
      <c r="A226" s="395"/>
      <c r="B226" s="44" t="s">
        <v>6732</v>
      </c>
      <c r="C226" s="45" t="s">
        <v>6739</v>
      </c>
      <c r="D226" s="45" t="s">
        <v>6740</v>
      </c>
      <c r="E226" s="78" t="s">
        <v>6622</v>
      </c>
      <c r="F226" s="45" t="s">
        <v>6741</v>
      </c>
      <c r="G226" s="46" t="s">
        <v>6708</v>
      </c>
      <c r="H226" s="47" t="s">
        <v>30</v>
      </c>
      <c r="I226" s="118"/>
      <c r="J226" s="155"/>
      <c r="K226" s="155"/>
      <c r="L226" s="155"/>
      <c r="M226" s="155"/>
      <c r="N226" s="155"/>
      <c r="O226" s="155"/>
    </row>
    <row r="227" spans="1:15" ht="231">
      <c r="A227" s="395"/>
      <c r="B227" s="44" t="s">
        <v>6732</v>
      </c>
      <c r="C227" s="45" t="s">
        <v>6742</v>
      </c>
      <c r="D227" s="45" t="s">
        <v>6743</v>
      </c>
      <c r="E227" s="78" t="s">
        <v>6622</v>
      </c>
      <c r="F227" s="45" t="s">
        <v>6744</v>
      </c>
      <c r="G227" s="46" t="s">
        <v>6712</v>
      </c>
      <c r="H227" s="47" t="s">
        <v>41</v>
      </c>
      <c r="I227" s="118"/>
      <c r="J227" s="155"/>
      <c r="K227" s="155"/>
      <c r="L227" s="155"/>
      <c r="M227" s="155"/>
      <c r="N227" s="155"/>
      <c r="O227" s="155"/>
    </row>
    <row r="228" spans="1:15" ht="231">
      <c r="A228" s="395"/>
      <c r="B228" s="44" t="s">
        <v>6732</v>
      </c>
      <c r="C228" s="45" t="s">
        <v>6745</v>
      </c>
      <c r="D228" s="45" t="s">
        <v>6746</v>
      </c>
      <c r="E228" s="78" t="s">
        <v>6622</v>
      </c>
      <c r="F228" s="45" t="s">
        <v>6747</v>
      </c>
      <c r="G228" s="46" t="s">
        <v>6716</v>
      </c>
      <c r="H228" s="47" t="s">
        <v>36</v>
      </c>
      <c r="I228" s="118"/>
      <c r="J228" s="155"/>
      <c r="K228" s="155"/>
      <c r="L228" s="155"/>
      <c r="M228" s="155"/>
      <c r="N228" s="155"/>
      <c r="O228" s="155"/>
    </row>
    <row r="229" spans="1:15" ht="247.5">
      <c r="A229" s="395"/>
      <c r="B229" s="44" t="s">
        <v>6732</v>
      </c>
      <c r="C229" s="45" t="s">
        <v>6748</v>
      </c>
      <c r="D229" s="45" t="s">
        <v>6749</v>
      </c>
      <c r="E229" s="78" t="s">
        <v>6622</v>
      </c>
      <c r="F229" s="45" t="s">
        <v>6750</v>
      </c>
      <c r="G229" s="46" t="s">
        <v>6699</v>
      </c>
      <c r="H229" s="47" t="s">
        <v>36</v>
      </c>
      <c r="I229" s="118"/>
      <c r="J229" s="155"/>
      <c r="K229" s="155"/>
      <c r="L229" s="155"/>
      <c r="M229" s="155"/>
      <c r="N229" s="155"/>
      <c r="O229" s="155"/>
    </row>
    <row r="230" spans="1:15" ht="231">
      <c r="A230" s="395"/>
      <c r="B230" s="44" t="s">
        <v>6732</v>
      </c>
      <c r="C230" s="45" t="s">
        <v>6751</v>
      </c>
      <c r="D230" s="45" t="s">
        <v>6752</v>
      </c>
      <c r="E230" s="78" t="s">
        <v>6622</v>
      </c>
      <c r="F230" s="59" t="s">
        <v>6753</v>
      </c>
      <c r="G230" s="46" t="s">
        <v>6704</v>
      </c>
      <c r="H230" s="47" t="s">
        <v>24</v>
      </c>
      <c r="I230" s="118"/>
      <c r="J230" s="155"/>
      <c r="K230" s="155"/>
      <c r="L230" s="155"/>
      <c r="M230" s="155"/>
      <c r="N230" s="155"/>
      <c r="O230" s="155"/>
    </row>
    <row r="231" spans="1:15" ht="231">
      <c r="A231" s="395"/>
      <c r="B231" s="44" t="s">
        <v>6732</v>
      </c>
      <c r="C231" s="45" t="s">
        <v>6754</v>
      </c>
      <c r="D231" s="45" t="s">
        <v>6755</v>
      </c>
      <c r="E231" s="78" t="s">
        <v>6622</v>
      </c>
      <c r="F231" s="45" t="s">
        <v>6756</v>
      </c>
      <c r="G231" s="46" t="s">
        <v>6708</v>
      </c>
      <c r="H231" s="47" t="s">
        <v>41</v>
      </c>
      <c r="I231" s="118"/>
      <c r="J231" s="155"/>
      <c r="K231" s="155"/>
      <c r="L231" s="155"/>
      <c r="M231" s="155"/>
      <c r="N231" s="155"/>
      <c r="O231" s="155"/>
    </row>
    <row r="232" spans="1:15" ht="231">
      <c r="A232" s="395"/>
      <c r="B232" s="44" t="s">
        <v>6732</v>
      </c>
      <c r="C232" s="45" t="s">
        <v>6757</v>
      </c>
      <c r="D232" s="45" t="s">
        <v>6758</v>
      </c>
      <c r="E232" s="78" t="s">
        <v>6622</v>
      </c>
      <c r="F232" s="45" t="s">
        <v>6759</v>
      </c>
      <c r="G232" s="46" t="s">
        <v>6712</v>
      </c>
      <c r="H232" s="47" t="s">
        <v>24</v>
      </c>
      <c r="I232" s="118"/>
      <c r="J232" s="155"/>
      <c r="K232" s="155"/>
      <c r="L232" s="155"/>
      <c r="M232" s="155"/>
      <c r="N232" s="155"/>
      <c r="O232" s="155"/>
    </row>
    <row r="233" spans="1:15" ht="231">
      <c r="A233" s="395"/>
      <c r="B233" s="44" t="s">
        <v>6732</v>
      </c>
      <c r="C233" s="45" t="s">
        <v>6760</v>
      </c>
      <c r="D233" s="45" t="s">
        <v>6761</v>
      </c>
      <c r="E233" s="78" t="s">
        <v>6622</v>
      </c>
      <c r="F233" s="45" t="s">
        <v>6762</v>
      </c>
      <c r="G233" s="46" t="s">
        <v>6716</v>
      </c>
      <c r="H233" s="47" t="s">
        <v>36</v>
      </c>
      <c r="I233" s="118"/>
      <c r="J233" s="155"/>
      <c r="K233" s="155"/>
      <c r="L233" s="155"/>
      <c r="M233" s="155"/>
      <c r="N233" s="155"/>
      <c r="O233" s="155"/>
    </row>
    <row r="234" spans="1:15" ht="247.5">
      <c r="A234" s="395"/>
      <c r="B234" s="50" t="s">
        <v>6763</v>
      </c>
      <c r="C234" s="45" t="s">
        <v>6764</v>
      </c>
      <c r="D234" s="45" t="s">
        <v>6765</v>
      </c>
      <c r="E234" s="78" t="s">
        <v>6622</v>
      </c>
      <c r="F234" s="45" t="s">
        <v>6766</v>
      </c>
      <c r="G234" s="89" t="s">
        <v>6767</v>
      </c>
      <c r="H234" s="47" t="s">
        <v>36</v>
      </c>
      <c r="I234" s="118"/>
      <c r="J234" s="155"/>
      <c r="K234" s="155"/>
      <c r="L234" s="155"/>
      <c r="M234" s="155"/>
      <c r="N234" s="155"/>
      <c r="O234" s="155"/>
    </row>
    <row r="235" spans="1:15" ht="231">
      <c r="A235" s="395"/>
      <c r="B235" s="50" t="s">
        <v>6763</v>
      </c>
      <c r="C235" s="45" t="s">
        <v>6768</v>
      </c>
      <c r="D235" s="45" t="s">
        <v>6769</v>
      </c>
      <c r="E235" s="78" t="s">
        <v>6622</v>
      </c>
      <c r="F235" s="45" t="s">
        <v>6770</v>
      </c>
      <c r="G235" s="46" t="s">
        <v>6771</v>
      </c>
      <c r="H235" s="47" t="s">
        <v>24</v>
      </c>
      <c r="I235" s="118"/>
      <c r="J235" s="155"/>
      <c r="K235" s="155"/>
      <c r="L235" s="155"/>
      <c r="M235" s="155"/>
      <c r="N235" s="155"/>
      <c r="O235" s="155"/>
    </row>
    <row r="236" spans="1:15" ht="231">
      <c r="A236" s="395"/>
      <c r="B236" s="50" t="s">
        <v>6763</v>
      </c>
      <c r="C236" s="45" t="s">
        <v>6772</v>
      </c>
      <c r="D236" s="45" t="s">
        <v>6773</v>
      </c>
      <c r="E236" s="78" t="s">
        <v>6622</v>
      </c>
      <c r="F236" s="45" t="s">
        <v>6774</v>
      </c>
      <c r="G236" s="46" t="s">
        <v>6775</v>
      </c>
      <c r="H236" s="47" t="s">
        <v>30</v>
      </c>
      <c r="I236" s="118"/>
      <c r="J236" s="155"/>
      <c r="K236" s="155"/>
      <c r="L236" s="155"/>
      <c r="M236" s="155"/>
      <c r="N236" s="155"/>
      <c r="O236" s="155"/>
    </row>
    <row r="237" spans="1:15" ht="231">
      <c r="A237" s="395"/>
      <c r="B237" s="50" t="s">
        <v>6763</v>
      </c>
      <c r="C237" s="45" t="s">
        <v>6776</v>
      </c>
      <c r="D237" s="45" t="s">
        <v>6777</v>
      </c>
      <c r="E237" s="78" t="s">
        <v>6622</v>
      </c>
      <c r="F237" s="45" t="s">
        <v>6778</v>
      </c>
      <c r="G237" s="46" t="s">
        <v>6712</v>
      </c>
      <c r="H237" s="47" t="s">
        <v>41</v>
      </c>
      <c r="I237" s="118"/>
      <c r="J237" s="155"/>
      <c r="K237" s="155"/>
      <c r="L237" s="155"/>
      <c r="M237" s="155"/>
      <c r="N237" s="155"/>
      <c r="O237" s="155"/>
    </row>
    <row r="238" spans="1:15" ht="231">
      <c r="A238" s="395"/>
      <c r="B238" s="50" t="s">
        <v>6763</v>
      </c>
      <c r="C238" s="45" t="s">
        <v>6779</v>
      </c>
      <c r="D238" s="45" t="s">
        <v>6780</v>
      </c>
      <c r="E238" s="78" t="s">
        <v>6622</v>
      </c>
      <c r="F238" s="45" t="s">
        <v>6781</v>
      </c>
      <c r="G238" s="46" t="s">
        <v>6782</v>
      </c>
      <c r="H238" s="47" t="s">
        <v>36</v>
      </c>
      <c r="I238" s="118"/>
      <c r="J238" s="155"/>
      <c r="K238" s="155"/>
      <c r="L238" s="155"/>
      <c r="M238" s="155"/>
      <c r="N238" s="155"/>
      <c r="O238" s="155"/>
    </row>
    <row r="239" spans="1:15" ht="247.5">
      <c r="A239" s="395"/>
      <c r="B239" s="50" t="s">
        <v>6763</v>
      </c>
      <c r="C239" s="45" t="s">
        <v>6783</v>
      </c>
      <c r="D239" s="45" t="s">
        <v>6784</v>
      </c>
      <c r="E239" s="78" t="s">
        <v>6622</v>
      </c>
      <c r="F239" s="45" t="s">
        <v>6785</v>
      </c>
      <c r="G239" s="46" t="s">
        <v>6767</v>
      </c>
      <c r="H239" s="47" t="s">
        <v>24</v>
      </c>
      <c r="I239" s="118"/>
      <c r="J239" s="155"/>
      <c r="K239" s="155"/>
      <c r="L239" s="155"/>
      <c r="M239" s="155"/>
      <c r="N239" s="155"/>
      <c r="O239" s="155"/>
    </row>
    <row r="240" spans="1:15" ht="247.5">
      <c r="A240" s="395"/>
      <c r="B240" s="50" t="s">
        <v>6763</v>
      </c>
      <c r="C240" s="45" t="s">
        <v>6786</v>
      </c>
      <c r="D240" s="45" t="s">
        <v>6787</v>
      </c>
      <c r="E240" s="78" t="s">
        <v>6622</v>
      </c>
      <c r="F240" s="45" t="s">
        <v>6788</v>
      </c>
      <c r="G240" s="46" t="s">
        <v>6771</v>
      </c>
      <c r="H240" s="47" t="s">
        <v>24</v>
      </c>
      <c r="I240" s="118"/>
      <c r="J240" s="155"/>
      <c r="K240" s="155"/>
      <c r="L240" s="155"/>
      <c r="M240" s="155"/>
      <c r="N240" s="155"/>
      <c r="O240" s="155"/>
    </row>
    <row r="241" spans="1:15" ht="247.5">
      <c r="A241" s="395"/>
      <c r="B241" s="50" t="s">
        <v>6763</v>
      </c>
      <c r="C241" s="45" t="s">
        <v>6789</v>
      </c>
      <c r="D241" s="45" t="s">
        <v>6790</v>
      </c>
      <c r="E241" s="78" t="s">
        <v>6622</v>
      </c>
      <c r="F241" s="45" t="s">
        <v>6791</v>
      </c>
      <c r="G241" s="46" t="s">
        <v>6775</v>
      </c>
      <c r="H241" s="47" t="s">
        <v>24</v>
      </c>
      <c r="I241" s="118"/>
      <c r="J241" s="155"/>
      <c r="K241" s="155"/>
      <c r="L241" s="155"/>
      <c r="M241" s="155"/>
      <c r="N241" s="155"/>
      <c r="O241" s="155"/>
    </row>
    <row r="242" spans="1:15" ht="247.5">
      <c r="A242" s="395"/>
      <c r="B242" s="50" t="s">
        <v>6763</v>
      </c>
      <c r="C242" s="45" t="s">
        <v>6792</v>
      </c>
      <c r="D242" s="45" t="s">
        <v>6793</v>
      </c>
      <c r="E242" s="78" t="s">
        <v>6622</v>
      </c>
      <c r="F242" s="45" t="s">
        <v>6794</v>
      </c>
      <c r="G242" s="46" t="s">
        <v>6712</v>
      </c>
      <c r="H242" s="47" t="s">
        <v>24</v>
      </c>
      <c r="I242" s="118"/>
      <c r="J242" s="155"/>
      <c r="K242" s="155"/>
      <c r="L242" s="155"/>
      <c r="M242" s="155"/>
      <c r="N242" s="155"/>
      <c r="O242" s="155"/>
    </row>
    <row r="243" spans="1:15" ht="247.5">
      <c r="A243" s="395"/>
      <c r="B243" s="50" t="s">
        <v>6763</v>
      </c>
      <c r="C243" s="45" t="s">
        <v>6795</v>
      </c>
      <c r="D243" s="45" t="s">
        <v>6796</v>
      </c>
      <c r="E243" s="78" t="s">
        <v>6622</v>
      </c>
      <c r="F243" s="45" t="s">
        <v>6797</v>
      </c>
      <c r="G243" s="46" t="s">
        <v>6782</v>
      </c>
      <c r="H243" s="47" t="s">
        <v>36</v>
      </c>
      <c r="I243" s="118"/>
      <c r="J243" s="155"/>
      <c r="K243" s="155"/>
      <c r="L243" s="155"/>
      <c r="M243" s="155"/>
      <c r="N243" s="155"/>
      <c r="O243" s="155"/>
    </row>
    <row r="244" spans="1:15" ht="247.5">
      <c r="A244" s="395"/>
      <c r="B244" s="44" t="s">
        <v>6798</v>
      </c>
      <c r="C244" s="45" t="s">
        <v>6799</v>
      </c>
      <c r="D244" s="45" t="s">
        <v>6800</v>
      </c>
      <c r="E244" s="78" t="s">
        <v>6622</v>
      </c>
      <c r="F244" s="45" t="s">
        <v>6801</v>
      </c>
      <c r="G244" s="46" t="s">
        <v>6767</v>
      </c>
      <c r="H244" s="47" t="s">
        <v>36</v>
      </c>
      <c r="I244" s="118"/>
      <c r="J244" s="155"/>
      <c r="K244" s="155"/>
      <c r="L244" s="155"/>
      <c r="M244" s="155"/>
      <c r="N244" s="155"/>
      <c r="O244" s="155"/>
    </row>
    <row r="245" spans="1:15" ht="231">
      <c r="A245" s="395"/>
      <c r="B245" s="44" t="s">
        <v>6798</v>
      </c>
      <c r="C245" s="45" t="s">
        <v>6802</v>
      </c>
      <c r="D245" s="45" t="s">
        <v>6803</v>
      </c>
      <c r="E245" s="78" t="s">
        <v>6622</v>
      </c>
      <c r="F245" s="45" t="s">
        <v>6804</v>
      </c>
      <c r="G245" s="46" t="s">
        <v>6771</v>
      </c>
      <c r="H245" s="47" t="s">
        <v>24</v>
      </c>
      <c r="I245" s="118"/>
      <c r="J245" s="155"/>
      <c r="K245" s="155"/>
      <c r="L245" s="155"/>
      <c r="M245" s="155"/>
      <c r="N245" s="155"/>
      <c r="O245" s="155"/>
    </row>
    <row r="246" spans="1:15" ht="231">
      <c r="A246" s="395"/>
      <c r="B246" s="44" t="s">
        <v>6798</v>
      </c>
      <c r="C246" s="45" t="s">
        <v>6805</v>
      </c>
      <c r="D246" s="45" t="s">
        <v>6806</v>
      </c>
      <c r="E246" s="78" t="s">
        <v>6622</v>
      </c>
      <c r="F246" s="45" t="s">
        <v>6807</v>
      </c>
      <c r="G246" s="46" t="s">
        <v>6775</v>
      </c>
      <c r="H246" s="47" t="s">
        <v>30</v>
      </c>
      <c r="I246" s="118"/>
      <c r="J246" s="155"/>
      <c r="K246" s="155"/>
      <c r="L246" s="155"/>
      <c r="M246" s="155"/>
      <c r="N246" s="155"/>
      <c r="O246" s="155"/>
    </row>
    <row r="247" spans="1:15" ht="231">
      <c r="A247" s="395"/>
      <c r="B247" s="44" t="s">
        <v>6798</v>
      </c>
      <c r="C247" s="45" t="s">
        <v>6808</v>
      </c>
      <c r="D247" s="45" t="s">
        <v>6809</v>
      </c>
      <c r="E247" s="78" t="s">
        <v>6622</v>
      </c>
      <c r="F247" s="45" t="s">
        <v>6810</v>
      </c>
      <c r="G247" s="46" t="s">
        <v>6712</v>
      </c>
      <c r="H247" s="47" t="s">
        <v>41</v>
      </c>
      <c r="I247" s="118"/>
      <c r="J247" s="155"/>
      <c r="K247" s="155"/>
      <c r="L247" s="155"/>
      <c r="M247" s="155"/>
      <c r="N247" s="155"/>
      <c r="O247" s="155"/>
    </row>
    <row r="248" spans="1:15" ht="231">
      <c r="A248" s="395"/>
      <c r="B248" s="44" t="s">
        <v>6798</v>
      </c>
      <c r="C248" s="45" t="s">
        <v>6811</v>
      </c>
      <c r="D248" s="45" t="s">
        <v>6812</v>
      </c>
      <c r="E248" s="78" t="s">
        <v>6622</v>
      </c>
      <c r="F248" s="45" t="s">
        <v>6813</v>
      </c>
      <c r="G248" s="46" t="s">
        <v>6782</v>
      </c>
      <c r="H248" s="47" t="s">
        <v>36</v>
      </c>
      <c r="I248" s="118"/>
      <c r="J248" s="155"/>
      <c r="K248" s="155"/>
      <c r="L248" s="155"/>
      <c r="M248" s="155"/>
      <c r="N248" s="155"/>
      <c r="O248" s="155"/>
    </row>
    <row r="249" spans="1:15" ht="247.5">
      <c r="A249" s="395"/>
      <c r="B249" s="44" t="s">
        <v>6798</v>
      </c>
      <c r="C249" s="45" t="s">
        <v>6814</v>
      </c>
      <c r="D249" s="45" t="s">
        <v>6815</v>
      </c>
      <c r="E249" s="78" t="s">
        <v>6622</v>
      </c>
      <c r="F249" s="45" t="s">
        <v>6816</v>
      </c>
      <c r="G249" s="46" t="s">
        <v>6767</v>
      </c>
      <c r="H249" s="47" t="s">
        <v>36</v>
      </c>
      <c r="I249" s="118"/>
      <c r="J249" s="155"/>
      <c r="K249" s="155"/>
      <c r="L249" s="155"/>
      <c r="M249" s="155"/>
      <c r="N249" s="155"/>
      <c r="O249" s="155"/>
    </row>
    <row r="250" spans="1:15" ht="231">
      <c r="A250" s="395"/>
      <c r="B250" s="44" t="s">
        <v>6798</v>
      </c>
      <c r="C250" s="45" t="s">
        <v>6817</v>
      </c>
      <c r="D250" s="45" t="s">
        <v>6818</v>
      </c>
      <c r="E250" s="78" t="s">
        <v>6622</v>
      </c>
      <c r="F250" s="45" t="s">
        <v>6819</v>
      </c>
      <c r="G250" s="46" t="s">
        <v>6771</v>
      </c>
      <c r="H250" s="47" t="s">
        <v>24</v>
      </c>
      <c r="I250" s="118"/>
      <c r="J250" s="155"/>
      <c r="K250" s="155"/>
      <c r="L250" s="155"/>
      <c r="M250" s="155"/>
      <c r="N250" s="155"/>
      <c r="O250" s="155"/>
    </row>
    <row r="251" spans="1:15" ht="231">
      <c r="A251" s="395"/>
      <c r="B251" s="44" t="s">
        <v>6798</v>
      </c>
      <c r="C251" s="45" t="s">
        <v>6820</v>
      </c>
      <c r="D251" s="45" t="s">
        <v>6821</v>
      </c>
      <c r="E251" s="78" t="s">
        <v>6622</v>
      </c>
      <c r="F251" s="45" t="s">
        <v>6822</v>
      </c>
      <c r="G251" s="46" t="s">
        <v>6823</v>
      </c>
      <c r="H251" s="47" t="s">
        <v>24</v>
      </c>
      <c r="I251" s="118"/>
      <c r="J251" s="155"/>
      <c r="K251" s="155"/>
      <c r="L251" s="155"/>
      <c r="M251" s="155"/>
      <c r="N251" s="155"/>
      <c r="O251" s="155"/>
    </row>
    <row r="252" spans="1:15" ht="231">
      <c r="A252" s="395"/>
      <c r="B252" s="44" t="s">
        <v>6798</v>
      </c>
      <c r="C252" s="45" t="s">
        <v>6824</v>
      </c>
      <c r="D252" s="45" t="s">
        <v>6825</v>
      </c>
      <c r="E252" s="78" t="s">
        <v>6622</v>
      </c>
      <c r="F252" s="45" t="s">
        <v>6826</v>
      </c>
      <c r="G252" s="46" t="s">
        <v>6827</v>
      </c>
      <c r="H252" s="47" t="s">
        <v>41</v>
      </c>
      <c r="I252" s="118"/>
      <c r="J252" s="155"/>
      <c r="K252" s="155"/>
      <c r="L252" s="155"/>
      <c r="M252" s="155"/>
      <c r="N252" s="155"/>
      <c r="O252" s="155"/>
    </row>
    <row r="253" spans="1:15" ht="231">
      <c r="A253" s="395"/>
      <c r="B253" s="44" t="s">
        <v>6798</v>
      </c>
      <c r="C253" s="45" t="s">
        <v>6828</v>
      </c>
      <c r="D253" s="45" t="s">
        <v>6829</v>
      </c>
      <c r="E253" s="78" t="s">
        <v>6622</v>
      </c>
      <c r="F253" s="45" t="s">
        <v>6830</v>
      </c>
      <c r="G253" s="46" t="s">
        <v>6831</v>
      </c>
      <c r="H253" s="47" t="s">
        <v>36</v>
      </c>
      <c r="I253" s="118"/>
      <c r="J253" s="155"/>
      <c r="K253" s="155"/>
      <c r="L253" s="155"/>
      <c r="M253" s="155"/>
      <c r="N253" s="155"/>
      <c r="O253" s="155"/>
    </row>
    <row r="254" spans="1:15" ht="396">
      <c r="A254" s="81"/>
      <c r="B254" s="44" t="s">
        <v>467</v>
      </c>
      <c r="C254" s="45" t="s">
        <v>6832</v>
      </c>
      <c r="D254" s="45" t="s">
        <v>6833</v>
      </c>
      <c r="E254" s="78" t="s">
        <v>6622</v>
      </c>
      <c r="F254" s="45" t="s">
        <v>6834</v>
      </c>
      <c r="G254" s="46" t="s">
        <v>468</v>
      </c>
      <c r="H254" s="47"/>
      <c r="I254" s="118"/>
      <c r="J254" s="155"/>
      <c r="K254" s="155"/>
      <c r="L254" s="155"/>
      <c r="M254" s="155"/>
      <c r="N254" s="155"/>
      <c r="O254" s="155"/>
    </row>
    <row r="255" spans="1:15" ht="409.5">
      <c r="A255" s="81"/>
      <c r="B255" s="44" t="s">
        <v>467</v>
      </c>
      <c r="C255" s="45" t="s">
        <v>6835</v>
      </c>
      <c r="D255" s="45" t="s">
        <v>6836</v>
      </c>
      <c r="E255" s="78" t="s">
        <v>6622</v>
      </c>
      <c r="F255" s="45" t="s">
        <v>6837</v>
      </c>
      <c r="G255" s="46" t="s">
        <v>469</v>
      </c>
      <c r="H255" s="47"/>
      <c r="I255" s="118"/>
      <c r="J255" s="155"/>
      <c r="K255" s="155"/>
      <c r="L255" s="155"/>
      <c r="M255" s="155"/>
      <c r="N255" s="155"/>
      <c r="O255" s="155"/>
    </row>
    <row r="256" spans="1:15" ht="330">
      <c r="A256" s="395" t="s">
        <v>470</v>
      </c>
      <c r="B256" s="50" t="s">
        <v>471</v>
      </c>
      <c r="C256" s="45" t="s">
        <v>6838</v>
      </c>
      <c r="D256" s="45" t="s">
        <v>6839</v>
      </c>
      <c r="E256" s="78" t="s">
        <v>6622</v>
      </c>
      <c r="F256" s="45" t="s">
        <v>6840</v>
      </c>
      <c r="G256" s="46" t="s">
        <v>6841</v>
      </c>
      <c r="H256" s="47" t="s">
        <v>24</v>
      </c>
      <c r="I256" s="118"/>
      <c r="J256" s="155"/>
      <c r="K256" s="155"/>
      <c r="L256" s="155"/>
      <c r="M256" s="155"/>
      <c r="N256" s="155"/>
      <c r="O256" s="155"/>
    </row>
    <row r="257" spans="1:15" ht="330">
      <c r="A257" s="399"/>
      <c r="B257" s="50" t="s">
        <v>473</v>
      </c>
      <c r="C257" s="45" t="s">
        <v>6842</v>
      </c>
      <c r="D257" s="45" t="s">
        <v>6843</v>
      </c>
      <c r="E257" s="78" t="s">
        <v>6622</v>
      </c>
      <c r="F257" s="45" t="s">
        <v>6844</v>
      </c>
      <c r="G257" s="46" t="s">
        <v>6845</v>
      </c>
      <c r="H257" s="47" t="s">
        <v>41</v>
      </c>
      <c r="I257" s="118"/>
      <c r="J257" s="155"/>
      <c r="K257" s="155"/>
      <c r="L257" s="155"/>
      <c r="M257" s="155"/>
      <c r="N257" s="155"/>
      <c r="O257" s="155"/>
    </row>
    <row r="258" spans="1:15" ht="330">
      <c r="A258" s="399"/>
      <c r="B258" s="50" t="s">
        <v>473</v>
      </c>
      <c r="C258" s="45" t="s">
        <v>6846</v>
      </c>
      <c r="D258" s="45" t="s">
        <v>6847</v>
      </c>
      <c r="E258" s="78" t="s">
        <v>6622</v>
      </c>
      <c r="F258" s="45" t="s">
        <v>6848</v>
      </c>
      <c r="G258" s="46" t="s">
        <v>6849</v>
      </c>
      <c r="H258" s="47" t="s">
        <v>30</v>
      </c>
      <c r="I258" s="118"/>
      <c r="J258" s="155"/>
      <c r="K258" s="155"/>
      <c r="L258" s="155"/>
      <c r="M258" s="155"/>
      <c r="N258" s="155"/>
      <c r="O258" s="155"/>
    </row>
    <row r="259" spans="1:15" ht="214.5">
      <c r="A259" s="399"/>
      <c r="B259" s="143" t="s">
        <v>473</v>
      </c>
      <c r="C259" s="57" t="s">
        <v>6850</v>
      </c>
      <c r="D259" s="57" t="s">
        <v>6851</v>
      </c>
      <c r="E259" s="144" t="s">
        <v>6622</v>
      </c>
      <c r="F259" s="57" t="s">
        <v>6852</v>
      </c>
      <c r="G259" s="145" t="s">
        <v>6853</v>
      </c>
      <c r="H259" s="52" t="s">
        <v>24</v>
      </c>
      <c r="I259" s="118"/>
      <c r="J259" s="155"/>
      <c r="K259" s="155"/>
      <c r="L259" s="155"/>
      <c r="M259" s="155"/>
      <c r="N259" s="155"/>
      <c r="O259" s="155"/>
    </row>
    <row r="260" spans="1:15" ht="346.5">
      <c r="A260" s="399"/>
      <c r="B260" s="50" t="s">
        <v>473</v>
      </c>
      <c r="C260" s="45" t="s">
        <v>6854</v>
      </c>
      <c r="D260" s="45" t="s">
        <v>6855</v>
      </c>
      <c r="E260" s="78" t="s">
        <v>6622</v>
      </c>
      <c r="F260" s="45" t="s">
        <v>6856</v>
      </c>
      <c r="G260" s="46" t="s">
        <v>6857</v>
      </c>
      <c r="H260" s="47" t="s">
        <v>24</v>
      </c>
      <c r="I260" s="118"/>
      <c r="J260" s="155"/>
      <c r="K260" s="155"/>
      <c r="L260" s="155"/>
      <c r="M260" s="155"/>
      <c r="N260" s="155"/>
      <c r="O260" s="155"/>
    </row>
    <row r="261" spans="1:15" ht="346.5">
      <c r="A261" s="399"/>
      <c r="B261" s="50" t="s">
        <v>473</v>
      </c>
      <c r="C261" s="45" t="s">
        <v>6858</v>
      </c>
      <c r="D261" s="45" t="s">
        <v>6859</v>
      </c>
      <c r="E261" s="78" t="s">
        <v>6622</v>
      </c>
      <c r="F261" s="45" t="s">
        <v>6860</v>
      </c>
      <c r="G261" s="46" t="s">
        <v>6861</v>
      </c>
      <c r="H261" s="47" t="s">
        <v>24</v>
      </c>
      <c r="I261" s="118"/>
      <c r="J261" s="155"/>
      <c r="K261" s="155"/>
      <c r="L261" s="155"/>
      <c r="M261" s="155"/>
      <c r="N261" s="155"/>
      <c r="O261" s="155"/>
    </row>
    <row r="262" spans="1:15" ht="280.5">
      <c r="A262" s="399"/>
      <c r="B262" s="44" t="s">
        <v>6862</v>
      </c>
      <c r="C262" s="45" t="s">
        <v>6863</v>
      </c>
      <c r="D262" s="45" t="s">
        <v>6864</v>
      </c>
      <c r="E262" s="78" t="s">
        <v>6622</v>
      </c>
      <c r="F262" s="45" t="s">
        <v>6865</v>
      </c>
      <c r="G262" s="46" t="s">
        <v>6866</v>
      </c>
      <c r="H262" s="47" t="s">
        <v>41</v>
      </c>
      <c r="I262" s="118"/>
      <c r="J262" s="155"/>
      <c r="K262" s="155"/>
      <c r="L262" s="155"/>
      <c r="M262" s="155"/>
      <c r="N262" s="155"/>
      <c r="O262" s="155"/>
    </row>
    <row r="263" spans="1:15" ht="264">
      <c r="A263" s="399"/>
      <c r="B263" s="44" t="s">
        <v>6862</v>
      </c>
      <c r="C263" s="45" t="s">
        <v>6867</v>
      </c>
      <c r="D263" s="45" t="s">
        <v>6868</v>
      </c>
      <c r="E263" s="78" t="s">
        <v>6622</v>
      </c>
      <c r="F263" s="45" t="s">
        <v>6869</v>
      </c>
      <c r="G263" s="46" t="s">
        <v>6870</v>
      </c>
      <c r="H263" s="47" t="s">
        <v>41</v>
      </c>
      <c r="I263" s="118"/>
      <c r="J263" s="155"/>
      <c r="K263" s="155"/>
      <c r="L263" s="155"/>
      <c r="M263" s="155"/>
      <c r="N263" s="155"/>
      <c r="O263" s="155"/>
    </row>
    <row r="264" spans="1:15" ht="280.5">
      <c r="A264" s="399"/>
      <c r="B264" s="44" t="s">
        <v>6862</v>
      </c>
      <c r="C264" s="45" t="s">
        <v>6871</v>
      </c>
      <c r="D264" s="45" t="s">
        <v>6872</v>
      </c>
      <c r="E264" s="78" t="s">
        <v>6622</v>
      </c>
      <c r="F264" s="45" t="s">
        <v>6873</v>
      </c>
      <c r="G264" s="46" t="s">
        <v>6874</v>
      </c>
      <c r="H264" s="47" t="s">
        <v>30</v>
      </c>
      <c r="I264" s="118"/>
      <c r="J264" s="155"/>
      <c r="K264" s="155"/>
      <c r="L264" s="155"/>
      <c r="M264" s="155"/>
      <c r="N264" s="155"/>
      <c r="O264" s="155"/>
    </row>
    <row r="265" spans="1:15" ht="280.5">
      <c r="A265" s="399"/>
      <c r="B265" s="44" t="s">
        <v>6862</v>
      </c>
      <c r="C265" s="45" t="s">
        <v>6875</v>
      </c>
      <c r="D265" s="45" t="s">
        <v>6876</v>
      </c>
      <c r="E265" s="78" t="s">
        <v>6622</v>
      </c>
      <c r="F265" s="45" t="s">
        <v>6877</v>
      </c>
      <c r="G265" s="46" t="s">
        <v>6878</v>
      </c>
      <c r="H265" s="47" t="s">
        <v>24</v>
      </c>
      <c r="I265" s="118"/>
      <c r="J265" s="155"/>
      <c r="K265" s="155"/>
      <c r="L265" s="155"/>
      <c r="M265" s="155"/>
      <c r="N265" s="155"/>
      <c r="O265" s="155"/>
    </row>
    <row r="266" spans="1:15" ht="330">
      <c r="A266" s="399"/>
      <c r="B266" s="44" t="s">
        <v>6862</v>
      </c>
      <c r="C266" s="45" t="s">
        <v>6879</v>
      </c>
      <c r="D266" s="45" t="s">
        <v>6880</v>
      </c>
      <c r="E266" s="78" t="s">
        <v>6622</v>
      </c>
      <c r="F266" s="45" t="s">
        <v>6881</v>
      </c>
      <c r="G266" s="46" t="s">
        <v>6882</v>
      </c>
      <c r="H266" s="47" t="s">
        <v>36</v>
      </c>
      <c r="I266" s="118"/>
      <c r="J266" s="155"/>
      <c r="K266" s="155"/>
      <c r="L266" s="155"/>
      <c r="M266" s="155"/>
      <c r="N266" s="155"/>
      <c r="O266" s="155"/>
    </row>
    <row r="267" spans="1:15" ht="330">
      <c r="A267" s="399"/>
      <c r="B267" s="44" t="s">
        <v>6862</v>
      </c>
      <c r="C267" s="45" t="s">
        <v>6883</v>
      </c>
      <c r="D267" s="45" t="s">
        <v>6884</v>
      </c>
      <c r="E267" s="78" t="s">
        <v>6622</v>
      </c>
      <c r="F267" s="45" t="s">
        <v>6885</v>
      </c>
      <c r="G267" s="46" t="s">
        <v>6886</v>
      </c>
      <c r="H267" s="47" t="s">
        <v>36</v>
      </c>
      <c r="I267" s="118"/>
      <c r="J267" s="155"/>
      <c r="K267" s="155"/>
      <c r="L267" s="155"/>
      <c r="M267" s="155"/>
      <c r="N267" s="155"/>
      <c r="O267" s="155"/>
    </row>
    <row r="268" spans="1:15" ht="346.5">
      <c r="A268" s="399"/>
      <c r="B268" s="44" t="s">
        <v>6862</v>
      </c>
      <c r="C268" s="45" t="s">
        <v>6887</v>
      </c>
      <c r="D268" s="45" t="s">
        <v>6888</v>
      </c>
      <c r="E268" s="78" t="s">
        <v>6622</v>
      </c>
      <c r="F268" s="45" t="s">
        <v>6889</v>
      </c>
      <c r="G268" s="46" t="s">
        <v>6890</v>
      </c>
      <c r="H268" s="47" t="s">
        <v>62</v>
      </c>
      <c r="I268" s="118"/>
      <c r="J268" s="155"/>
      <c r="K268" s="155"/>
      <c r="L268" s="155"/>
      <c r="M268" s="155"/>
      <c r="N268" s="155"/>
      <c r="O268" s="155"/>
    </row>
    <row r="269" spans="1:15" ht="231">
      <c r="A269" s="77" t="s">
        <v>6891</v>
      </c>
      <c r="B269" s="50" t="s">
        <v>500</v>
      </c>
      <c r="C269" s="45" t="s">
        <v>6892</v>
      </c>
      <c r="D269" s="45" t="s">
        <v>502</v>
      </c>
      <c r="E269" s="78" t="s">
        <v>6692</v>
      </c>
      <c r="F269" s="45" t="s">
        <v>6893</v>
      </c>
      <c r="G269" s="46" t="s">
        <v>6894</v>
      </c>
      <c r="H269" s="47" t="s">
        <v>41</v>
      </c>
      <c r="I269" s="128" t="s">
        <v>31</v>
      </c>
      <c r="J269" s="155"/>
      <c r="K269" s="155"/>
      <c r="L269" s="155"/>
      <c r="M269" s="155"/>
      <c r="N269" s="155"/>
      <c r="O269" s="155"/>
    </row>
    <row r="270" spans="1:15" ht="231">
      <c r="A270" s="77"/>
      <c r="B270" s="50" t="s">
        <v>500</v>
      </c>
      <c r="C270" s="45" t="s">
        <v>6895</v>
      </c>
      <c r="D270" s="45" t="s">
        <v>6896</v>
      </c>
      <c r="E270" s="78" t="s">
        <v>6692</v>
      </c>
      <c r="F270" s="45" t="s">
        <v>6897</v>
      </c>
      <c r="G270" s="46" t="s">
        <v>6898</v>
      </c>
      <c r="H270" s="47" t="s">
        <v>41</v>
      </c>
      <c r="I270" s="128"/>
      <c r="J270" s="155"/>
      <c r="K270" s="155"/>
      <c r="L270" s="155"/>
      <c r="M270" s="155"/>
      <c r="N270" s="155"/>
      <c r="O270" s="155"/>
    </row>
    <row r="271" spans="1:15" ht="231">
      <c r="A271" s="77"/>
      <c r="B271" s="50" t="s">
        <v>500</v>
      </c>
      <c r="C271" s="53" t="s">
        <v>6899</v>
      </c>
      <c r="D271" s="45" t="s">
        <v>6900</v>
      </c>
      <c r="E271" s="78" t="s">
        <v>6692</v>
      </c>
      <c r="F271" s="45" t="s">
        <v>6901</v>
      </c>
      <c r="G271" s="46" t="s">
        <v>6902</v>
      </c>
      <c r="H271" s="47" t="s">
        <v>41</v>
      </c>
      <c r="I271" s="128"/>
      <c r="J271" s="155"/>
      <c r="K271" s="155"/>
      <c r="L271" s="155"/>
      <c r="M271" s="155"/>
      <c r="N271" s="155"/>
      <c r="O271" s="155"/>
    </row>
    <row r="272" spans="1:15" ht="231">
      <c r="A272" s="77"/>
      <c r="B272" s="50" t="s">
        <v>500</v>
      </c>
      <c r="C272" s="53" t="s">
        <v>6903</v>
      </c>
      <c r="D272" s="45" t="s">
        <v>6904</v>
      </c>
      <c r="E272" s="78" t="s">
        <v>6692</v>
      </c>
      <c r="F272" s="45" t="s">
        <v>6905</v>
      </c>
      <c r="G272" s="46" t="s">
        <v>6906</v>
      </c>
      <c r="H272" s="47" t="s">
        <v>41</v>
      </c>
      <c r="I272" s="128"/>
      <c r="J272" s="155"/>
      <c r="K272" s="155"/>
      <c r="L272" s="155"/>
      <c r="M272" s="155"/>
      <c r="N272" s="155"/>
      <c r="O272" s="155"/>
    </row>
    <row r="273" spans="1:15" ht="231">
      <c r="A273" s="77"/>
      <c r="B273" s="50" t="s">
        <v>500</v>
      </c>
      <c r="C273" s="45" t="s">
        <v>6907</v>
      </c>
      <c r="D273" s="45" t="s">
        <v>6908</v>
      </c>
      <c r="E273" s="78" t="s">
        <v>6622</v>
      </c>
      <c r="F273" s="45" t="s">
        <v>6909</v>
      </c>
      <c r="G273" s="46" t="s">
        <v>6910</v>
      </c>
      <c r="H273" s="47" t="s">
        <v>41</v>
      </c>
      <c r="I273" s="129" t="s">
        <v>31</v>
      </c>
      <c r="J273" s="155"/>
      <c r="K273" s="155"/>
      <c r="L273" s="155"/>
      <c r="M273" s="155"/>
      <c r="N273" s="155"/>
      <c r="O273" s="155"/>
    </row>
    <row r="274" spans="1:15" ht="231">
      <c r="A274" s="77"/>
      <c r="B274" s="50" t="s">
        <v>500</v>
      </c>
      <c r="C274" s="45" t="s">
        <v>6911</v>
      </c>
      <c r="D274" s="45" t="s">
        <v>6912</v>
      </c>
      <c r="E274" s="78" t="s">
        <v>6622</v>
      </c>
      <c r="F274" s="95" t="s">
        <v>6913</v>
      </c>
      <c r="G274" s="46" t="s">
        <v>6914</v>
      </c>
      <c r="H274" s="47" t="s">
        <v>30</v>
      </c>
      <c r="I274" s="129"/>
      <c r="J274" s="155"/>
      <c r="K274" s="155"/>
      <c r="L274" s="155"/>
      <c r="M274" s="155"/>
      <c r="N274" s="155"/>
      <c r="O274" s="155"/>
    </row>
    <row r="275" spans="1:15" ht="231">
      <c r="A275" s="77"/>
      <c r="B275" s="50" t="s">
        <v>500</v>
      </c>
      <c r="C275" s="45" t="s">
        <v>6915</v>
      </c>
      <c r="D275" s="45" t="s">
        <v>6916</v>
      </c>
      <c r="E275" s="78" t="s">
        <v>6622</v>
      </c>
      <c r="F275" s="79" t="s">
        <v>6917</v>
      </c>
      <c r="G275" s="139" t="s">
        <v>6918</v>
      </c>
      <c r="H275" s="47" t="s">
        <v>41</v>
      </c>
      <c r="I275" s="129"/>
      <c r="J275" s="155"/>
      <c r="K275" s="155"/>
      <c r="L275" s="155"/>
      <c r="M275" s="155"/>
      <c r="N275" s="155"/>
      <c r="O275" s="155"/>
    </row>
    <row r="276" spans="1:15" ht="231">
      <c r="A276" s="77"/>
      <c r="B276" s="50" t="s">
        <v>500</v>
      </c>
      <c r="C276" s="45" t="s">
        <v>6919</v>
      </c>
      <c r="D276" s="45" t="s">
        <v>505</v>
      </c>
      <c r="E276" s="78" t="s">
        <v>6622</v>
      </c>
      <c r="F276" s="48" t="s">
        <v>6920</v>
      </c>
      <c r="G276" s="46" t="s">
        <v>6921</v>
      </c>
      <c r="H276" s="47" t="s">
        <v>41</v>
      </c>
      <c r="I276" s="129"/>
      <c r="J276" s="155"/>
      <c r="K276" s="155"/>
      <c r="L276" s="155"/>
      <c r="M276" s="155"/>
      <c r="N276" s="155"/>
      <c r="O276" s="155"/>
    </row>
    <row r="277" spans="1:15" ht="247.5">
      <c r="A277" s="77"/>
      <c r="B277" s="50" t="s">
        <v>500</v>
      </c>
      <c r="C277" s="45" t="s">
        <v>6922</v>
      </c>
      <c r="D277" s="45" t="s">
        <v>6923</v>
      </c>
      <c r="E277" s="78" t="s">
        <v>6692</v>
      </c>
      <c r="F277" s="45" t="s">
        <v>6924</v>
      </c>
      <c r="G277" s="46" t="s">
        <v>6925</v>
      </c>
      <c r="H277" s="47" t="s">
        <v>41</v>
      </c>
      <c r="I277" s="129" t="s">
        <v>31</v>
      </c>
      <c r="J277" s="155"/>
      <c r="K277" s="155"/>
      <c r="L277" s="155"/>
      <c r="M277" s="155"/>
      <c r="N277" s="155"/>
      <c r="O277" s="155"/>
    </row>
    <row r="278" spans="1:15" ht="247.5">
      <c r="A278" s="77"/>
      <c r="B278" s="50" t="s">
        <v>500</v>
      </c>
      <c r="C278" s="45" t="s">
        <v>6926</v>
      </c>
      <c r="D278" s="45" t="s">
        <v>6927</v>
      </c>
      <c r="E278" s="78" t="s">
        <v>6692</v>
      </c>
      <c r="F278" s="45" t="s">
        <v>6928</v>
      </c>
      <c r="G278" s="46" t="s">
        <v>6929</v>
      </c>
      <c r="H278" s="47" t="s">
        <v>41</v>
      </c>
      <c r="I278" s="129"/>
      <c r="J278" s="155"/>
      <c r="K278" s="155"/>
      <c r="L278" s="155"/>
      <c r="M278" s="155"/>
      <c r="N278" s="155"/>
      <c r="O278" s="155"/>
    </row>
    <row r="279" spans="1:15" ht="247.5">
      <c r="A279" s="77"/>
      <c r="B279" s="50" t="s">
        <v>500</v>
      </c>
      <c r="C279" s="45" t="s">
        <v>6930</v>
      </c>
      <c r="D279" s="45" t="s">
        <v>6931</v>
      </c>
      <c r="E279" s="78" t="s">
        <v>6692</v>
      </c>
      <c r="F279" s="45" t="s">
        <v>6932</v>
      </c>
      <c r="G279" s="60" t="s">
        <v>6933</v>
      </c>
      <c r="H279" s="47" t="s">
        <v>41</v>
      </c>
      <c r="I279" s="137"/>
      <c r="J279" s="155"/>
      <c r="K279" s="155"/>
      <c r="L279" s="155"/>
      <c r="M279" s="155"/>
      <c r="N279" s="155"/>
      <c r="O279" s="155"/>
    </row>
    <row r="280" spans="1:15" ht="247.5">
      <c r="A280" s="77"/>
      <c r="B280" s="50" t="s">
        <v>500</v>
      </c>
      <c r="C280" s="45" t="s">
        <v>6934</v>
      </c>
      <c r="D280" s="45" t="s">
        <v>6935</v>
      </c>
      <c r="E280" s="78" t="s">
        <v>6692</v>
      </c>
      <c r="F280" s="45" t="s">
        <v>6936</v>
      </c>
      <c r="G280" s="46" t="s">
        <v>6937</v>
      </c>
      <c r="H280" s="47" t="s">
        <v>41</v>
      </c>
      <c r="I280" s="129"/>
      <c r="J280" s="155"/>
      <c r="K280" s="155"/>
      <c r="L280" s="155"/>
      <c r="M280" s="155"/>
      <c r="N280" s="155"/>
      <c r="O280" s="155"/>
    </row>
    <row r="281" spans="1:15" ht="247.5">
      <c r="A281" s="77"/>
      <c r="B281" s="50" t="s">
        <v>500</v>
      </c>
      <c r="C281" s="45" t="s">
        <v>6938</v>
      </c>
      <c r="D281" s="45" t="s">
        <v>6939</v>
      </c>
      <c r="E281" s="78" t="s">
        <v>6692</v>
      </c>
      <c r="F281" s="45" t="s">
        <v>6940</v>
      </c>
      <c r="G281" s="46" t="s">
        <v>6941</v>
      </c>
      <c r="H281" s="47" t="s">
        <v>24</v>
      </c>
      <c r="I281" s="118"/>
      <c r="J281" s="155"/>
      <c r="K281" s="155"/>
      <c r="L281" s="155"/>
      <c r="M281" s="155"/>
      <c r="N281" s="155"/>
      <c r="O281" s="155"/>
    </row>
    <row r="282" spans="1:15" ht="247.5">
      <c r="A282" s="77"/>
      <c r="B282" s="50" t="s">
        <v>500</v>
      </c>
      <c r="C282" s="45" t="s">
        <v>6942</v>
      </c>
      <c r="D282" s="45" t="s">
        <v>6943</v>
      </c>
      <c r="E282" s="78" t="s">
        <v>6692</v>
      </c>
      <c r="F282" s="45" t="s">
        <v>6944</v>
      </c>
      <c r="G282" s="46" t="s">
        <v>6945</v>
      </c>
      <c r="H282" s="47" t="s">
        <v>41</v>
      </c>
      <c r="I282" s="118"/>
      <c r="J282" s="155"/>
      <c r="K282" s="155"/>
      <c r="L282" s="155"/>
      <c r="M282" s="155"/>
      <c r="N282" s="155"/>
      <c r="O282" s="155"/>
    </row>
    <row r="283" spans="1:15" ht="247.5">
      <c r="A283" s="77"/>
      <c r="B283" s="50" t="s">
        <v>500</v>
      </c>
      <c r="C283" s="45" t="s">
        <v>6946</v>
      </c>
      <c r="D283" s="45" t="s">
        <v>6947</v>
      </c>
      <c r="E283" s="78" t="s">
        <v>6692</v>
      </c>
      <c r="F283" s="45" t="s">
        <v>6948</v>
      </c>
      <c r="G283" s="46" t="s">
        <v>6949</v>
      </c>
      <c r="H283" s="47" t="s">
        <v>24</v>
      </c>
      <c r="I283" s="129" t="s">
        <v>31</v>
      </c>
      <c r="J283" s="155"/>
      <c r="K283" s="155"/>
      <c r="L283" s="155"/>
      <c r="M283" s="155"/>
      <c r="N283" s="155"/>
      <c r="O283" s="155"/>
    </row>
    <row r="284" spans="1:15" ht="247.5">
      <c r="A284" s="77"/>
      <c r="B284" s="50" t="s">
        <v>500</v>
      </c>
      <c r="C284" s="45" t="s">
        <v>6950</v>
      </c>
      <c r="D284" s="45" t="s">
        <v>511</v>
      </c>
      <c r="E284" s="78" t="s">
        <v>6692</v>
      </c>
      <c r="F284" s="45" t="s">
        <v>6951</v>
      </c>
      <c r="G284" s="46" t="s">
        <v>6952</v>
      </c>
      <c r="H284" s="47" t="s">
        <v>24</v>
      </c>
      <c r="I284" s="129" t="s">
        <v>31</v>
      </c>
      <c r="J284" s="155"/>
      <c r="K284" s="155"/>
      <c r="L284" s="155"/>
      <c r="M284" s="155"/>
      <c r="N284" s="155"/>
      <c r="O284" s="155"/>
    </row>
    <row r="285" spans="1:15" ht="280.5">
      <c r="A285" s="77"/>
      <c r="B285" s="50" t="s">
        <v>500</v>
      </c>
      <c r="C285" s="45" t="s">
        <v>6953</v>
      </c>
      <c r="D285" s="53" t="s">
        <v>6954</v>
      </c>
      <c r="E285" s="78" t="s">
        <v>6622</v>
      </c>
      <c r="F285" s="45" t="s">
        <v>6955</v>
      </c>
      <c r="G285" s="46" t="s">
        <v>6956</v>
      </c>
      <c r="H285" s="47" t="s">
        <v>36</v>
      </c>
      <c r="I285" s="129" t="s">
        <v>31</v>
      </c>
      <c r="J285" s="155"/>
      <c r="K285" s="155"/>
      <c r="L285" s="155"/>
      <c r="M285" s="155"/>
      <c r="N285" s="155"/>
      <c r="O285" s="155"/>
    </row>
    <row r="286" spans="1:15" ht="280.5">
      <c r="A286" s="77"/>
      <c r="B286" s="50" t="s">
        <v>500</v>
      </c>
      <c r="C286" s="45" t="s">
        <v>6957</v>
      </c>
      <c r="D286" s="45" t="s">
        <v>6958</v>
      </c>
      <c r="E286" s="73" t="s">
        <v>6622</v>
      </c>
      <c r="F286" s="53" t="s">
        <v>6959</v>
      </c>
      <c r="G286" s="46" t="s">
        <v>6960</v>
      </c>
      <c r="H286" s="47" t="s">
        <v>62</v>
      </c>
      <c r="I286" s="129" t="s">
        <v>31</v>
      </c>
      <c r="J286" s="155"/>
      <c r="K286" s="155"/>
      <c r="L286" s="155"/>
      <c r="M286" s="155"/>
      <c r="N286" s="155"/>
      <c r="O286" s="155"/>
    </row>
    <row r="287" spans="1:15" ht="280.5">
      <c r="A287" s="77"/>
      <c r="B287" s="50" t="s">
        <v>500</v>
      </c>
      <c r="C287" s="45" t="s">
        <v>6961</v>
      </c>
      <c r="D287" s="45" t="s">
        <v>514</v>
      </c>
      <c r="E287" s="73" t="s">
        <v>6622</v>
      </c>
      <c r="F287" s="53" t="s">
        <v>6962</v>
      </c>
      <c r="G287" s="46" t="s">
        <v>6963</v>
      </c>
      <c r="H287" s="47" t="s">
        <v>41</v>
      </c>
      <c r="I287" s="129"/>
      <c r="J287" s="155"/>
      <c r="K287" s="155"/>
      <c r="L287" s="155"/>
      <c r="M287" s="155"/>
      <c r="N287" s="155"/>
      <c r="O287" s="155"/>
    </row>
    <row r="288" spans="1:15" ht="280.5">
      <c r="A288" s="77"/>
      <c r="B288" s="50" t="s">
        <v>500</v>
      </c>
      <c r="C288" s="45" t="s">
        <v>6964</v>
      </c>
      <c r="D288" s="45" t="s">
        <v>517</v>
      </c>
      <c r="E288" s="73" t="s">
        <v>6622</v>
      </c>
      <c r="F288" s="53" t="s">
        <v>6965</v>
      </c>
      <c r="G288" s="46" t="s">
        <v>519</v>
      </c>
      <c r="H288" s="47" t="s">
        <v>24</v>
      </c>
      <c r="I288" s="129"/>
      <c r="J288" s="155"/>
      <c r="K288" s="155"/>
      <c r="L288" s="155"/>
      <c r="M288" s="155"/>
      <c r="N288" s="155"/>
      <c r="O288" s="155"/>
    </row>
    <row r="289" spans="1:15" ht="247.5">
      <c r="A289" s="77"/>
      <c r="B289" s="50" t="s">
        <v>500</v>
      </c>
      <c r="C289" s="45" t="s">
        <v>6966</v>
      </c>
      <c r="D289" s="45" t="s">
        <v>6967</v>
      </c>
      <c r="E289" s="73" t="s">
        <v>6622</v>
      </c>
      <c r="F289" s="53" t="s">
        <v>6968</v>
      </c>
      <c r="G289" s="46" t="s">
        <v>523</v>
      </c>
      <c r="H289" s="47" t="s">
        <v>24</v>
      </c>
      <c r="I289" s="129"/>
      <c r="J289" s="155"/>
      <c r="K289" s="155"/>
      <c r="L289" s="155"/>
      <c r="M289" s="155"/>
      <c r="N289" s="155"/>
      <c r="O289" s="155"/>
    </row>
    <row r="290" spans="1:15" ht="280.5">
      <c r="A290" s="77"/>
      <c r="B290" s="50" t="s">
        <v>500</v>
      </c>
      <c r="C290" s="45" t="s">
        <v>6969</v>
      </c>
      <c r="D290" s="53" t="s">
        <v>6970</v>
      </c>
      <c r="E290" s="73" t="s">
        <v>6622</v>
      </c>
      <c r="F290" s="53" t="s">
        <v>6971</v>
      </c>
      <c r="G290" s="46" t="s">
        <v>6972</v>
      </c>
      <c r="H290" s="47" t="s">
        <v>24</v>
      </c>
      <c r="I290" s="129"/>
      <c r="J290" s="155"/>
      <c r="K290" s="155"/>
      <c r="L290" s="155"/>
      <c r="M290" s="155"/>
      <c r="N290" s="155"/>
      <c r="O290" s="155"/>
    </row>
    <row r="291" spans="1:15" ht="280.5">
      <c r="A291" s="77"/>
      <c r="B291" s="50" t="s">
        <v>500</v>
      </c>
      <c r="C291" s="45" t="s">
        <v>6973</v>
      </c>
      <c r="D291" s="45" t="s">
        <v>521</v>
      </c>
      <c r="E291" s="73" t="s">
        <v>6622</v>
      </c>
      <c r="F291" s="53" t="s">
        <v>6974</v>
      </c>
      <c r="G291" s="46" t="s">
        <v>523</v>
      </c>
      <c r="H291" s="47" t="s">
        <v>24</v>
      </c>
      <c r="I291" s="129"/>
      <c r="J291" s="155"/>
      <c r="K291" s="155"/>
      <c r="L291" s="155"/>
      <c r="M291" s="155"/>
      <c r="N291" s="155"/>
      <c r="O291" s="155"/>
    </row>
    <row r="292" spans="1:15" ht="280.5">
      <c r="A292" s="77"/>
      <c r="B292" s="50" t="s">
        <v>500</v>
      </c>
      <c r="C292" s="53" t="s">
        <v>6975</v>
      </c>
      <c r="D292" s="45" t="s">
        <v>525</v>
      </c>
      <c r="E292" s="73" t="s">
        <v>6622</v>
      </c>
      <c r="F292" s="53" t="s">
        <v>6976</v>
      </c>
      <c r="G292" s="46" t="s">
        <v>6977</v>
      </c>
      <c r="H292" s="47" t="s">
        <v>24</v>
      </c>
      <c r="I292" s="129"/>
      <c r="J292" s="155"/>
      <c r="K292" s="155"/>
      <c r="L292" s="155"/>
      <c r="M292" s="155"/>
      <c r="N292" s="155"/>
      <c r="O292" s="155"/>
    </row>
    <row r="293" spans="1:15" ht="280.5">
      <c r="A293" s="77"/>
      <c r="B293" s="50" t="s">
        <v>500</v>
      </c>
      <c r="C293" s="45" t="s">
        <v>6978</v>
      </c>
      <c r="D293" s="45" t="s">
        <v>529</v>
      </c>
      <c r="E293" s="73" t="s">
        <v>6622</v>
      </c>
      <c r="F293" s="53" t="s">
        <v>6979</v>
      </c>
      <c r="G293" s="46" t="s">
        <v>6980</v>
      </c>
      <c r="H293" s="47" t="s">
        <v>41</v>
      </c>
      <c r="I293" s="129"/>
      <c r="J293" s="155"/>
      <c r="K293" s="155"/>
      <c r="L293" s="155"/>
      <c r="M293" s="155"/>
      <c r="N293" s="155"/>
      <c r="O293" s="155"/>
    </row>
    <row r="294" spans="1:15" ht="198">
      <c r="A294" s="77"/>
      <c r="B294" s="50" t="s">
        <v>500</v>
      </c>
      <c r="C294" s="45" t="s">
        <v>6981</v>
      </c>
      <c r="D294" s="45" t="s">
        <v>532</v>
      </c>
      <c r="E294" s="73" t="s">
        <v>6622</v>
      </c>
      <c r="F294" s="53" t="s">
        <v>6982</v>
      </c>
      <c r="G294" s="46" t="s">
        <v>6983</v>
      </c>
      <c r="H294" s="47" t="s">
        <v>41</v>
      </c>
      <c r="I294" s="129"/>
      <c r="J294" s="155"/>
      <c r="K294" s="155"/>
      <c r="L294" s="155"/>
      <c r="M294" s="155"/>
      <c r="N294" s="155"/>
      <c r="O294" s="155"/>
    </row>
    <row r="295" spans="1:15" ht="165">
      <c r="A295" s="77"/>
      <c r="B295" s="50" t="s">
        <v>500</v>
      </c>
      <c r="C295" s="45" t="s">
        <v>6984</v>
      </c>
      <c r="D295" s="45" t="s">
        <v>536</v>
      </c>
      <c r="E295" s="78" t="s">
        <v>6692</v>
      </c>
      <c r="F295" s="45" t="s">
        <v>6985</v>
      </c>
      <c r="G295" s="46" t="s">
        <v>6986</v>
      </c>
      <c r="H295" s="47" t="s">
        <v>41</v>
      </c>
      <c r="I295" s="118"/>
      <c r="J295" s="155"/>
      <c r="K295" s="155"/>
      <c r="L295" s="155"/>
      <c r="M295" s="155"/>
      <c r="N295" s="155"/>
      <c r="O295" s="155"/>
    </row>
    <row r="296" spans="1:15" ht="264">
      <c r="A296" s="121"/>
      <c r="B296" s="143" t="s">
        <v>500</v>
      </c>
      <c r="C296" s="57" t="s">
        <v>6987</v>
      </c>
      <c r="D296" s="57" t="s">
        <v>539</v>
      </c>
      <c r="E296" s="144" t="s">
        <v>6692</v>
      </c>
      <c r="F296" s="57" t="s">
        <v>6988</v>
      </c>
      <c r="G296" s="145" t="s">
        <v>6989</v>
      </c>
      <c r="H296" s="52" t="s">
        <v>41</v>
      </c>
      <c r="I296" s="132"/>
      <c r="J296" s="155"/>
      <c r="K296" s="155"/>
      <c r="L296" s="155"/>
      <c r="M296" s="155"/>
      <c r="N296" s="155"/>
      <c r="O296" s="155"/>
    </row>
    <row r="297" spans="1:15" ht="297">
      <c r="A297" s="77"/>
      <c r="B297" s="50" t="s">
        <v>500</v>
      </c>
      <c r="C297" s="45" t="s">
        <v>6990</v>
      </c>
      <c r="D297" s="45" t="s">
        <v>6991</v>
      </c>
      <c r="E297" s="78" t="s">
        <v>6692</v>
      </c>
      <c r="F297" s="45" t="s">
        <v>6992</v>
      </c>
      <c r="G297" s="46" t="s">
        <v>6993</v>
      </c>
      <c r="H297" s="47" t="s">
        <v>41</v>
      </c>
      <c r="I297" s="118"/>
      <c r="J297" s="155"/>
      <c r="K297" s="155"/>
      <c r="L297" s="155"/>
      <c r="M297" s="155"/>
      <c r="N297" s="155"/>
      <c r="O297" s="155"/>
    </row>
    <row r="298" spans="1:15" ht="198">
      <c r="A298" s="77"/>
      <c r="B298" s="50" t="s">
        <v>500</v>
      </c>
      <c r="C298" s="45" t="s">
        <v>6994</v>
      </c>
      <c r="D298" s="45" t="s">
        <v>540</v>
      </c>
      <c r="E298" s="78" t="s">
        <v>6995</v>
      </c>
      <c r="F298" s="53" t="s">
        <v>6996</v>
      </c>
      <c r="G298" s="46" t="s">
        <v>6997</v>
      </c>
      <c r="H298" s="47" t="s">
        <v>41</v>
      </c>
      <c r="I298" s="118"/>
      <c r="J298" s="155"/>
      <c r="K298" s="155"/>
      <c r="L298" s="155"/>
      <c r="M298" s="155"/>
      <c r="N298" s="155"/>
      <c r="O298" s="155"/>
    </row>
    <row r="299" spans="1:15" ht="198">
      <c r="A299" s="77"/>
      <c r="B299" s="50" t="s">
        <v>500</v>
      </c>
      <c r="C299" s="45" t="s">
        <v>6998</v>
      </c>
      <c r="D299" s="45" t="s">
        <v>6999</v>
      </c>
      <c r="E299" s="78" t="s">
        <v>6995</v>
      </c>
      <c r="F299" s="45" t="s">
        <v>7000</v>
      </c>
      <c r="G299" s="46" t="s">
        <v>7001</v>
      </c>
      <c r="H299" s="47" t="s">
        <v>41</v>
      </c>
      <c r="I299" s="118"/>
      <c r="J299" s="155"/>
      <c r="K299" s="155"/>
      <c r="L299" s="155"/>
      <c r="M299" s="155"/>
      <c r="N299" s="155"/>
      <c r="O299" s="155"/>
    </row>
    <row r="300" spans="1:15" ht="181.5">
      <c r="A300" s="77"/>
      <c r="B300" s="50" t="s">
        <v>500</v>
      </c>
      <c r="C300" s="45" t="s">
        <v>7002</v>
      </c>
      <c r="D300" s="45" t="s">
        <v>543</v>
      </c>
      <c r="E300" s="78" t="s">
        <v>7003</v>
      </c>
      <c r="F300" s="45" t="s">
        <v>7004</v>
      </c>
      <c r="G300" s="46" t="s">
        <v>7005</v>
      </c>
      <c r="H300" s="47" t="s">
        <v>184</v>
      </c>
      <c r="I300" s="118"/>
      <c r="J300" s="155"/>
      <c r="K300" s="155"/>
      <c r="L300" s="155"/>
      <c r="M300" s="155"/>
      <c r="N300" s="155"/>
      <c r="O300" s="155"/>
    </row>
    <row r="301" spans="1:15" ht="198">
      <c r="A301" s="77"/>
      <c r="B301" s="50" t="s">
        <v>500</v>
      </c>
      <c r="C301" s="45" t="s">
        <v>7006</v>
      </c>
      <c r="D301" s="45" t="s">
        <v>7007</v>
      </c>
      <c r="E301" s="78" t="s">
        <v>7003</v>
      </c>
      <c r="F301" s="45" t="s">
        <v>7008</v>
      </c>
      <c r="G301" s="46" t="s">
        <v>7009</v>
      </c>
      <c r="H301" s="47" t="s">
        <v>117</v>
      </c>
      <c r="I301" s="118"/>
      <c r="J301" s="155"/>
      <c r="K301" s="155"/>
      <c r="L301" s="155"/>
      <c r="M301" s="155"/>
      <c r="N301" s="155"/>
      <c r="O301" s="155"/>
    </row>
    <row r="302" spans="1:15" ht="214.5">
      <c r="A302" s="77"/>
      <c r="B302" s="50" t="s">
        <v>500</v>
      </c>
      <c r="C302" s="45" t="s">
        <v>7010</v>
      </c>
      <c r="D302" s="45" t="s">
        <v>7011</v>
      </c>
      <c r="E302" s="78" t="s">
        <v>6622</v>
      </c>
      <c r="F302" s="45" t="s">
        <v>7012</v>
      </c>
      <c r="G302" s="46" t="s">
        <v>7013</v>
      </c>
      <c r="H302" s="47" t="s">
        <v>86</v>
      </c>
      <c r="I302" s="129" t="s">
        <v>31</v>
      </c>
      <c r="J302" s="155"/>
      <c r="K302" s="155"/>
      <c r="L302" s="155"/>
      <c r="M302" s="155"/>
      <c r="N302" s="155"/>
      <c r="O302" s="155"/>
    </row>
    <row r="303" spans="1:15" ht="247.5">
      <c r="A303" s="77"/>
      <c r="B303" s="50" t="s">
        <v>500</v>
      </c>
      <c r="C303" s="45" t="s">
        <v>7014</v>
      </c>
      <c r="D303" s="45" t="s">
        <v>7015</v>
      </c>
      <c r="E303" s="78" t="s">
        <v>6622</v>
      </c>
      <c r="F303" s="45" t="s">
        <v>7016</v>
      </c>
      <c r="G303" s="46" t="s">
        <v>7017</v>
      </c>
      <c r="H303" s="47" t="s">
        <v>36</v>
      </c>
      <c r="I303" s="129" t="s">
        <v>31</v>
      </c>
      <c r="J303" s="155"/>
      <c r="K303" s="155"/>
      <c r="L303" s="155"/>
      <c r="M303" s="155"/>
      <c r="N303" s="155"/>
      <c r="O303" s="155"/>
    </row>
    <row r="304" spans="1:15" ht="330">
      <c r="A304" s="77"/>
      <c r="B304" s="50" t="s">
        <v>500</v>
      </c>
      <c r="C304" s="45" t="s">
        <v>7018</v>
      </c>
      <c r="D304" s="45" t="s">
        <v>7019</v>
      </c>
      <c r="E304" s="78" t="s">
        <v>6622</v>
      </c>
      <c r="F304" s="45" t="s">
        <v>7020</v>
      </c>
      <c r="G304" s="46" t="s">
        <v>7021</v>
      </c>
      <c r="H304" s="47" t="s">
        <v>41</v>
      </c>
      <c r="I304" s="129" t="s">
        <v>31</v>
      </c>
      <c r="J304" s="155"/>
      <c r="K304" s="155"/>
      <c r="L304" s="155"/>
      <c r="M304" s="155"/>
      <c r="N304" s="155"/>
      <c r="O304" s="155"/>
    </row>
    <row r="305" spans="1:15" ht="330">
      <c r="A305" s="77"/>
      <c r="B305" s="50" t="s">
        <v>500</v>
      </c>
      <c r="C305" s="45" t="s">
        <v>7022</v>
      </c>
      <c r="D305" s="45" t="s">
        <v>7023</v>
      </c>
      <c r="E305" s="78" t="s">
        <v>6622</v>
      </c>
      <c r="F305" s="45" t="s">
        <v>7024</v>
      </c>
      <c r="G305" s="46" t="s">
        <v>7025</v>
      </c>
      <c r="H305" s="47" t="s">
        <v>41</v>
      </c>
      <c r="I305" s="129"/>
      <c r="J305" s="155"/>
      <c r="K305" s="155"/>
      <c r="L305" s="155"/>
      <c r="M305" s="155"/>
      <c r="N305" s="155"/>
      <c r="O305" s="155"/>
    </row>
    <row r="306" spans="1:15" ht="313.5">
      <c r="A306" s="77"/>
      <c r="B306" s="50" t="s">
        <v>500</v>
      </c>
      <c r="C306" s="45" t="s">
        <v>7026</v>
      </c>
      <c r="D306" s="45" t="s">
        <v>7027</v>
      </c>
      <c r="E306" s="78" t="s">
        <v>6622</v>
      </c>
      <c r="F306" s="45" t="s">
        <v>7028</v>
      </c>
      <c r="G306" s="46" t="s">
        <v>7029</v>
      </c>
      <c r="H306" s="47" t="s">
        <v>41</v>
      </c>
      <c r="I306" s="129"/>
      <c r="J306" s="155"/>
      <c r="K306" s="155"/>
      <c r="L306" s="155"/>
      <c r="M306" s="155"/>
      <c r="N306" s="155"/>
      <c r="O306" s="155"/>
    </row>
    <row r="307" spans="1:15" ht="313.5">
      <c r="A307" s="77"/>
      <c r="B307" s="50" t="s">
        <v>500</v>
      </c>
      <c r="C307" s="45" t="s">
        <v>7030</v>
      </c>
      <c r="D307" s="45" t="s">
        <v>7031</v>
      </c>
      <c r="E307" s="78" t="s">
        <v>6622</v>
      </c>
      <c r="F307" s="45" t="s">
        <v>7032</v>
      </c>
      <c r="G307" s="46" t="s">
        <v>7033</v>
      </c>
      <c r="H307" s="47" t="s">
        <v>41</v>
      </c>
      <c r="I307" s="129"/>
      <c r="J307" s="155"/>
      <c r="K307" s="155"/>
      <c r="L307" s="155"/>
      <c r="M307" s="155"/>
      <c r="N307" s="155"/>
      <c r="O307" s="155"/>
    </row>
    <row r="308" spans="1:15" ht="313.5">
      <c r="A308" s="77"/>
      <c r="B308" s="50" t="s">
        <v>500</v>
      </c>
      <c r="C308" s="45" t="s">
        <v>7034</v>
      </c>
      <c r="D308" s="45" t="s">
        <v>7035</v>
      </c>
      <c r="E308" s="78" t="s">
        <v>6692</v>
      </c>
      <c r="F308" s="45" t="s">
        <v>7036</v>
      </c>
      <c r="G308" s="46" t="s">
        <v>7037</v>
      </c>
      <c r="H308" s="47" t="s">
        <v>184</v>
      </c>
      <c r="I308" s="129" t="s">
        <v>31</v>
      </c>
      <c r="J308" s="155"/>
      <c r="K308" s="155"/>
      <c r="L308" s="155"/>
      <c r="M308" s="155"/>
      <c r="N308" s="155"/>
      <c r="O308" s="155"/>
    </row>
    <row r="309" spans="1:15" ht="313.5">
      <c r="A309" s="77"/>
      <c r="B309" s="50" t="s">
        <v>500</v>
      </c>
      <c r="C309" s="45" t="s">
        <v>7038</v>
      </c>
      <c r="D309" s="45" t="s">
        <v>7035</v>
      </c>
      <c r="E309" s="78" t="s">
        <v>6692</v>
      </c>
      <c r="F309" s="45" t="s">
        <v>7039</v>
      </c>
      <c r="G309" s="46" t="s">
        <v>7040</v>
      </c>
      <c r="H309" s="47" t="s">
        <v>41</v>
      </c>
      <c r="I309" s="129"/>
      <c r="J309" s="155"/>
      <c r="K309" s="155"/>
      <c r="L309" s="155"/>
      <c r="M309" s="155"/>
      <c r="N309" s="155"/>
      <c r="O309" s="155"/>
    </row>
    <row r="310" spans="1:15" ht="313.5">
      <c r="A310" s="77"/>
      <c r="B310" s="50" t="s">
        <v>500</v>
      </c>
      <c r="C310" s="45" t="s">
        <v>7041</v>
      </c>
      <c r="D310" s="45" t="s">
        <v>7042</v>
      </c>
      <c r="E310" s="78" t="s">
        <v>6692</v>
      </c>
      <c r="F310" s="45" t="s">
        <v>7043</v>
      </c>
      <c r="G310" s="46" t="s">
        <v>7044</v>
      </c>
      <c r="H310" s="47" t="s">
        <v>41</v>
      </c>
      <c r="I310" s="129"/>
      <c r="J310" s="155"/>
      <c r="K310" s="155"/>
      <c r="L310" s="155"/>
      <c r="M310" s="155"/>
      <c r="N310" s="155"/>
      <c r="O310" s="155"/>
    </row>
    <row r="311" spans="1:15" ht="313.5">
      <c r="A311" s="77"/>
      <c r="B311" s="50" t="s">
        <v>500</v>
      </c>
      <c r="C311" s="45" t="s">
        <v>7045</v>
      </c>
      <c r="D311" s="45" t="s">
        <v>7046</v>
      </c>
      <c r="E311" s="78" t="s">
        <v>6692</v>
      </c>
      <c r="F311" s="45" t="s">
        <v>7047</v>
      </c>
      <c r="G311" s="46" t="s">
        <v>7048</v>
      </c>
      <c r="H311" s="47" t="s">
        <v>41</v>
      </c>
      <c r="I311" s="129"/>
      <c r="J311" s="155"/>
      <c r="K311" s="155"/>
      <c r="L311" s="155"/>
      <c r="M311" s="155"/>
      <c r="N311" s="155"/>
      <c r="O311" s="155"/>
    </row>
    <row r="312" spans="1:15" ht="313.5">
      <c r="A312" s="77"/>
      <c r="B312" s="50" t="s">
        <v>500</v>
      </c>
      <c r="C312" s="45" t="s">
        <v>7049</v>
      </c>
      <c r="D312" s="45" t="s">
        <v>7050</v>
      </c>
      <c r="E312" s="78" t="s">
        <v>6692</v>
      </c>
      <c r="F312" s="45" t="s">
        <v>7051</v>
      </c>
      <c r="G312" s="46" t="s">
        <v>7052</v>
      </c>
      <c r="H312" s="47" t="s">
        <v>184</v>
      </c>
      <c r="I312" s="129" t="s">
        <v>31</v>
      </c>
      <c r="J312" s="155"/>
      <c r="K312" s="155"/>
      <c r="L312" s="155"/>
      <c r="M312" s="155"/>
      <c r="N312" s="155"/>
      <c r="O312" s="155"/>
    </row>
    <row r="313" spans="1:15" ht="313.5">
      <c r="A313" s="77"/>
      <c r="B313" s="50" t="s">
        <v>500</v>
      </c>
      <c r="C313" s="45" t="s">
        <v>7053</v>
      </c>
      <c r="D313" s="45" t="s">
        <v>7054</v>
      </c>
      <c r="E313" s="78" t="s">
        <v>6692</v>
      </c>
      <c r="F313" s="45" t="s">
        <v>7055</v>
      </c>
      <c r="G313" s="46" t="s">
        <v>7040</v>
      </c>
      <c r="H313" s="47" t="s">
        <v>30</v>
      </c>
      <c r="I313" s="129"/>
      <c r="J313" s="155"/>
      <c r="K313" s="155"/>
      <c r="L313" s="155"/>
      <c r="M313" s="155"/>
      <c r="N313" s="155"/>
      <c r="O313" s="155"/>
    </row>
    <row r="314" spans="1:15" ht="313.5">
      <c r="A314" s="77"/>
      <c r="B314" s="50" t="s">
        <v>500</v>
      </c>
      <c r="C314" s="45" t="s">
        <v>7056</v>
      </c>
      <c r="D314" s="45" t="s">
        <v>7057</v>
      </c>
      <c r="E314" s="78" t="s">
        <v>6692</v>
      </c>
      <c r="F314" s="45" t="s">
        <v>7058</v>
      </c>
      <c r="G314" s="46" t="s">
        <v>7044</v>
      </c>
      <c r="H314" s="47" t="s">
        <v>41</v>
      </c>
      <c r="I314" s="129"/>
      <c r="J314" s="155"/>
      <c r="K314" s="155"/>
      <c r="L314" s="155"/>
      <c r="M314" s="155"/>
      <c r="N314" s="155"/>
      <c r="O314" s="155"/>
    </row>
    <row r="315" spans="1:15" ht="313.5">
      <c r="A315" s="77"/>
      <c r="B315" s="50" t="s">
        <v>500</v>
      </c>
      <c r="C315" s="45" t="s">
        <v>7059</v>
      </c>
      <c r="D315" s="45" t="s">
        <v>7060</v>
      </c>
      <c r="E315" s="78" t="s">
        <v>6692</v>
      </c>
      <c r="F315" s="45" t="s">
        <v>7061</v>
      </c>
      <c r="G315" s="46" t="s">
        <v>7048</v>
      </c>
      <c r="H315" s="47" t="s">
        <v>41</v>
      </c>
      <c r="I315" s="129"/>
      <c r="J315" s="155"/>
      <c r="K315" s="155"/>
      <c r="L315" s="155"/>
      <c r="M315" s="155"/>
      <c r="N315" s="155"/>
      <c r="O315" s="155"/>
    </row>
    <row r="316" spans="1:15" ht="313.5">
      <c r="A316" s="77"/>
      <c r="B316" s="50" t="s">
        <v>500</v>
      </c>
      <c r="C316" s="45" t="s">
        <v>7062</v>
      </c>
      <c r="D316" s="45" t="s">
        <v>7063</v>
      </c>
      <c r="E316" s="78" t="s">
        <v>6692</v>
      </c>
      <c r="F316" s="45" t="s">
        <v>7064</v>
      </c>
      <c r="G316" s="46" t="s">
        <v>7052</v>
      </c>
      <c r="H316" s="47" t="s">
        <v>41</v>
      </c>
      <c r="I316" s="129"/>
      <c r="J316" s="155"/>
      <c r="K316" s="155"/>
      <c r="L316" s="155"/>
      <c r="M316" s="155"/>
      <c r="N316" s="155"/>
      <c r="O316" s="155"/>
    </row>
    <row r="317" spans="1:15" ht="313.5">
      <c r="A317" s="77"/>
      <c r="B317" s="50" t="s">
        <v>500</v>
      </c>
      <c r="C317" s="45" t="s">
        <v>7065</v>
      </c>
      <c r="D317" s="45" t="s">
        <v>7066</v>
      </c>
      <c r="E317" s="78" t="s">
        <v>6692</v>
      </c>
      <c r="F317" s="45" t="s">
        <v>7067</v>
      </c>
      <c r="G317" s="46" t="s">
        <v>7040</v>
      </c>
      <c r="H317" s="47" t="s">
        <v>30</v>
      </c>
      <c r="I317" s="129"/>
      <c r="J317" s="155"/>
      <c r="K317" s="155"/>
      <c r="L317" s="155"/>
      <c r="M317" s="155"/>
      <c r="N317" s="155"/>
      <c r="O317" s="155"/>
    </row>
    <row r="318" spans="1:15" ht="313.5">
      <c r="A318" s="77"/>
      <c r="B318" s="50" t="s">
        <v>500</v>
      </c>
      <c r="C318" s="45" t="s">
        <v>7068</v>
      </c>
      <c r="D318" s="45" t="s">
        <v>7069</v>
      </c>
      <c r="E318" s="78" t="s">
        <v>6692</v>
      </c>
      <c r="F318" s="45" t="s">
        <v>7070</v>
      </c>
      <c r="G318" s="46" t="s">
        <v>7044</v>
      </c>
      <c r="H318" s="47" t="s">
        <v>41</v>
      </c>
      <c r="I318" s="129"/>
      <c r="J318" s="155"/>
      <c r="K318" s="155"/>
      <c r="L318" s="155"/>
      <c r="M318" s="155"/>
      <c r="N318" s="155"/>
      <c r="O318" s="155"/>
    </row>
    <row r="319" spans="1:15" ht="313.5">
      <c r="A319" s="77"/>
      <c r="B319" s="50" t="s">
        <v>500</v>
      </c>
      <c r="C319" s="45" t="s">
        <v>7071</v>
      </c>
      <c r="D319" s="45" t="s">
        <v>7072</v>
      </c>
      <c r="E319" s="78" t="s">
        <v>6692</v>
      </c>
      <c r="F319" s="45" t="s">
        <v>7073</v>
      </c>
      <c r="G319" s="60" t="s">
        <v>7074</v>
      </c>
      <c r="H319" s="47" t="s">
        <v>41</v>
      </c>
      <c r="I319" s="129"/>
      <c r="J319" s="155"/>
      <c r="K319" s="155"/>
      <c r="L319" s="155"/>
      <c r="M319" s="155"/>
      <c r="N319" s="155"/>
      <c r="O319" s="155"/>
    </row>
    <row r="320" spans="1:15" ht="297">
      <c r="A320" s="77"/>
      <c r="B320" s="50" t="s">
        <v>500</v>
      </c>
      <c r="C320" s="45" t="s">
        <v>7075</v>
      </c>
      <c r="D320" s="53" t="s">
        <v>7076</v>
      </c>
      <c r="E320" s="73" t="s">
        <v>6622</v>
      </c>
      <c r="F320" s="53" t="s">
        <v>7077</v>
      </c>
      <c r="G320" s="46" t="s">
        <v>7078</v>
      </c>
      <c r="H320" s="47" t="s">
        <v>41</v>
      </c>
      <c r="I320" s="129"/>
      <c r="J320" s="155"/>
      <c r="K320" s="155"/>
      <c r="L320" s="155"/>
      <c r="M320" s="155"/>
      <c r="N320" s="155"/>
      <c r="O320" s="155"/>
    </row>
    <row r="321" spans="1:15" ht="297">
      <c r="A321" s="77"/>
      <c r="B321" s="50" t="s">
        <v>500</v>
      </c>
      <c r="C321" s="45" t="s">
        <v>7079</v>
      </c>
      <c r="D321" s="53" t="s">
        <v>7080</v>
      </c>
      <c r="E321" s="73" t="s">
        <v>6622</v>
      </c>
      <c r="F321" s="53" t="s">
        <v>7081</v>
      </c>
      <c r="G321" s="46" t="s">
        <v>7082</v>
      </c>
      <c r="H321" s="47" t="s">
        <v>41</v>
      </c>
      <c r="I321" s="129"/>
      <c r="J321" s="155"/>
      <c r="K321" s="155"/>
      <c r="L321" s="155"/>
      <c r="M321" s="155"/>
      <c r="N321" s="155"/>
      <c r="O321" s="155"/>
    </row>
    <row r="322" spans="1:15" ht="297">
      <c r="A322" s="77"/>
      <c r="B322" s="50" t="s">
        <v>500</v>
      </c>
      <c r="C322" s="45" t="s">
        <v>7083</v>
      </c>
      <c r="D322" s="53" t="s">
        <v>553</v>
      </c>
      <c r="E322" s="73" t="s">
        <v>6622</v>
      </c>
      <c r="F322" s="53" t="s">
        <v>7084</v>
      </c>
      <c r="G322" s="46" t="s">
        <v>7085</v>
      </c>
      <c r="H322" s="47" t="s">
        <v>41</v>
      </c>
      <c r="I322" s="129"/>
      <c r="J322" s="155"/>
      <c r="K322" s="155"/>
      <c r="L322" s="155"/>
      <c r="M322" s="155"/>
      <c r="N322" s="155"/>
      <c r="O322" s="155"/>
    </row>
    <row r="323" spans="1:15" ht="264">
      <c r="A323" s="77"/>
      <c r="B323" s="50" t="s">
        <v>500</v>
      </c>
      <c r="C323" s="45" t="s">
        <v>7086</v>
      </c>
      <c r="D323" s="45" t="s">
        <v>7087</v>
      </c>
      <c r="E323" s="78" t="s">
        <v>6692</v>
      </c>
      <c r="F323" s="45" t="s">
        <v>7088</v>
      </c>
      <c r="G323" s="46" t="s">
        <v>7089</v>
      </c>
      <c r="H323" s="47" t="s">
        <v>233</v>
      </c>
      <c r="I323" s="118"/>
      <c r="J323" s="155"/>
      <c r="K323" s="155"/>
      <c r="L323" s="155"/>
      <c r="M323" s="155"/>
      <c r="N323" s="155"/>
      <c r="O323" s="155"/>
    </row>
    <row r="324" spans="1:15" ht="280.5">
      <c r="A324" s="77"/>
      <c r="B324" s="50" t="s">
        <v>500</v>
      </c>
      <c r="C324" s="45" t="s">
        <v>7090</v>
      </c>
      <c r="D324" s="45" t="s">
        <v>7091</v>
      </c>
      <c r="E324" s="78" t="s">
        <v>6692</v>
      </c>
      <c r="F324" s="45" t="s">
        <v>7092</v>
      </c>
      <c r="G324" s="46" t="s">
        <v>7093</v>
      </c>
      <c r="H324" s="47" t="s">
        <v>24</v>
      </c>
      <c r="I324" s="118"/>
      <c r="J324" s="155"/>
      <c r="K324" s="155"/>
      <c r="L324" s="155"/>
      <c r="M324" s="155"/>
      <c r="N324" s="155"/>
      <c r="O324" s="155"/>
    </row>
    <row r="325" spans="1:15" ht="214.5">
      <c r="A325" s="77"/>
      <c r="B325" s="50" t="s">
        <v>500</v>
      </c>
      <c r="C325" s="53" t="s">
        <v>7094</v>
      </c>
      <c r="D325" s="45" t="s">
        <v>7095</v>
      </c>
      <c r="E325" s="78" t="s">
        <v>6622</v>
      </c>
      <c r="F325" s="45" t="s">
        <v>7096</v>
      </c>
      <c r="G325" s="46" t="s">
        <v>7097</v>
      </c>
      <c r="H325" s="47" t="s">
        <v>36</v>
      </c>
      <c r="I325" s="118"/>
      <c r="J325" s="155"/>
      <c r="K325" s="155"/>
      <c r="L325" s="155"/>
      <c r="M325" s="155"/>
      <c r="N325" s="155"/>
      <c r="O325" s="155"/>
    </row>
    <row r="326" spans="1:15" ht="148.5">
      <c r="A326" s="77"/>
      <c r="B326" s="50" t="s">
        <v>500</v>
      </c>
      <c r="C326" s="45" t="s">
        <v>7098</v>
      </c>
      <c r="D326" s="45" t="s">
        <v>7099</v>
      </c>
      <c r="E326" s="78" t="s">
        <v>5909</v>
      </c>
      <c r="F326" s="45" t="s">
        <v>7100</v>
      </c>
      <c r="G326" s="46" t="s">
        <v>7101</v>
      </c>
      <c r="H326" s="47" t="s">
        <v>36</v>
      </c>
      <c r="I326" s="118"/>
      <c r="J326" s="155"/>
      <c r="K326" s="155"/>
      <c r="L326" s="155"/>
      <c r="M326" s="155"/>
      <c r="N326" s="155"/>
      <c r="O326" s="155"/>
    </row>
    <row r="327" spans="1:15" ht="297">
      <c r="A327" s="77"/>
      <c r="B327" s="50" t="s">
        <v>500</v>
      </c>
      <c r="C327" s="45" t="s">
        <v>7102</v>
      </c>
      <c r="D327" s="45" t="s">
        <v>7103</v>
      </c>
      <c r="E327" s="78" t="s">
        <v>6692</v>
      </c>
      <c r="F327" s="45" t="s">
        <v>7104</v>
      </c>
      <c r="G327" s="46" t="s">
        <v>7105</v>
      </c>
      <c r="H327" s="47" t="s">
        <v>41</v>
      </c>
      <c r="I327" s="129" t="s">
        <v>31</v>
      </c>
      <c r="J327" s="155"/>
      <c r="K327" s="155"/>
      <c r="L327" s="155"/>
      <c r="M327" s="155"/>
      <c r="N327" s="155"/>
      <c r="O327" s="155"/>
    </row>
    <row r="328" spans="1:15" ht="313.5">
      <c r="A328" s="77"/>
      <c r="B328" s="50" t="s">
        <v>500</v>
      </c>
      <c r="C328" s="45" t="s">
        <v>7106</v>
      </c>
      <c r="D328" s="45" t="s">
        <v>7107</v>
      </c>
      <c r="E328" s="78" t="s">
        <v>6622</v>
      </c>
      <c r="F328" s="45" t="s">
        <v>7108</v>
      </c>
      <c r="G328" s="89" t="s">
        <v>7109</v>
      </c>
      <c r="H328" s="47" t="s">
        <v>36</v>
      </c>
      <c r="I328" s="118"/>
      <c r="J328" s="155"/>
      <c r="K328" s="155"/>
      <c r="L328" s="155"/>
      <c r="M328" s="155"/>
      <c r="N328" s="155"/>
      <c r="O328" s="155"/>
    </row>
    <row r="329" spans="1:15" ht="363">
      <c r="A329" s="77"/>
      <c r="B329" s="50" t="s">
        <v>500</v>
      </c>
      <c r="C329" s="45" t="s">
        <v>7110</v>
      </c>
      <c r="D329" s="45" t="s">
        <v>7111</v>
      </c>
      <c r="E329" s="78" t="s">
        <v>6692</v>
      </c>
      <c r="F329" s="45" t="s">
        <v>7112</v>
      </c>
      <c r="G329" s="46" t="s">
        <v>7113</v>
      </c>
      <c r="H329" s="47" t="s">
        <v>36</v>
      </c>
      <c r="I329" s="118"/>
      <c r="J329" s="155"/>
      <c r="K329" s="155"/>
      <c r="L329" s="155"/>
      <c r="M329" s="155"/>
      <c r="N329" s="155"/>
      <c r="O329" s="155"/>
    </row>
    <row r="330" spans="1:15" ht="379.5">
      <c r="A330" s="77"/>
      <c r="B330" s="50" t="s">
        <v>500</v>
      </c>
      <c r="C330" s="45" t="s">
        <v>7114</v>
      </c>
      <c r="D330" s="45" t="s">
        <v>7115</v>
      </c>
      <c r="E330" s="78" t="s">
        <v>6692</v>
      </c>
      <c r="F330" s="45" t="s">
        <v>7116</v>
      </c>
      <c r="G330" s="46" t="s">
        <v>7117</v>
      </c>
      <c r="H330" s="47" t="s">
        <v>24</v>
      </c>
      <c r="I330" s="118"/>
      <c r="J330" s="155"/>
      <c r="K330" s="155"/>
      <c r="L330" s="155"/>
      <c r="M330" s="155"/>
      <c r="N330" s="155"/>
      <c r="O330" s="155"/>
    </row>
    <row r="331" spans="1:15" ht="264">
      <c r="A331" s="77"/>
      <c r="B331" s="50" t="s">
        <v>500</v>
      </c>
      <c r="C331" s="45" t="s">
        <v>7118</v>
      </c>
      <c r="D331" s="45" t="s">
        <v>7119</v>
      </c>
      <c r="E331" s="78" t="s">
        <v>6692</v>
      </c>
      <c r="F331" s="45" t="s">
        <v>7120</v>
      </c>
      <c r="G331" s="46" t="s">
        <v>7121</v>
      </c>
      <c r="H331" s="47" t="s">
        <v>36</v>
      </c>
      <c r="I331" s="118"/>
      <c r="J331" s="155"/>
      <c r="K331" s="155"/>
      <c r="L331" s="155"/>
      <c r="M331" s="155"/>
      <c r="N331" s="155"/>
      <c r="O331" s="155"/>
    </row>
    <row r="332" spans="1:15" ht="363">
      <c r="A332" s="77"/>
      <c r="B332" s="50" t="s">
        <v>500</v>
      </c>
      <c r="C332" s="45" t="s">
        <v>7122</v>
      </c>
      <c r="D332" s="45" t="s">
        <v>7123</v>
      </c>
      <c r="E332" s="78" t="s">
        <v>6692</v>
      </c>
      <c r="F332" s="45" t="s">
        <v>7116</v>
      </c>
      <c r="G332" s="46" t="s">
        <v>7117</v>
      </c>
      <c r="H332" s="47" t="s">
        <v>24</v>
      </c>
      <c r="I332" s="118"/>
      <c r="J332" s="155"/>
      <c r="K332" s="155"/>
      <c r="L332" s="155"/>
      <c r="M332" s="155"/>
      <c r="N332" s="155"/>
      <c r="O332" s="155"/>
    </row>
    <row r="333" spans="1:15" ht="264">
      <c r="A333" s="77"/>
      <c r="B333" s="50" t="s">
        <v>500</v>
      </c>
      <c r="C333" s="45" t="s">
        <v>7124</v>
      </c>
      <c r="D333" s="45" t="s">
        <v>7125</v>
      </c>
      <c r="E333" s="78" t="s">
        <v>6692</v>
      </c>
      <c r="F333" s="45" t="s">
        <v>7126</v>
      </c>
      <c r="G333" s="46" t="s">
        <v>7127</v>
      </c>
      <c r="H333" s="47" t="s">
        <v>62</v>
      </c>
      <c r="I333" s="118"/>
      <c r="J333" s="155"/>
      <c r="K333" s="155"/>
      <c r="L333" s="155"/>
      <c r="M333" s="155"/>
      <c r="N333" s="155"/>
      <c r="O333" s="155"/>
    </row>
    <row r="334" spans="1:15" ht="280.5">
      <c r="A334" s="77"/>
      <c r="B334" s="50" t="s">
        <v>500</v>
      </c>
      <c r="C334" s="45" t="s">
        <v>7128</v>
      </c>
      <c r="D334" s="45" t="s">
        <v>7129</v>
      </c>
      <c r="E334" s="78" t="s">
        <v>6622</v>
      </c>
      <c r="F334" s="45" t="s">
        <v>7130</v>
      </c>
      <c r="G334" s="46" t="s">
        <v>7131</v>
      </c>
      <c r="H334" s="47" t="s">
        <v>24</v>
      </c>
      <c r="I334" s="129" t="s">
        <v>31</v>
      </c>
      <c r="J334" s="155"/>
      <c r="K334" s="155"/>
      <c r="L334" s="155"/>
      <c r="M334" s="155"/>
      <c r="N334" s="155"/>
      <c r="O334" s="155"/>
    </row>
    <row r="335" spans="1:15" ht="346.5">
      <c r="A335" s="77"/>
      <c r="B335" s="50" t="s">
        <v>500</v>
      </c>
      <c r="C335" s="45" t="s">
        <v>7132</v>
      </c>
      <c r="D335" s="45" t="s">
        <v>7133</v>
      </c>
      <c r="E335" s="78" t="s">
        <v>6622</v>
      </c>
      <c r="F335" s="45" t="s">
        <v>7134</v>
      </c>
      <c r="G335" s="46" t="s">
        <v>7135</v>
      </c>
      <c r="H335" s="47" t="s">
        <v>86</v>
      </c>
      <c r="I335" s="129" t="s">
        <v>31</v>
      </c>
      <c r="J335" s="155"/>
      <c r="K335" s="155"/>
      <c r="L335" s="155"/>
      <c r="M335" s="155"/>
      <c r="N335" s="155"/>
      <c r="O335" s="155"/>
    </row>
    <row r="336" spans="1:15" ht="409.5">
      <c r="A336" s="77"/>
      <c r="B336" s="50" t="s">
        <v>500</v>
      </c>
      <c r="C336" s="45" t="s">
        <v>7136</v>
      </c>
      <c r="D336" s="45" t="s">
        <v>7137</v>
      </c>
      <c r="E336" s="78" t="s">
        <v>6692</v>
      </c>
      <c r="F336" s="45" t="s">
        <v>7138</v>
      </c>
      <c r="G336" s="46" t="s">
        <v>7139</v>
      </c>
      <c r="H336" s="47" t="s">
        <v>86</v>
      </c>
      <c r="I336" s="114"/>
      <c r="J336" s="155"/>
      <c r="K336" s="155"/>
      <c r="L336" s="155"/>
      <c r="M336" s="155"/>
      <c r="N336" s="155"/>
      <c r="O336" s="155"/>
    </row>
    <row r="337" spans="1:15" ht="264">
      <c r="A337" s="77"/>
      <c r="B337" s="50" t="s">
        <v>500</v>
      </c>
      <c r="C337" s="45" t="s">
        <v>7140</v>
      </c>
      <c r="D337" s="45" t="s">
        <v>582</v>
      </c>
      <c r="E337" s="78" t="s">
        <v>6622</v>
      </c>
      <c r="F337" s="45" t="s">
        <v>7141</v>
      </c>
      <c r="G337" s="46" t="s">
        <v>7142</v>
      </c>
      <c r="H337" s="47" t="s">
        <v>24</v>
      </c>
      <c r="I337" s="129" t="s">
        <v>31</v>
      </c>
      <c r="J337" s="155"/>
      <c r="K337" s="155"/>
      <c r="L337" s="155"/>
      <c r="M337" s="155"/>
      <c r="N337" s="155"/>
      <c r="O337" s="155"/>
    </row>
    <row r="338" spans="1:15" ht="264">
      <c r="A338" s="77"/>
      <c r="B338" s="44" t="s">
        <v>588</v>
      </c>
      <c r="C338" s="45" t="s">
        <v>7143</v>
      </c>
      <c r="D338" s="45" t="s">
        <v>7144</v>
      </c>
      <c r="E338" s="78" t="s">
        <v>6622</v>
      </c>
      <c r="F338" s="45" t="s">
        <v>7145</v>
      </c>
      <c r="G338" s="46" t="s">
        <v>7146</v>
      </c>
      <c r="H338" s="47" t="s">
        <v>41</v>
      </c>
      <c r="I338" s="129" t="s">
        <v>31</v>
      </c>
      <c r="J338" s="155"/>
      <c r="K338" s="155"/>
      <c r="L338" s="155"/>
      <c r="M338" s="155"/>
      <c r="N338" s="155"/>
      <c r="O338" s="155"/>
    </row>
    <row r="339" spans="1:15" ht="280.5">
      <c r="A339" s="77"/>
      <c r="B339" s="44" t="s">
        <v>588</v>
      </c>
      <c r="C339" s="45" t="s">
        <v>7147</v>
      </c>
      <c r="D339" s="45" t="s">
        <v>589</v>
      </c>
      <c r="E339" s="78" t="s">
        <v>6692</v>
      </c>
      <c r="F339" s="45" t="s">
        <v>7148</v>
      </c>
      <c r="G339" s="46" t="s">
        <v>7146</v>
      </c>
      <c r="H339" s="47" t="s">
        <v>24</v>
      </c>
      <c r="I339" s="129" t="s">
        <v>31</v>
      </c>
      <c r="J339" s="155"/>
      <c r="K339" s="155"/>
      <c r="L339" s="155"/>
      <c r="M339" s="155"/>
      <c r="N339" s="155"/>
      <c r="O339" s="155"/>
    </row>
    <row r="340" spans="1:15" ht="313.5">
      <c r="A340" s="77"/>
      <c r="B340" s="44" t="s">
        <v>588</v>
      </c>
      <c r="C340" s="45" t="s">
        <v>7149</v>
      </c>
      <c r="D340" s="45" t="s">
        <v>7150</v>
      </c>
      <c r="E340" s="78" t="s">
        <v>6692</v>
      </c>
      <c r="F340" s="45" t="s">
        <v>7151</v>
      </c>
      <c r="G340" s="46" t="s">
        <v>7152</v>
      </c>
      <c r="H340" s="47" t="s">
        <v>24</v>
      </c>
      <c r="I340" s="120"/>
      <c r="J340" s="155"/>
      <c r="K340" s="155"/>
      <c r="L340" s="155"/>
      <c r="M340" s="155"/>
      <c r="N340" s="155"/>
      <c r="O340" s="155"/>
    </row>
    <row r="341" spans="1:15" ht="264">
      <c r="A341" s="77"/>
      <c r="B341" s="44" t="s">
        <v>588</v>
      </c>
      <c r="C341" s="45" t="s">
        <v>7153</v>
      </c>
      <c r="D341" s="45" t="s">
        <v>593</v>
      </c>
      <c r="E341" s="78" t="s">
        <v>6622</v>
      </c>
      <c r="F341" s="45" t="s">
        <v>7154</v>
      </c>
      <c r="G341" s="46" t="s">
        <v>7155</v>
      </c>
      <c r="H341" s="47" t="s">
        <v>30</v>
      </c>
      <c r="I341" s="129" t="s">
        <v>31</v>
      </c>
      <c r="J341" s="155"/>
      <c r="K341" s="155"/>
      <c r="L341" s="155"/>
      <c r="M341" s="155"/>
      <c r="N341" s="155"/>
      <c r="O341" s="155"/>
    </row>
    <row r="342" spans="1:15" ht="247.5">
      <c r="A342" s="142"/>
      <c r="B342" s="44" t="s">
        <v>588</v>
      </c>
      <c r="C342" s="59" t="s">
        <v>7156</v>
      </c>
      <c r="D342" s="59" t="s">
        <v>7157</v>
      </c>
      <c r="E342" s="82" t="s">
        <v>6692</v>
      </c>
      <c r="F342" s="59" t="s">
        <v>7158</v>
      </c>
      <c r="G342" s="89" t="s">
        <v>7159</v>
      </c>
      <c r="H342" s="61" t="s">
        <v>24</v>
      </c>
      <c r="I342" s="128" t="s">
        <v>31</v>
      </c>
      <c r="J342" s="155"/>
      <c r="K342" s="155"/>
      <c r="L342" s="155"/>
      <c r="M342" s="155"/>
      <c r="N342" s="155"/>
      <c r="O342" s="155"/>
    </row>
    <row r="343" spans="1:15" ht="264">
      <c r="A343" s="77"/>
      <c r="B343" s="44" t="s">
        <v>588</v>
      </c>
      <c r="C343" s="45" t="s">
        <v>7160</v>
      </c>
      <c r="D343" s="45" t="s">
        <v>7161</v>
      </c>
      <c r="E343" s="78" t="s">
        <v>6622</v>
      </c>
      <c r="F343" s="116" t="s">
        <v>7162</v>
      </c>
      <c r="G343" s="46" t="s">
        <v>7163</v>
      </c>
      <c r="H343" s="47" t="s">
        <v>36</v>
      </c>
      <c r="I343" s="128"/>
      <c r="J343" s="155"/>
      <c r="K343" s="155"/>
      <c r="L343" s="155"/>
      <c r="M343" s="155"/>
      <c r="N343" s="155"/>
      <c r="O343" s="155"/>
    </row>
    <row r="344" spans="1:15" ht="247.5">
      <c r="A344" s="77"/>
      <c r="B344" s="44" t="s">
        <v>588</v>
      </c>
      <c r="C344" s="45" t="s">
        <v>7164</v>
      </c>
      <c r="D344" s="45" t="s">
        <v>7165</v>
      </c>
      <c r="E344" s="78" t="s">
        <v>6622</v>
      </c>
      <c r="F344" s="45" t="s">
        <v>7166</v>
      </c>
      <c r="G344" s="46" t="s">
        <v>7167</v>
      </c>
      <c r="H344" s="47" t="s">
        <v>24</v>
      </c>
      <c r="I344" s="129" t="s">
        <v>31</v>
      </c>
      <c r="J344" s="155"/>
      <c r="K344" s="155"/>
      <c r="L344" s="155"/>
      <c r="M344" s="155"/>
      <c r="N344" s="155"/>
      <c r="O344" s="155"/>
    </row>
    <row r="345" spans="1:15" ht="313.5">
      <c r="A345" s="77"/>
      <c r="B345" s="44" t="s">
        <v>588</v>
      </c>
      <c r="C345" s="45" t="s">
        <v>7168</v>
      </c>
      <c r="D345" s="45" t="s">
        <v>7169</v>
      </c>
      <c r="E345" s="78" t="s">
        <v>6622</v>
      </c>
      <c r="F345" s="45" t="s">
        <v>7170</v>
      </c>
      <c r="G345" s="46" t="s">
        <v>7171</v>
      </c>
      <c r="H345" s="47" t="s">
        <v>62</v>
      </c>
      <c r="I345" s="129" t="s">
        <v>31</v>
      </c>
      <c r="J345" s="155"/>
      <c r="K345" s="155"/>
      <c r="L345" s="155"/>
      <c r="M345" s="155"/>
      <c r="N345" s="155"/>
      <c r="O345" s="155"/>
    </row>
    <row r="346" spans="1:15" ht="264">
      <c r="A346" s="77"/>
      <c r="B346" s="44" t="s">
        <v>588</v>
      </c>
      <c r="C346" s="45" t="s">
        <v>7172</v>
      </c>
      <c r="D346" s="45" t="s">
        <v>7173</v>
      </c>
      <c r="E346" s="78" t="s">
        <v>6622</v>
      </c>
      <c r="F346" s="45" t="s">
        <v>7174</v>
      </c>
      <c r="G346" s="46" t="s">
        <v>7175</v>
      </c>
      <c r="H346" s="47" t="s">
        <v>62</v>
      </c>
      <c r="I346" s="129" t="s">
        <v>31</v>
      </c>
      <c r="J346" s="155"/>
      <c r="K346" s="155"/>
      <c r="L346" s="155"/>
      <c r="M346" s="155"/>
      <c r="N346" s="155"/>
      <c r="O346" s="155"/>
    </row>
    <row r="347" spans="1:15" ht="264">
      <c r="A347" s="77"/>
      <c r="B347" s="44" t="s">
        <v>588</v>
      </c>
      <c r="C347" s="45" t="s">
        <v>7176</v>
      </c>
      <c r="D347" s="45" t="s">
        <v>7177</v>
      </c>
      <c r="E347" s="78" t="s">
        <v>6622</v>
      </c>
      <c r="F347" s="45" t="s">
        <v>7178</v>
      </c>
      <c r="G347" s="46" t="s">
        <v>7179</v>
      </c>
      <c r="H347" s="47" t="s">
        <v>41</v>
      </c>
      <c r="I347" s="129" t="s">
        <v>31</v>
      </c>
      <c r="J347" s="155"/>
      <c r="K347" s="155"/>
      <c r="L347" s="155"/>
      <c r="M347" s="155"/>
      <c r="N347" s="155"/>
      <c r="O347" s="155"/>
    </row>
    <row r="348" spans="1:15" ht="264">
      <c r="A348" s="77"/>
      <c r="B348" s="44" t="s">
        <v>588</v>
      </c>
      <c r="C348" s="45" t="s">
        <v>7180</v>
      </c>
      <c r="D348" s="45" t="s">
        <v>601</v>
      </c>
      <c r="E348" s="78" t="s">
        <v>6622</v>
      </c>
      <c r="F348" s="60" t="s">
        <v>7181</v>
      </c>
      <c r="G348" s="46" t="s">
        <v>7182</v>
      </c>
      <c r="H348" s="47" t="s">
        <v>24</v>
      </c>
      <c r="I348" s="129" t="s">
        <v>31</v>
      </c>
      <c r="J348" s="155"/>
      <c r="K348" s="155"/>
      <c r="L348" s="155"/>
      <c r="M348" s="155"/>
      <c r="N348" s="155"/>
      <c r="O348" s="155"/>
    </row>
    <row r="349" spans="1:15" ht="297">
      <c r="A349" s="77"/>
      <c r="B349" s="44" t="s">
        <v>588</v>
      </c>
      <c r="C349" s="146" t="s">
        <v>7183</v>
      </c>
      <c r="D349" s="45" t="s">
        <v>7184</v>
      </c>
      <c r="E349" s="78" t="s">
        <v>6622</v>
      </c>
      <c r="F349" s="45" t="s">
        <v>7185</v>
      </c>
      <c r="G349" s="46" t="s">
        <v>607</v>
      </c>
      <c r="H349" s="47"/>
      <c r="I349" s="129"/>
      <c r="J349" s="155"/>
      <c r="K349" s="155"/>
      <c r="L349" s="155"/>
      <c r="M349" s="155"/>
      <c r="N349" s="155"/>
      <c r="O349" s="155"/>
    </row>
    <row r="350" spans="1:15" ht="297">
      <c r="A350" s="77"/>
      <c r="B350" s="50" t="s">
        <v>608</v>
      </c>
      <c r="C350" s="45" t="s">
        <v>7186</v>
      </c>
      <c r="D350" s="45" t="s">
        <v>7187</v>
      </c>
      <c r="E350" s="78" t="s">
        <v>6692</v>
      </c>
      <c r="F350" s="45" t="s">
        <v>7188</v>
      </c>
      <c r="G350" s="46" t="s">
        <v>607</v>
      </c>
      <c r="H350" s="47" t="s">
        <v>41</v>
      </c>
      <c r="I350" s="128" t="s">
        <v>31</v>
      </c>
      <c r="J350" s="155"/>
      <c r="K350" s="155"/>
      <c r="L350" s="155"/>
      <c r="M350" s="155"/>
      <c r="N350" s="155"/>
      <c r="O350" s="155"/>
    </row>
    <row r="351" spans="1:15" ht="297">
      <c r="A351" s="77"/>
      <c r="B351" s="50" t="s">
        <v>608</v>
      </c>
      <c r="C351" s="45" t="s">
        <v>7189</v>
      </c>
      <c r="D351" s="45" t="s">
        <v>7190</v>
      </c>
      <c r="E351" s="78" t="s">
        <v>6622</v>
      </c>
      <c r="F351" s="45" t="s">
        <v>7191</v>
      </c>
      <c r="G351" s="46" t="s">
        <v>7192</v>
      </c>
      <c r="H351" s="47" t="s">
        <v>24</v>
      </c>
      <c r="I351" s="128" t="s">
        <v>31</v>
      </c>
      <c r="J351" s="155"/>
      <c r="K351" s="155"/>
      <c r="L351" s="155"/>
      <c r="M351" s="155"/>
      <c r="N351" s="155"/>
      <c r="O351" s="155"/>
    </row>
    <row r="352" spans="1:15" ht="346.5">
      <c r="A352" s="77"/>
      <c r="B352" s="50" t="s">
        <v>608</v>
      </c>
      <c r="C352" s="45" t="s">
        <v>7193</v>
      </c>
      <c r="D352" s="45" t="s">
        <v>7194</v>
      </c>
      <c r="E352" s="78" t="s">
        <v>6692</v>
      </c>
      <c r="F352" s="45" t="s">
        <v>7195</v>
      </c>
      <c r="G352" s="46" t="s">
        <v>7196</v>
      </c>
      <c r="H352" s="47" t="s">
        <v>24</v>
      </c>
      <c r="I352" s="128"/>
      <c r="J352" s="155"/>
      <c r="K352" s="155"/>
      <c r="L352" s="155"/>
      <c r="M352" s="155"/>
      <c r="N352" s="155"/>
      <c r="O352" s="155"/>
    </row>
    <row r="353" spans="1:15" ht="280.5">
      <c r="A353" s="77"/>
      <c r="B353" s="50" t="s">
        <v>608</v>
      </c>
      <c r="C353" s="45" t="s">
        <v>7197</v>
      </c>
      <c r="D353" s="45" t="s">
        <v>7198</v>
      </c>
      <c r="E353" s="78" t="s">
        <v>6622</v>
      </c>
      <c r="F353" s="45" t="s">
        <v>7199</v>
      </c>
      <c r="G353" s="46" t="s">
        <v>7200</v>
      </c>
      <c r="H353" s="47" t="s">
        <v>30</v>
      </c>
      <c r="I353" s="130" t="s">
        <v>31</v>
      </c>
      <c r="J353" s="155"/>
      <c r="K353" s="155"/>
      <c r="L353" s="155"/>
      <c r="M353" s="155"/>
      <c r="N353" s="155"/>
      <c r="O353" s="155"/>
    </row>
    <row r="354" spans="1:15" ht="330">
      <c r="A354" s="77"/>
      <c r="B354" s="50" t="s">
        <v>608</v>
      </c>
      <c r="C354" s="45" t="s">
        <v>7201</v>
      </c>
      <c r="D354" s="45" t="s">
        <v>7202</v>
      </c>
      <c r="E354" s="78" t="s">
        <v>6622</v>
      </c>
      <c r="F354" s="45" t="s">
        <v>7203</v>
      </c>
      <c r="G354" s="46" t="s">
        <v>7204</v>
      </c>
      <c r="H354" s="47" t="s">
        <v>24</v>
      </c>
      <c r="I354" s="128"/>
      <c r="J354" s="155"/>
      <c r="K354" s="155"/>
      <c r="L354" s="155"/>
      <c r="M354" s="155"/>
      <c r="N354" s="155"/>
      <c r="O354" s="155"/>
    </row>
    <row r="355" spans="1:15" ht="313.5">
      <c r="A355" s="77"/>
      <c r="B355" s="50" t="s">
        <v>608</v>
      </c>
      <c r="C355" s="45" t="s">
        <v>7205</v>
      </c>
      <c r="D355" s="45" t="s">
        <v>7206</v>
      </c>
      <c r="E355" s="78" t="s">
        <v>6692</v>
      </c>
      <c r="F355" s="45" t="s">
        <v>7207</v>
      </c>
      <c r="G355" s="46" t="s">
        <v>7208</v>
      </c>
      <c r="H355" s="47" t="s">
        <v>36</v>
      </c>
      <c r="I355" s="128"/>
      <c r="J355" s="155"/>
      <c r="K355" s="155"/>
      <c r="L355" s="155"/>
      <c r="M355" s="155"/>
      <c r="N355" s="155"/>
      <c r="O355" s="155"/>
    </row>
    <row r="356" spans="1:15" ht="214.5">
      <c r="A356" s="77"/>
      <c r="B356" s="50" t="s">
        <v>608</v>
      </c>
      <c r="C356" s="45" t="s">
        <v>7209</v>
      </c>
      <c r="D356" s="45" t="s">
        <v>7210</v>
      </c>
      <c r="E356" s="78" t="s">
        <v>6692</v>
      </c>
      <c r="F356" s="45" t="s">
        <v>7211</v>
      </c>
      <c r="G356" s="46" t="s">
        <v>632</v>
      </c>
      <c r="H356" s="47" t="s">
        <v>41</v>
      </c>
      <c r="I356" s="129" t="s">
        <v>31</v>
      </c>
      <c r="J356" s="155"/>
      <c r="K356" s="155"/>
      <c r="L356" s="155"/>
      <c r="M356" s="155"/>
      <c r="N356" s="155"/>
      <c r="O356" s="155"/>
    </row>
    <row r="357" spans="1:15" ht="330">
      <c r="A357" s="77"/>
      <c r="B357" s="50" t="s">
        <v>608</v>
      </c>
      <c r="C357" s="45" t="s">
        <v>7212</v>
      </c>
      <c r="D357" s="45" t="s">
        <v>7213</v>
      </c>
      <c r="E357" s="78" t="s">
        <v>6622</v>
      </c>
      <c r="F357" s="45" t="s">
        <v>7214</v>
      </c>
      <c r="G357" s="46" t="s">
        <v>7215</v>
      </c>
      <c r="H357" s="47" t="s">
        <v>36</v>
      </c>
      <c r="I357" s="129" t="s">
        <v>31</v>
      </c>
      <c r="J357" s="155"/>
      <c r="K357" s="155"/>
      <c r="L357" s="155"/>
      <c r="M357" s="155"/>
      <c r="N357" s="155"/>
      <c r="O357" s="155"/>
    </row>
    <row r="358" spans="1:15" ht="280.5">
      <c r="A358" s="77"/>
      <c r="B358" s="50" t="s">
        <v>608</v>
      </c>
      <c r="C358" s="45" t="s">
        <v>7216</v>
      </c>
      <c r="D358" s="45" t="s">
        <v>635</v>
      </c>
      <c r="E358" s="78" t="s">
        <v>6692</v>
      </c>
      <c r="F358" s="45" t="s">
        <v>7217</v>
      </c>
      <c r="G358" s="46" t="s">
        <v>636</v>
      </c>
      <c r="H358" s="47" t="s">
        <v>62</v>
      </c>
      <c r="I358" s="129" t="s">
        <v>31</v>
      </c>
      <c r="J358" s="155"/>
      <c r="K358" s="155"/>
      <c r="L358" s="155"/>
      <c r="M358" s="155"/>
      <c r="N358" s="155"/>
      <c r="O358" s="155"/>
    </row>
    <row r="359" spans="1:15" ht="297">
      <c r="A359" s="77"/>
      <c r="B359" s="50" t="s">
        <v>608</v>
      </c>
      <c r="C359" s="45" t="s">
        <v>7218</v>
      </c>
      <c r="D359" s="45" t="s">
        <v>638</v>
      </c>
      <c r="E359" s="78" t="s">
        <v>7219</v>
      </c>
      <c r="F359" s="45" t="s">
        <v>7220</v>
      </c>
      <c r="G359" s="46" t="s">
        <v>7221</v>
      </c>
      <c r="H359" s="47" t="s">
        <v>24</v>
      </c>
      <c r="I359" s="118"/>
      <c r="J359" s="155"/>
      <c r="K359" s="155"/>
      <c r="L359" s="155"/>
      <c r="M359" s="155"/>
      <c r="N359" s="155"/>
      <c r="O359" s="155"/>
    </row>
    <row r="360" spans="1:15" ht="297">
      <c r="A360" s="77"/>
      <c r="B360" s="50" t="s">
        <v>608</v>
      </c>
      <c r="C360" s="45" t="s">
        <v>7222</v>
      </c>
      <c r="D360" s="45" t="s">
        <v>643</v>
      </c>
      <c r="E360" s="78" t="s">
        <v>6692</v>
      </c>
      <c r="F360" s="45" t="s">
        <v>7223</v>
      </c>
      <c r="G360" s="46" t="s">
        <v>7224</v>
      </c>
      <c r="H360" s="47" t="s">
        <v>24</v>
      </c>
      <c r="I360" s="118"/>
      <c r="J360" s="155"/>
      <c r="K360" s="155"/>
      <c r="L360" s="155"/>
      <c r="M360" s="155"/>
      <c r="N360" s="155"/>
      <c r="O360" s="155"/>
    </row>
    <row r="361" spans="1:15" ht="297">
      <c r="A361" s="77"/>
      <c r="B361" s="50" t="s">
        <v>608</v>
      </c>
      <c r="C361" s="45" t="s">
        <v>7225</v>
      </c>
      <c r="D361" s="45" t="s">
        <v>646</v>
      </c>
      <c r="E361" s="78" t="s">
        <v>6692</v>
      </c>
      <c r="F361" s="45" t="s">
        <v>7226</v>
      </c>
      <c r="G361" s="46" t="s">
        <v>7227</v>
      </c>
      <c r="H361" s="47" t="s">
        <v>24</v>
      </c>
      <c r="I361" s="118"/>
      <c r="J361" s="155"/>
      <c r="K361" s="155"/>
      <c r="L361" s="155"/>
      <c r="M361" s="155"/>
      <c r="N361" s="155"/>
      <c r="O361" s="155"/>
    </row>
    <row r="362" spans="1:15" ht="313.5">
      <c r="A362" s="77"/>
      <c r="B362" s="50" t="s">
        <v>608</v>
      </c>
      <c r="C362" s="45" t="s">
        <v>7228</v>
      </c>
      <c r="D362" s="45" t="s">
        <v>650</v>
      </c>
      <c r="E362" s="78" t="s">
        <v>6692</v>
      </c>
      <c r="F362" s="45" t="s">
        <v>7226</v>
      </c>
      <c r="G362" s="46" t="s">
        <v>7227</v>
      </c>
      <c r="H362" s="47" t="s">
        <v>24</v>
      </c>
      <c r="I362" s="128"/>
      <c r="J362" s="155"/>
      <c r="K362" s="155"/>
      <c r="L362" s="155"/>
      <c r="M362" s="155"/>
      <c r="N362" s="155"/>
      <c r="O362" s="155"/>
    </row>
    <row r="363" spans="1:15" ht="313.5">
      <c r="A363" s="77"/>
      <c r="B363" s="50" t="s">
        <v>608</v>
      </c>
      <c r="C363" s="45" t="s">
        <v>7229</v>
      </c>
      <c r="D363" s="45" t="s">
        <v>654</v>
      </c>
      <c r="E363" s="78" t="s">
        <v>6622</v>
      </c>
      <c r="F363" s="45" t="s">
        <v>7230</v>
      </c>
      <c r="G363" s="46" t="s">
        <v>656</v>
      </c>
      <c r="H363" s="47" t="s">
        <v>41</v>
      </c>
      <c r="I363" s="129" t="s">
        <v>31</v>
      </c>
      <c r="J363" s="155"/>
      <c r="K363" s="155"/>
      <c r="L363" s="155"/>
      <c r="M363" s="155"/>
      <c r="N363" s="155"/>
      <c r="O363" s="155"/>
    </row>
    <row r="364" spans="1:15" ht="379.5">
      <c r="A364" s="77"/>
      <c r="B364" s="50" t="s">
        <v>608</v>
      </c>
      <c r="C364" s="45" t="s">
        <v>7231</v>
      </c>
      <c r="D364" s="45" t="s">
        <v>7232</v>
      </c>
      <c r="E364" s="78" t="s">
        <v>6692</v>
      </c>
      <c r="F364" s="45" t="s">
        <v>7233</v>
      </c>
      <c r="G364" s="46" t="s">
        <v>7234</v>
      </c>
      <c r="H364" s="47" t="s">
        <v>24</v>
      </c>
      <c r="I364" s="118"/>
      <c r="J364" s="155"/>
      <c r="K364" s="155"/>
      <c r="L364" s="155"/>
      <c r="M364" s="155"/>
      <c r="N364" s="155"/>
      <c r="O364" s="155"/>
    </row>
    <row r="365" spans="1:15" ht="379.5">
      <c r="A365" s="77"/>
      <c r="B365" s="50" t="s">
        <v>608</v>
      </c>
      <c r="C365" s="45" t="s">
        <v>7235</v>
      </c>
      <c r="D365" s="45" t="s">
        <v>7236</v>
      </c>
      <c r="E365" s="78" t="s">
        <v>6622</v>
      </c>
      <c r="F365" s="45" t="s">
        <v>7237</v>
      </c>
      <c r="G365" s="46" t="s">
        <v>7238</v>
      </c>
      <c r="H365" s="47" t="s">
        <v>86</v>
      </c>
      <c r="I365" s="118"/>
      <c r="J365" s="155"/>
      <c r="K365" s="155"/>
      <c r="L365" s="155"/>
      <c r="M365" s="155"/>
      <c r="N365" s="155"/>
      <c r="O365" s="155"/>
    </row>
    <row r="366" spans="1:15" ht="346.5">
      <c r="A366" s="77"/>
      <c r="B366" s="50" t="s">
        <v>608</v>
      </c>
      <c r="C366" s="45" t="s">
        <v>7239</v>
      </c>
      <c r="D366" s="45" t="s">
        <v>7240</v>
      </c>
      <c r="E366" s="78" t="s">
        <v>6622</v>
      </c>
      <c r="F366" s="45" t="s">
        <v>7241</v>
      </c>
      <c r="G366" s="46" t="s">
        <v>7242</v>
      </c>
      <c r="H366" s="47" t="s">
        <v>62</v>
      </c>
      <c r="I366" s="118"/>
      <c r="J366" s="155"/>
      <c r="K366" s="155"/>
      <c r="L366" s="155"/>
      <c r="M366" s="155"/>
      <c r="N366" s="155"/>
      <c r="O366" s="155"/>
    </row>
    <row r="367" spans="1:15" ht="409.5">
      <c r="A367" s="85"/>
      <c r="B367" s="50" t="s">
        <v>608</v>
      </c>
      <c r="C367" s="45" t="s">
        <v>7243</v>
      </c>
      <c r="D367" s="45" t="s">
        <v>7244</v>
      </c>
      <c r="E367" s="78" t="s">
        <v>6622</v>
      </c>
      <c r="F367" s="45" t="s">
        <v>7245</v>
      </c>
      <c r="G367" s="46" t="s">
        <v>7246</v>
      </c>
      <c r="H367" s="47" t="s">
        <v>24</v>
      </c>
      <c r="I367" s="118"/>
      <c r="J367" s="155"/>
      <c r="K367" s="155"/>
      <c r="L367" s="155"/>
      <c r="M367" s="155"/>
      <c r="N367" s="155"/>
      <c r="O367" s="155"/>
    </row>
    <row r="368" spans="1:15" ht="409.5">
      <c r="A368" s="85"/>
      <c r="B368" s="50" t="s">
        <v>608</v>
      </c>
      <c r="C368" s="45" t="s">
        <v>7247</v>
      </c>
      <c r="D368" s="45" t="s">
        <v>7248</v>
      </c>
      <c r="E368" s="78" t="s">
        <v>6622</v>
      </c>
      <c r="F368" s="45" t="s">
        <v>7249</v>
      </c>
      <c r="G368" s="46" t="s">
        <v>7250</v>
      </c>
      <c r="H368" s="47" t="s">
        <v>24</v>
      </c>
      <c r="I368" s="118"/>
      <c r="J368" s="155"/>
      <c r="K368" s="155"/>
      <c r="L368" s="155"/>
      <c r="M368" s="155"/>
      <c r="N368" s="155"/>
      <c r="O368" s="155"/>
    </row>
    <row r="369" spans="1:15" ht="409.5">
      <c r="A369" s="85"/>
      <c r="B369" s="50" t="s">
        <v>608</v>
      </c>
      <c r="C369" s="45" t="s">
        <v>7251</v>
      </c>
      <c r="D369" s="45" t="s">
        <v>7252</v>
      </c>
      <c r="E369" s="78" t="s">
        <v>6622</v>
      </c>
      <c r="F369" s="45" t="s">
        <v>7253</v>
      </c>
      <c r="G369" s="46" t="s">
        <v>7254</v>
      </c>
      <c r="H369" s="47" t="s">
        <v>24</v>
      </c>
      <c r="I369" s="118"/>
      <c r="J369" s="155"/>
      <c r="K369" s="155"/>
      <c r="L369" s="155"/>
      <c r="M369" s="155"/>
      <c r="N369" s="155"/>
      <c r="O369" s="155"/>
    </row>
    <row r="370" spans="1:15" ht="409.5">
      <c r="A370" s="85"/>
      <c r="B370" s="50" t="s">
        <v>608</v>
      </c>
      <c r="C370" s="45" t="s">
        <v>7255</v>
      </c>
      <c r="D370" s="45" t="s">
        <v>7256</v>
      </c>
      <c r="E370" s="78" t="s">
        <v>6622</v>
      </c>
      <c r="F370" s="45" t="s">
        <v>7257</v>
      </c>
      <c r="G370" s="46" t="s">
        <v>7258</v>
      </c>
      <c r="H370" s="47" t="s">
        <v>24</v>
      </c>
      <c r="I370" s="118"/>
      <c r="J370" s="155"/>
      <c r="K370" s="155"/>
      <c r="L370" s="155"/>
      <c r="M370" s="155"/>
      <c r="N370" s="155"/>
      <c r="O370" s="155"/>
    </row>
    <row r="371" spans="1:15" ht="409.5">
      <c r="A371" s="396" t="s">
        <v>657</v>
      </c>
      <c r="B371" s="44" t="s">
        <v>658</v>
      </c>
      <c r="C371" s="45" t="s">
        <v>7259</v>
      </c>
      <c r="D371" s="45" t="s">
        <v>7260</v>
      </c>
      <c r="E371" s="78" t="s">
        <v>7261</v>
      </c>
      <c r="F371" s="45" t="s">
        <v>7262</v>
      </c>
      <c r="G371" s="46" t="s">
        <v>7263</v>
      </c>
      <c r="H371" s="47" t="s">
        <v>30</v>
      </c>
      <c r="I371" s="125" t="s">
        <v>31</v>
      </c>
      <c r="J371" s="155"/>
      <c r="K371" s="155"/>
      <c r="L371" s="155"/>
      <c r="M371" s="155"/>
      <c r="N371" s="155"/>
      <c r="O371" s="155"/>
    </row>
    <row r="372" spans="1:15" ht="409.5">
      <c r="A372" s="397"/>
      <c r="B372" s="44" t="s">
        <v>658</v>
      </c>
      <c r="C372" s="45" t="s">
        <v>7264</v>
      </c>
      <c r="D372" s="45" t="s">
        <v>7265</v>
      </c>
      <c r="E372" s="78" t="s">
        <v>7261</v>
      </c>
      <c r="F372" s="45" t="s">
        <v>7266</v>
      </c>
      <c r="G372" s="46" t="s">
        <v>7263</v>
      </c>
      <c r="H372" s="47" t="s">
        <v>30</v>
      </c>
      <c r="I372" s="125" t="s">
        <v>31</v>
      </c>
      <c r="J372" s="155"/>
      <c r="K372" s="155"/>
      <c r="L372" s="155"/>
      <c r="M372" s="155"/>
      <c r="N372" s="155"/>
      <c r="O372" s="155"/>
    </row>
    <row r="373" spans="1:15" ht="409.5">
      <c r="A373" s="397"/>
      <c r="B373" s="44" t="s">
        <v>658</v>
      </c>
      <c r="C373" s="45" t="s">
        <v>7267</v>
      </c>
      <c r="D373" s="45" t="s">
        <v>7268</v>
      </c>
      <c r="E373" s="78" t="s">
        <v>7261</v>
      </c>
      <c r="F373" s="45" t="s">
        <v>7269</v>
      </c>
      <c r="G373" s="46" t="s">
        <v>7270</v>
      </c>
      <c r="H373" s="47" t="s">
        <v>41</v>
      </c>
      <c r="I373" s="125" t="s">
        <v>31</v>
      </c>
      <c r="J373" s="155"/>
      <c r="K373" s="155"/>
      <c r="L373" s="155"/>
      <c r="M373" s="155"/>
      <c r="N373" s="155"/>
      <c r="O373" s="155"/>
    </row>
    <row r="374" spans="1:15" ht="409.5">
      <c r="A374" s="397"/>
      <c r="B374" s="44" t="s">
        <v>658</v>
      </c>
      <c r="C374" s="45" t="s">
        <v>7271</v>
      </c>
      <c r="D374" s="45" t="s">
        <v>7272</v>
      </c>
      <c r="E374" s="78" t="s">
        <v>7261</v>
      </c>
      <c r="F374" s="45" t="s">
        <v>7273</v>
      </c>
      <c r="G374" s="46" t="s">
        <v>7270</v>
      </c>
      <c r="H374" s="47" t="s">
        <v>24</v>
      </c>
      <c r="I374" s="125" t="s">
        <v>31</v>
      </c>
      <c r="J374" s="155"/>
      <c r="K374" s="155"/>
      <c r="L374" s="155"/>
      <c r="M374" s="155"/>
      <c r="N374" s="155"/>
      <c r="O374" s="155"/>
    </row>
    <row r="375" spans="1:15" ht="409.5">
      <c r="A375" s="397"/>
      <c r="B375" s="44" t="s">
        <v>658</v>
      </c>
      <c r="C375" s="45" t="s">
        <v>7274</v>
      </c>
      <c r="D375" s="45" t="s">
        <v>7275</v>
      </c>
      <c r="E375" s="78" t="s">
        <v>7261</v>
      </c>
      <c r="F375" s="45" t="s">
        <v>7276</v>
      </c>
      <c r="G375" s="46" t="s">
        <v>7270</v>
      </c>
      <c r="H375" s="47" t="s">
        <v>24</v>
      </c>
      <c r="I375" s="125" t="s">
        <v>31</v>
      </c>
      <c r="J375" s="155"/>
      <c r="K375" s="155"/>
      <c r="L375" s="155"/>
      <c r="M375" s="155"/>
      <c r="N375" s="155"/>
      <c r="O375" s="155"/>
    </row>
    <row r="376" spans="1:15" ht="409.5">
      <c r="A376" s="397"/>
      <c r="B376" s="44" t="s">
        <v>658</v>
      </c>
      <c r="C376" s="45" t="s">
        <v>7277</v>
      </c>
      <c r="D376" s="45" t="s">
        <v>7278</v>
      </c>
      <c r="E376" s="78" t="s">
        <v>7261</v>
      </c>
      <c r="F376" s="45" t="s">
        <v>7279</v>
      </c>
      <c r="G376" s="46" t="s">
        <v>7270</v>
      </c>
      <c r="H376" s="47" t="s">
        <v>36</v>
      </c>
      <c r="I376" s="125" t="s">
        <v>31</v>
      </c>
      <c r="J376" s="155"/>
      <c r="K376" s="155"/>
      <c r="L376" s="155"/>
      <c r="M376" s="155"/>
      <c r="N376" s="155"/>
      <c r="O376" s="155"/>
    </row>
    <row r="377" spans="1:15" ht="409.5">
      <c r="A377" s="397"/>
      <c r="B377" s="44" t="s">
        <v>658</v>
      </c>
      <c r="C377" s="45" t="s">
        <v>7280</v>
      </c>
      <c r="D377" s="45" t="s">
        <v>7281</v>
      </c>
      <c r="E377" s="78" t="s">
        <v>7282</v>
      </c>
      <c r="F377" s="45" t="s">
        <v>7283</v>
      </c>
      <c r="G377" s="46" t="s">
        <v>7284</v>
      </c>
      <c r="H377" s="47" t="s">
        <v>36</v>
      </c>
      <c r="I377" s="125" t="s">
        <v>31</v>
      </c>
      <c r="J377" s="155"/>
      <c r="K377" s="155"/>
      <c r="L377" s="155"/>
      <c r="M377" s="155"/>
      <c r="N377" s="155"/>
      <c r="O377" s="155"/>
    </row>
    <row r="378" spans="1:15" ht="409.5">
      <c r="A378" s="397"/>
      <c r="B378" s="44" t="s">
        <v>658</v>
      </c>
      <c r="C378" s="45" t="s">
        <v>7285</v>
      </c>
      <c r="D378" s="45" t="s">
        <v>7286</v>
      </c>
      <c r="E378" s="78" t="s">
        <v>7261</v>
      </c>
      <c r="F378" s="45" t="s">
        <v>7287</v>
      </c>
      <c r="G378" s="46" t="s">
        <v>7284</v>
      </c>
      <c r="H378" s="47" t="s">
        <v>36</v>
      </c>
      <c r="I378" s="125" t="s">
        <v>31</v>
      </c>
      <c r="J378" s="155"/>
      <c r="K378" s="155"/>
      <c r="L378" s="155"/>
      <c r="M378" s="155"/>
      <c r="N378" s="155"/>
      <c r="O378" s="155"/>
    </row>
    <row r="379" spans="1:15" ht="409.5">
      <c r="A379" s="397"/>
      <c r="B379" s="44" t="s">
        <v>658</v>
      </c>
      <c r="C379" s="45" t="s">
        <v>7288</v>
      </c>
      <c r="D379" s="45" t="s">
        <v>7289</v>
      </c>
      <c r="E379" s="78" t="s">
        <v>7261</v>
      </c>
      <c r="F379" s="45" t="s">
        <v>7290</v>
      </c>
      <c r="G379" s="46" t="s">
        <v>7284</v>
      </c>
      <c r="H379" s="47" t="s">
        <v>36</v>
      </c>
      <c r="I379" s="125" t="s">
        <v>31</v>
      </c>
      <c r="J379" s="155"/>
      <c r="K379" s="155"/>
      <c r="L379" s="155"/>
      <c r="M379" s="155"/>
      <c r="N379" s="155"/>
      <c r="O379" s="155"/>
    </row>
    <row r="380" spans="1:15" ht="409.5">
      <c r="A380" s="397"/>
      <c r="B380" s="44" t="s">
        <v>658</v>
      </c>
      <c r="C380" s="45" t="s">
        <v>7291</v>
      </c>
      <c r="D380" s="45" t="s">
        <v>7292</v>
      </c>
      <c r="E380" s="78" t="s">
        <v>7282</v>
      </c>
      <c r="F380" s="45" t="s">
        <v>7293</v>
      </c>
      <c r="G380" s="46" t="s">
        <v>7294</v>
      </c>
      <c r="H380" s="47" t="s">
        <v>36</v>
      </c>
      <c r="I380" s="125" t="s">
        <v>31</v>
      </c>
      <c r="J380" s="155"/>
      <c r="K380" s="155"/>
      <c r="L380" s="155"/>
      <c r="M380" s="155"/>
      <c r="N380" s="155"/>
      <c r="O380" s="155"/>
    </row>
    <row r="381" spans="1:15" ht="409.5">
      <c r="A381" s="397"/>
      <c r="B381" s="44" t="s">
        <v>658</v>
      </c>
      <c r="C381" s="45" t="s">
        <v>7295</v>
      </c>
      <c r="D381" s="45" t="s">
        <v>7296</v>
      </c>
      <c r="E381" s="78" t="s">
        <v>7282</v>
      </c>
      <c r="F381" s="45" t="s">
        <v>7297</v>
      </c>
      <c r="G381" s="46" t="s">
        <v>7294</v>
      </c>
      <c r="H381" s="47" t="s">
        <v>36</v>
      </c>
      <c r="I381" s="125" t="s">
        <v>31</v>
      </c>
      <c r="J381" s="155"/>
      <c r="K381" s="155"/>
      <c r="L381" s="155"/>
      <c r="M381" s="155"/>
      <c r="N381" s="155"/>
      <c r="O381" s="155"/>
    </row>
    <row r="382" spans="1:15" ht="409.5">
      <c r="A382" s="397"/>
      <c r="B382" s="44" t="s">
        <v>658</v>
      </c>
      <c r="C382" s="45" t="s">
        <v>7298</v>
      </c>
      <c r="D382" s="45" t="s">
        <v>7299</v>
      </c>
      <c r="E382" s="78" t="s">
        <v>7282</v>
      </c>
      <c r="F382" s="45" t="s">
        <v>7300</v>
      </c>
      <c r="G382" s="46" t="s">
        <v>7294</v>
      </c>
      <c r="H382" s="47" t="s">
        <v>36</v>
      </c>
      <c r="I382" s="125" t="s">
        <v>31</v>
      </c>
      <c r="J382" s="155"/>
      <c r="K382" s="155"/>
      <c r="L382" s="155"/>
      <c r="M382" s="155"/>
      <c r="N382" s="155"/>
      <c r="O382" s="155"/>
    </row>
    <row r="383" spans="1:15" ht="409.5">
      <c r="A383" s="397"/>
      <c r="B383" s="44" t="s">
        <v>658</v>
      </c>
      <c r="C383" s="45" t="s">
        <v>7301</v>
      </c>
      <c r="D383" s="45" t="s">
        <v>7302</v>
      </c>
      <c r="E383" s="78" t="s">
        <v>7282</v>
      </c>
      <c r="F383" s="45" t="s">
        <v>7303</v>
      </c>
      <c r="G383" s="46" t="s">
        <v>7294</v>
      </c>
      <c r="H383" s="47" t="s">
        <v>36</v>
      </c>
      <c r="I383" s="125" t="s">
        <v>31</v>
      </c>
      <c r="J383" s="155"/>
      <c r="K383" s="155"/>
      <c r="L383" s="155"/>
      <c r="M383" s="155"/>
      <c r="N383" s="155"/>
      <c r="O383" s="155"/>
    </row>
    <row r="384" spans="1:15" ht="409.5">
      <c r="A384" s="397"/>
      <c r="B384" s="44" t="s">
        <v>658</v>
      </c>
      <c r="C384" s="45" t="s">
        <v>7304</v>
      </c>
      <c r="D384" s="45" t="s">
        <v>7305</v>
      </c>
      <c r="E384" s="78" t="s">
        <v>7282</v>
      </c>
      <c r="F384" s="45" t="s">
        <v>7306</v>
      </c>
      <c r="G384" s="46" t="s">
        <v>7294</v>
      </c>
      <c r="H384" s="47" t="s">
        <v>36</v>
      </c>
      <c r="I384" s="125" t="s">
        <v>31</v>
      </c>
      <c r="J384" s="155"/>
      <c r="K384" s="155"/>
      <c r="L384" s="155"/>
      <c r="M384" s="155"/>
      <c r="N384" s="155"/>
      <c r="O384" s="155"/>
    </row>
    <row r="385" spans="1:15" ht="409.5">
      <c r="A385" s="397"/>
      <c r="B385" s="56" t="s">
        <v>658</v>
      </c>
      <c r="C385" s="53" t="s">
        <v>7307</v>
      </c>
      <c r="D385" s="53" t="s">
        <v>7308</v>
      </c>
      <c r="E385" s="73" t="s">
        <v>7282</v>
      </c>
      <c r="F385" s="53" t="s">
        <v>7309</v>
      </c>
      <c r="G385" s="60" t="s">
        <v>7294</v>
      </c>
      <c r="H385" s="49" t="s">
        <v>36</v>
      </c>
      <c r="I385" s="125" t="s">
        <v>31</v>
      </c>
      <c r="J385" s="155"/>
      <c r="K385" s="155"/>
      <c r="L385" s="155"/>
      <c r="M385" s="155"/>
      <c r="N385" s="155"/>
      <c r="O385" s="155"/>
    </row>
    <row r="386" spans="1:15" ht="409.5">
      <c r="A386" s="397"/>
      <c r="B386" s="44" t="s">
        <v>658</v>
      </c>
      <c r="C386" s="45" t="s">
        <v>7310</v>
      </c>
      <c r="D386" s="45" t="s">
        <v>7311</v>
      </c>
      <c r="E386" s="78" t="s">
        <v>7261</v>
      </c>
      <c r="F386" s="45" t="s">
        <v>7312</v>
      </c>
      <c r="G386" s="46" t="s">
        <v>7313</v>
      </c>
      <c r="H386" s="47" t="s">
        <v>36</v>
      </c>
      <c r="I386" s="125" t="s">
        <v>31</v>
      </c>
      <c r="J386" s="155"/>
      <c r="K386" s="155"/>
      <c r="L386" s="155"/>
      <c r="M386" s="155"/>
      <c r="N386" s="155"/>
      <c r="O386" s="155"/>
    </row>
    <row r="387" spans="1:15" ht="409.5">
      <c r="A387" s="397"/>
      <c r="B387" s="44" t="s">
        <v>658</v>
      </c>
      <c r="C387" s="45" t="s">
        <v>7314</v>
      </c>
      <c r="D387" s="45" t="s">
        <v>7315</v>
      </c>
      <c r="E387" s="78" t="s">
        <v>7316</v>
      </c>
      <c r="F387" s="45" t="s">
        <v>7317</v>
      </c>
      <c r="G387" s="46" t="s">
        <v>7270</v>
      </c>
      <c r="H387" s="47" t="s">
        <v>117</v>
      </c>
      <c r="I387" s="120"/>
      <c r="J387" s="155"/>
      <c r="K387" s="155"/>
      <c r="L387" s="155"/>
      <c r="M387" s="155"/>
      <c r="N387" s="155"/>
      <c r="O387" s="155"/>
    </row>
    <row r="388" spans="1:15" ht="409.5">
      <c r="A388" s="397"/>
      <c r="B388" s="44" t="s">
        <v>658</v>
      </c>
      <c r="C388" s="45" t="s">
        <v>7318</v>
      </c>
      <c r="D388" s="45" t="s">
        <v>7319</v>
      </c>
      <c r="E388" s="78" t="s">
        <v>7316</v>
      </c>
      <c r="F388" s="45" t="s">
        <v>7320</v>
      </c>
      <c r="G388" s="46" t="s">
        <v>7270</v>
      </c>
      <c r="H388" s="47" t="s">
        <v>117</v>
      </c>
      <c r="I388" s="120"/>
      <c r="J388" s="155"/>
      <c r="K388" s="155"/>
      <c r="L388" s="155"/>
      <c r="M388" s="155"/>
      <c r="N388" s="155"/>
      <c r="O388" s="155"/>
    </row>
    <row r="389" spans="1:15" ht="409.5">
      <c r="A389" s="397"/>
      <c r="B389" s="44" t="s">
        <v>658</v>
      </c>
      <c r="C389" s="45" t="s">
        <v>7321</v>
      </c>
      <c r="D389" s="45" t="s">
        <v>7322</v>
      </c>
      <c r="E389" s="78" t="s">
        <v>7323</v>
      </c>
      <c r="F389" s="45" t="s">
        <v>7324</v>
      </c>
      <c r="G389" s="46" t="s">
        <v>7294</v>
      </c>
      <c r="H389" s="47" t="s">
        <v>117</v>
      </c>
      <c r="I389" s="120"/>
      <c r="J389" s="155"/>
      <c r="K389" s="155"/>
      <c r="L389" s="155"/>
      <c r="M389" s="155"/>
      <c r="N389" s="155"/>
      <c r="O389" s="155"/>
    </row>
    <row r="390" spans="1:15" ht="409.5">
      <c r="A390" s="397"/>
      <c r="B390" s="44" t="s">
        <v>658</v>
      </c>
      <c r="C390" s="45" t="s">
        <v>7325</v>
      </c>
      <c r="D390" s="45" t="s">
        <v>7326</v>
      </c>
      <c r="E390" s="78" t="s">
        <v>7327</v>
      </c>
      <c r="F390" s="45" t="s">
        <v>7328</v>
      </c>
      <c r="G390" s="46" t="s">
        <v>7329</v>
      </c>
      <c r="H390" s="47" t="s">
        <v>117</v>
      </c>
      <c r="I390" s="120"/>
      <c r="J390" s="155"/>
      <c r="K390" s="155"/>
      <c r="L390" s="155"/>
      <c r="M390" s="155"/>
      <c r="N390" s="155"/>
      <c r="O390" s="155"/>
    </row>
    <row r="391" spans="1:15" ht="409.5">
      <c r="A391" s="397"/>
      <c r="B391" s="44" t="s">
        <v>658</v>
      </c>
      <c r="C391" s="45" t="s">
        <v>7330</v>
      </c>
      <c r="D391" s="45" t="s">
        <v>7331</v>
      </c>
      <c r="E391" s="78" t="s">
        <v>7332</v>
      </c>
      <c r="F391" s="45" t="s">
        <v>7333</v>
      </c>
      <c r="G391" s="46" t="s">
        <v>7334</v>
      </c>
      <c r="H391" s="47" t="s">
        <v>30</v>
      </c>
      <c r="I391" s="125" t="s">
        <v>31</v>
      </c>
      <c r="J391" s="155"/>
      <c r="K391" s="155"/>
      <c r="L391" s="155"/>
      <c r="M391" s="155"/>
      <c r="N391" s="155"/>
      <c r="O391" s="155"/>
    </row>
    <row r="392" spans="1:15" ht="409.5">
      <c r="A392" s="397"/>
      <c r="B392" s="44" t="s">
        <v>658</v>
      </c>
      <c r="C392" s="45" t="s">
        <v>7335</v>
      </c>
      <c r="D392" s="45" t="s">
        <v>7336</v>
      </c>
      <c r="E392" s="78" t="s">
        <v>7332</v>
      </c>
      <c r="F392" s="45" t="s">
        <v>7337</v>
      </c>
      <c r="G392" s="46" t="s">
        <v>7334</v>
      </c>
      <c r="H392" s="47" t="s">
        <v>30</v>
      </c>
      <c r="I392" s="125" t="s">
        <v>31</v>
      </c>
      <c r="J392" s="155"/>
      <c r="K392" s="155"/>
      <c r="L392" s="155"/>
      <c r="M392" s="155"/>
      <c r="N392" s="155"/>
      <c r="O392" s="155"/>
    </row>
    <row r="393" spans="1:15" ht="409.5">
      <c r="A393" s="397"/>
      <c r="B393" s="44" t="s">
        <v>658</v>
      </c>
      <c r="C393" s="45" t="s">
        <v>7338</v>
      </c>
      <c r="D393" s="45" t="s">
        <v>7339</v>
      </c>
      <c r="E393" s="78" t="s">
        <v>7332</v>
      </c>
      <c r="F393" s="45" t="s">
        <v>7340</v>
      </c>
      <c r="G393" s="46" t="s">
        <v>7341</v>
      </c>
      <c r="H393" s="47" t="s">
        <v>30</v>
      </c>
      <c r="I393" s="125" t="s">
        <v>31</v>
      </c>
      <c r="J393" s="155"/>
      <c r="K393" s="155"/>
      <c r="L393" s="155"/>
      <c r="M393" s="155"/>
      <c r="N393" s="155"/>
      <c r="O393" s="155"/>
    </row>
    <row r="394" spans="1:15" ht="409.5">
      <c r="A394" s="397"/>
      <c r="B394" s="44" t="s">
        <v>658</v>
      </c>
      <c r="C394" s="45" t="s">
        <v>7342</v>
      </c>
      <c r="D394" s="45" t="s">
        <v>7343</v>
      </c>
      <c r="E394" s="78" t="s">
        <v>7332</v>
      </c>
      <c r="F394" s="45" t="s">
        <v>7344</v>
      </c>
      <c r="G394" s="46" t="s">
        <v>7341</v>
      </c>
      <c r="H394" s="47" t="s">
        <v>30</v>
      </c>
      <c r="I394" s="125" t="s">
        <v>31</v>
      </c>
      <c r="J394" s="155"/>
      <c r="K394" s="155"/>
      <c r="L394" s="155"/>
      <c r="M394" s="155"/>
      <c r="N394" s="155"/>
      <c r="O394" s="155"/>
    </row>
    <row r="395" spans="1:15" ht="409.5">
      <c r="A395" s="397"/>
      <c r="B395" s="44" t="s">
        <v>658</v>
      </c>
      <c r="C395" s="45" t="s">
        <v>7345</v>
      </c>
      <c r="D395" s="45" t="s">
        <v>7346</v>
      </c>
      <c r="E395" s="78" t="s">
        <v>7332</v>
      </c>
      <c r="F395" s="45" t="s">
        <v>7347</v>
      </c>
      <c r="G395" s="46" t="s">
        <v>7341</v>
      </c>
      <c r="H395" s="47" t="s">
        <v>30</v>
      </c>
      <c r="I395" s="125" t="s">
        <v>31</v>
      </c>
      <c r="J395" s="155"/>
      <c r="K395" s="155"/>
      <c r="L395" s="155"/>
      <c r="M395" s="155"/>
      <c r="N395" s="155"/>
      <c r="O395" s="155"/>
    </row>
    <row r="396" spans="1:15" ht="409.5">
      <c r="A396" s="397"/>
      <c r="B396" s="44" t="s">
        <v>658</v>
      </c>
      <c r="C396" s="45" t="s">
        <v>7348</v>
      </c>
      <c r="D396" s="45" t="s">
        <v>7349</v>
      </c>
      <c r="E396" s="78" t="s">
        <v>7332</v>
      </c>
      <c r="F396" s="45" t="s">
        <v>7350</v>
      </c>
      <c r="G396" s="46" t="s">
        <v>7351</v>
      </c>
      <c r="H396" s="47" t="s">
        <v>30</v>
      </c>
      <c r="I396" s="125" t="s">
        <v>31</v>
      </c>
      <c r="J396" s="155"/>
      <c r="K396" s="155"/>
      <c r="L396" s="155"/>
      <c r="M396" s="155"/>
      <c r="N396" s="155"/>
      <c r="O396" s="155"/>
    </row>
    <row r="397" spans="1:15" ht="409.5">
      <c r="A397" s="397"/>
      <c r="B397" s="56" t="s">
        <v>658</v>
      </c>
      <c r="C397" s="53" t="s">
        <v>7352</v>
      </c>
      <c r="D397" s="53" t="s">
        <v>7353</v>
      </c>
      <c r="E397" s="73" t="s">
        <v>7332</v>
      </c>
      <c r="F397" s="53" t="s">
        <v>7354</v>
      </c>
      <c r="G397" s="60" t="s">
        <v>7351</v>
      </c>
      <c r="H397" s="49" t="s">
        <v>30</v>
      </c>
      <c r="I397" s="125" t="s">
        <v>31</v>
      </c>
      <c r="J397" s="155"/>
      <c r="K397" s="155"/>
      <c r="L397" s="155"/>
      <c r="M397" s="155"/>
      <c r="N397" s="155"/>
      <c r="O397" s="155"/>
    </row>
    <row r="398" spans="1:15" ht="409.5">
      <c r="A398" s="397"/>
      <c r="B398" s="56" t="s">
        <v>658</v>
      </c>
      <c r="C398" s="53" t="s">
        <v>7355</v>
      </c>
      <c r="D398" s="53" t="s">
        <v>7356</v>
      </c>
      <c r="E398" s="73" t="s">
        <v>7332</v>
      </c>
      <c r="F398" s="53" t="s">
        <v>7357</v>
      </c>
      <c r="G398" s="60" t="s">
        <v>7351</v>
      </c>
      <c r="H398" s="49" t="s">
        <v>30</v>
      </c>
      <c r="I398" s="125" t="s">
        <v>31</v>
      </c>
      <c r="J398" s="155"/>
      <c r="K398" s="155"/>
      <c r="L398" s="155"/>
      <c r="M398" s="155"/>
      <c r="N398" s="155"/>
      <c r="O398" s="155"/>
    </row>
    <row r="399" spans="1:15" ht="409.5">
      <c r="A399" s="397"/>
      <c r="B399" s="56" t="s">
        <v>658</v>
      </c>
      <c r="C399" s="53" t="s">
        <v>7358</v>
      </c>
      <c r="D399" s="53" t="s">
        <v>7359</v>
      </c>
      <c r="E399" s="73" t="s">
        <v>7332</v>
      </c>
      <c r="F399" s="53" t="s">
        <v>7360</v>
      </c>
      <c r="G399" s="60" t="s">
        <v>7351</v>
      </c>
      <c r="H399" s="49" t="s">
        <v>30</v>
      </c>
      <c r="I399" s="125" t="s">
        <v>31</v>
      </c>
      <c r="J399" s="155"/>
      <c r="K399" s="155"/>
      <c r="L399" s="155"/>
      <c r="M399" s="155"/>
      <c r="N399" s="155"/>
      <c r="O399" s="155"/>
    </row>
    <row r="400" spans="1:15" ht="409.5">
      <c r="A400" s="397"/>
      <c r="B400" s="56" t="s">
        <v>658</v>
      </c>
      <c r="C400" s="53" t="s">
        <v>7361</v>
      </c>
      <c r="D400" s="53" t="s">
        <v>7362</v>
      </c>
      <c r="E400" s="73" t="s">
        <v>7332</v>
      </c>
      <c r="F400" s="53" t="s">
        <v>7363</v>
      </c>
      <c r="G400" s="60" t="s">
        <v>7364</v>
      </c>
      <c r="H400" s="49" t="s">
        <v>30</v>
      </c>
      <c r="I400" s="125" t="s">
        <v>31</v>
      </c>
      <c r="J400" s="155"/>
      <c r="K400" s="155"/>
      <c r="L400" s="155"/>
      <c r="M400" s="155"/>
      <c r="N400" s="155"/>
      <c r="O400" s="155"/>
    </row>
    <row r="401" spans="1:15" ht="409.5">
      <c r="A401" s="397"/>
      <c r="B401" s="56" t="s">
        <v>658</v>
      </c>
      <c r="C401" s="53" t="s">
        <v>7365</v>
      </c>
      <c r="D401" s="53" t="s">
        <v>7366</v>
      </c>
      <c r="E401" s="73" t="s">
        <v>7332</v>
      </c>
      <c r="F401" s="53" t="s">
        <v>7367</v>
      </c>
      <c r="G401" s="60" t="s">
        <v>7364</v>
      </c>
      <c r="H401" s="49" t="s">
        <v>30</v>
      </c>
      <c r="I401" s="125" t="s">
        <v>31</v>
      </c>
      <c r="J401" s="155"/>
      <c r="K401" s="155"/>
      <c r="L401" s="155"/>
      <c r="M401" s="155"/>
      <c r="N401" s="155"/>
      <c r="O401" s="155"/>
    </row>
    <row r="402" spans="1:15" ht="409.5">
      <c r="A402" s="397"/>
      <c r="B402" s="56" t="s">
        <v>658</v>
      </c>
      <c r="C402" s="53" t="s">
        <v>7368</v>
      </c>
      <c r="D402" s="53" t="s">
        <v>7369</v>
      </c>
      <c r="E402" s="73" t="s">
        <v>7332</v>
      </c>
      <c r="F402" s="53" t="s">
        <v>7370</v>
      </c>
      <c r="G402" s="60" t="s">
        <v>7364</v>
      </c>
      <c r="H402" s="49" t="s">
        <v>30</v>
      </c>
      <c r="I402" s="125" t="s">
        <v>31</v>
      </c>
      <c r="J402" s="155"/>
      <c r="K402" s="155"/>
      <c r="L402" s="155"/>
      <c r="M402" s="155"/>
      <c r="N402" s="155"/>
      <c r="O402" s="155"/>
    </row>
    <row r="403" spans="1:15" ht="409.5">
      <c r="A403" s="397"/>
      <c r="B403" s="56" t="s">
        <v>658</v>
      </c>
      <c r="C403" s="53" t="s">
        <v>7371</v>
      </c>
      <c r="D403" s="53" t="s">
        <v>7372</v>
      </c>
      <c r="E403" s="73" t="s">
        <v>7332</v>
      </c>
      <c r="F403" s="53" t="s">
        <v>7373</v>
      </c>
      <c r="G403" s="60" t="s">
        <v>7364</v>
      </c>
      <c r="H403" s="49" t="s">
        <v>30</v>
      </c>
      <c r="I403" s="125" t="s">
        <v>31</v>
      </c>
      <c r="J403" s="155"/>
      <c r="K403" s="155"/>
      <c r="L403" s="155"/>
      <c r="M403" s="155"/>
      <c r="N403" s="155"/>
      <c r="O403" s="155"/>
    </row>
    <row r="404" spans="1:15" ht="409.5">
      <c r="A404" s="397"/>
      <c r="B404" s="56" t="s">
        <v>658</v>
      </c>
      <c r="C404" s="53" t="s">
        <v>7374</v>
      </c>
      <c r="D404" s="53" t="s">
        <v>7375</v>
      </c>
      <c r="E404" s="73" t="s">
        <v>7332</v>
      </c>
      <c r="F404" s="53" t="s">
        <v>7376</v>
      </c>
      <c r="G404" s="60" t="s">
        <v>7364</v>
      </c>
      <c r="H404" s="49" t="s">
        <v>30</v>
      </c>
      <c r="I404" s="125" t="s">
        <v>31</v>
      </c>
      <c r="J404" s="155"/>
      <c r="K404" s="155"/>
      <c r="L404" s="155"/>
      <c r="M404" s="155"/>
      <c r="N404" s="155"/>
      <c r="O404" s="155"/>
    </row>
    <row r="405" spans="1:15" ht="409.5">
      <c r="A405" s="397"/>
      <c r="B405" s="56" t="s">
        <v>658</v>
      </c>
      <c r="C405" s="53" t="s">
        <v>7377</v>
      </c>
      <c r="D405" s="53" t="s">
        <v>7378</v>
      </c>
      <c r="E405" s="73" t="s">
        <v>7332</v>
      </c>
      <c r="F405" s="53" t="s">
        <v>7379</v>
      </c>
      <c r="G405" s="60" t="s">
        <v>7364</v>
      </c>
      <c r="H405" s="49" t="s">
        <v>30</v>
      </c>
      <c r="I405" s="125" t="s">
        <v>31</v>
      </c>
      <c r="J405" s="155"/>
      <c r="K405" s="155"/>
      <c r="L405" s="155"/>
      <c r="M405" s="155"/>
      <c r="N405" s="155"/>
      <c r="O405" s="155"/>
    </row>
    <row r="406" spans="1:15" ht="409.5">
      <c r="A406" s="397"/>
      <c r="B406" s="50" t="s">
        <v>775</v>
      </c>
      <c r="C406" s="45" t="s">
        <v>7380</v>
      </c>
      <c r="D406" s="59" t="s">
        <v>7381</v>
      </c>
      <c r="E406" s="78" t="s">
        <v>7282</v>
      </c>
      <c r="F406" s="45" t="s">
        <v>7382</v>
      </c>
      <c r="G406" s="46" t="s">
        <v>7263</v>
      </c>
      <c r="H406" s="47" t="s">
        <v>24</v>
      </c>
      <c r="I406" s="125" t="s">
        <v>31</v>
      </c>
      <c r="J406" s="155"/>
      <c r="K406" s="155"/>
      <c r="L406" s="155"/>
      <c r="M406" s="155"/>
      <c r="N406" s="155"/>
      <c r="O406" s="155"/>
    </row>
    <row r="407" spans="1:15" ht="409.5">
      <c r="A407" s="397"/>
      <c r="B407" s="50" t="s">
        <v>775</v>
      </c>
      <c r="C407" s="45" t="s">
        <v>7383</v>
      </c>
      <c r="D407" s="59" t="s">
        <v>7384</v>
      </c>
      <c r="E407" s="78" t="s">
        <v>7282</v>
      </c>
      <c r="F407" s="45" t="s">
        <v>7385</v>
      </c>
      <c r="G407" s="46" t="s">
        <v>7263</v>
      </c>
      <c r="H407" s="47" t="s">
        <v>24</v>
      </c>
      <c r="I407" s="125" t="s">
        <v>31</v>
      </c>
      <c r="J407" s="155"/>
      <c r="K407" s="155"/>
      <c r="L407" s="155"/>
      <c r="M407" s="155"/>
      <c r="N407" s="155"/>
      <c r="O407" s="155"/>
    </row>
    <row r="408" spans="1:15" ht="409.5">
      <c r="A408" s="397"/>
      <c r="B408" s="50" t="s">
        <v>775</v>
      </c>
      <c r="C408" s="45" t="s">
        <v>7386</v>
      </c>
      <c r="D408" s="59" t="s">
        <v>7387</v>
      </c>
      <c r="E408" s="78" t="s">
        <v>7282</v>
      </c>
      <c r="F408" s="45" t="s">
        <v>7388</v>
      </c>
      <c r="G408" s="46" t="s">
        <v>7270</v>
      </c>
      <c r="H408" s="47" t="s">
        <v>24</v>
      </c>
      <c r="I408" s="125" t="s">
        <v>31</v>
      </c>
      <c r="J408" s="155"/>
      <c r="K408" s="155"/>
      <c r="L408" s="155"/>
      <c r="M408" s="155"/>
      <c r="N408" s="155"/>
      <c r="O408" s="155"/>
    </row>
    <row r="409" spans="1:15" ht="409.5">
      <c r="A409" s="397"/>
      <c r="B409" s="50" t="s">
        <v>775</v>
      </c>
      <c r="C409" s="45" t="s">
        <v>7389</v>
      </c>
      <c r="D409" s="59" t="s">
        <v>7390</v>
      </c>
      <c r="E409" s="78" t="s">
        <v>7282</v>
      </c>
      <c r="F409" s="45" t="s">
        <v>7391</v>
      </c>
      <c r="G409" s="46" t="s">
        <v>7270</v>
      </c>
      <c r="H409" s="47" t="s">
        <v>24</v>
      </c>
      <c r="I409" s="125" t="s">
        <v>31</v>
      </c>
      <c r="J409" s="155"/>
      <c r="K409" s="155"/>
      <c r="L409" s="155"/>
      <c r="M409" s="155"/>
      <c r="N409" s="155"/>
      <c r="O409" s="155"/>
    </row>
    <row r="410" spans="1:15" ht="409.5">
      <c r="A410" s="397"/>
      <c r="B410" s="51" t="s">
        <v>775</v>
      </c>
      <c r="C410" s="53" t="s">
        <v>7392</v>
      </c>
      <c r="D410" s="75" t="s">
        <v>7393</v>
      </c>
      <c r="E410" s="73" t="s">
        <v>7282</v>
      </c>
      <c r="F410" s="53" t="s">
        <v>7394</v>
      </c>
      <c r="G410" s="60" t="s">
        <v>7270</v>
      </c>
      <c r="H410" s="49" t="s">
        <v>24</v>
      </c>
      <c r="I410" s="125" t="s">
        <v>31</v>
      </c>
      <c r="J410" s="155"/>
      <c r="K410" s="155"/>
      <c r="L410" s="155"/>
      <c r="M410" s="155"/>
      <c r="N410" s="155"/>
      <c r="O410" s="155"/>
    </row>
    <row r="411" spans="1:15" ht="409.5">
      <c r="A411" s="397"/>
      <c r="B411" s="50" t="s">
        <v>775</v>
      </c>
      <c r="C411" s="45" t="s">
        <v>7395</v>
      </c>
      <c r="D411" s="59" t="s">
        <v>7396</v>
      </c>
      <c r="E411" s="78" t="s">
        <v>7282</v>
      </c>
      <c r="F411" s="45" t="s">
        <v>7397</v>
      </c>
      <c r="G411" s="46" t="s">
        <v>7284</v>
      </c>
      <c r="H411" s="47" t="s">
        <v>24</v>
      </c>
      <c r="I411" s="125" t="s">
        <v>31</v>
      </c>
      <c r="J411" s="155"/>
      <c r="K411" s="155"/>
      <c r="L411" s="155"/>
      <c r="M411" s="155"/>
      <c r="N411" s="155"/>
      <c r="O411" s="155"/>
    </row>
    <row r="412" spans="1:15" ht="409.5">
      <c r="A412" s="397"/>
      <c r="B412" s="50" t="s">
        <v>775</v>
      </c>
      <c r="C412" s="45" t="s">
        <v>7398</v>
      </c>
      <c r="D412" s="59" t="s">
        <v>7399</v>
      </c>
      <c r="E412" s="78" t="s">
        <v>7282</v>
      </c>
      <c r="F412" s="45" t="s">
        <v>7400</v>
      </c>
      <c r="G412" s="46" t="s">
        <v>7284</v>
      </c>
      <c r="H412" s="47" t="s">
        <v>41</v>
      </c>
      <c r="I412" s="125" t="s">
        <v>31</v>
      </c>
      <c r="J412" s="155"/>
      <c r="K412" s="155"/>
      <c r="L412" s="155"/>
      <c r="M412" s="155"/>
      <c r="N412" s="155"/>
      <c r="O412" s="155"/>
    </row>
    <row r="413" spans="1:15" ht="409.5">
      <c r="A413" s="397"/>
      <c r="B413" s="50" t="s">
        <v>775</v>
      </c>
      <c r="C413" s="45" t="s">
        <v>7401</v>
      </c>
      <c r="D413" s="59" t="s">
        <v>7402</v>
      </c>
      <c r="E413" s="78" t="s">
        <v>7282</v>
      </c>
      <c r="F413" s="45" t="s">
        <v>7403</v>
      </c>
      <c r="G413" s="46" t="s">
        <v>7284</v>
      </c>
      <c r="H413" s="47" t="s">
        <v>24</v>
      </c>
      <c r="I413" s="125" t="s">
        <v>31</v>
      </c>
      <c r="J413" s="155"/>
      <c r="K413" s="155"/>
      <c r="L413" s="155"/>
      <c r="M413" s="155"/>
      <c r="N413" s="155"/>
      <c r="O413" s="155"/>
    </row>
    <row r="414" spans="1:15" ht="409.5">
      <c r="A414" s="397"/>
      <c r="B414" s="50" t="s">
        <v>775</v>
      </c>
      <c r="C414" s="45" t="s">
        <v>7404</v>
      </c>
      <c r="D414" s="59" t="s">
        <v>7405</v>
      </c>
      <c r="E414" s="78" t="s">
        <v>7282</v>
      </c>
      <c r="F414" s="45" t="s">
        <v>7406</v>
      </c>
      <c r="G414" s="46" t="s">
        <v>7284</v>
      </c>
      <c r="H414" s="47" t="s">
        <v>36</v>
      </c>
      <c r="I414" s="125" t="s">
        <v>31</v>
      </c>
      <c r="J414" s="155"/>
      <c r="K414" s="155"/>
      <c r="L414" s="155"/>
      <c r="M414" s="155"/>
      <c r="N414" s="155"/>
      <c r="O414" s="155"/>
    </row>
    <row r="415" spans="1:15" ht="409.5">
      <c r="A415" s="397"/>
      <c r="B415" s="50" t="s">
        <v>775</v>
      </c>
      <c r="C415" s="45" t="s">
        <v>7407</v>
      </c>
      <c r="D415" s="59" t="s">
        <v>7408</v>
      </c>
      <c r="E415" s="78" t="s">
        <v>7282</v>
      </c>
      <c r="F415" s="45" t="s">
        <v>7409</v>
      </c>
      <c r="G415" s="46" t="s">
        <v>7294</v>
      </c>
      <c r="H415" s="47" t="s">
        <v>36</v>
      </c>
      <c r="I415" s="125" t="s">
        <v>31</v>
      </c>
      <c r="J415" s="155"/>
      <c r="K415" s="155"/>
      <c r="L415" s="155"/>
      <c r="M415" s="155"/>
      <c r="N415" s="155"/>
      <c r="O415" s="155"/>
    </row>
    <row r="416" spans="1:15" ht="409.5">
      <c r="A416" s="397"/>
      <c r="B416" s="50" t="s">
        <v>775</v>
      </c>
      <c r="C416" s="45" t="s">
        <v>7410</v>
      </c>
      <c r="D416" s="59" t="s">
        <v>7411</v>
      </c>
      <c r="E416" s="78" t="s">
        <v>7282</v>
      </c>
      <c r="F416" s="45" t="s">
        <v>7412</v>
      </c>
      <c r="G416" s="46" t="s">
        <v>7294</v>
      </c>
      <c r="H416" s="47" t="s">
        <v>41</v>
      </c>
      <c r="I416" s="125"/>
      <c r="J416" s="155"/>
      <c r="K416" s="155"/>
      <c r="L416" s="155"/>
      <c r="M416" s="155"/>
      <c r="N416" s="155"/>
      <c r="O416" s="155"/>
    </row>
    <row r="417" spans="1:15" ht="409.5">
      <c r="A417" s="397"/>
      <c r="B417" s="50" t="s">
        <v>775</v>
      </c>
      <c r="C417" s="45" t="s">
        <v>7413</v>
      </c>
      <c r="D417" s="59" t="s">
        <v>7414</v>
      </c>
      <c r="E417" s="78" t="s">
        <v>7282</v>
      </c>
      <c r="F417" s="45" t="s">
        <v>7415</v>
      </c>
      <c r="G417" s="46" t="s">
        <v>7294</v>
      </c>
      <c r="H417" s="47" t="s">
        <v>41</v>
      </c>
      <c r="I417" s="125"/>
      <c r="J417" s="155"/>
      <c r="K417" s="155"/>
      <c r="L417" s="155"/>
      <c r="M417" s="155"/>
      <c r="N417" s="155"/>
      <c r="O417" s="155"/>
    </row>
    <row r="418" spans="1:15" ht="409.5">
      <c r="A418" s="397"/>
      <c r="B418" s="50" t="s">
        <v>775</v>
      </c>
      <c r="C418" s="45" t="s">
        <v>7416</v>
      </c>
      <c r="D418" s="59" t="s">
        <v>7417</v>
      </c>
      <c r="E418" s="78" t="s">
        <v>7282</v>
      </c>
      <c r="F418" s="45" t="s">
        <v>7418</v>
      </c>
      <c r="G418" s="46" t="s">
        <v>7294</v>
      </c>
      <c r="H418" s="47" t="s">
        <v>41</v>
      </c>
      <c r="I418" s="125"/>
      <c r="J418" s="155"/>
      <c r="K418" s="155"/>
      <c r="L418" s="155"/>
      <c r="M418" s="155"/>
      <c r="N418" s="155"/>
      <c r="O418" s="155"/>
    </row>
    <row r="419" spans="1:15" ht="409.5">
      <c r="A419" s="397"/>
      <c r="B419" s="50" t="s">
        <v>775</v>
      </c>
      <c r="C419" s="45" t="s">
        <v>7419</v>
      </c>
      <c r="D419" s="59" t="s">
        <v>7420</v>
      </c>
      <c r="E419" s="78" t="s">
        <v>7282</v>
      </c>
      <c r="F419" s="45" t="s">
        <v>7421</v>
      </c>
      <c r="G419" s="46" t="s">
        <v>7294</v>
      </c>
      <c r="H419" s="47" t="s">
        <v>41</v>
      </c>
      <c r="I419" s="125"/>
      <c r="J419" s="155"/>
      <c r="K419" s="155"/>
      <c r="L419" s="155"/>
      <c r="M419" s="155"/>
      <c r="N419" s="155"/>
      <c r="O419" s="155"/>
    </row>
    <row r="420" spans="1:15" ht="409.5">
      <c r="A420" s="397"/>
      <c r="B420" s="50" t="s">
        <v>775</v>
      </c>
      <c r="C420" s="45" t="s">
        <v>7422</v>
      </c>
      <c r="D420" s="59" t="s">
        <v>7423</v>
      </c>
      <c r="E420" s="78" t="s">
        <v>7282</v>
      </c>
      <c r="F420" s="45" t="s">
        <v>7424</v>
      </c>
      <c r="G420" s="46" t="s">
        <v>7294</v>
      </c>
      <c r="H420" s="47" t="s">
        <v>41</v>
      </c>
      <c r="I420" s="125"/>
      <c r="J420" s="155"/>
      <c r="K420" s="155"/>
      <c r="L420" s="155"/>
      <c r="M420" s="155"/>
      <c r="N420" s="155"/>
      <c r="O420" s="155"/>
    </row>
    <row r="421" spans="1:15" ht="409.5">
      <c r="A421" s="397"/>
      <c r="B421" s="50" t="s">
        <v>775</v>
      </c>
      <c r="C421" s="45" t="s">
        <v>7425</v>
      </c>
      <c r="D421" s="59" t="s">
        <v>7426</v>
      </c>
      <c r="E421" s="78" t="s">
        <v>7261</v>
      </c>
      <c r="F421" s="45" t="s">
        <v>7427</v>
      </c>
      <c r="G421" s="46" t="s">
        <v>7428</v>
      </c>
      <c r="H421" s="47" t="s">
        <v>41</v>
      </c>
      <c r="I421" s="125" t="s">
        <v>31</v>
      </c>
      <c r="J421" s="155"/>
      <c r="K421" s="155"/>
      <c r="L421" s="155"/>
      <c r="M421" s="155"/>
      <c r="N421" s="155"/>
      <c r="O421" s="155"/>
    </row>
    <row r="422" spans="1:15" ht="409.5">
      <c r="A422" s="397"/>
      <c r="B422" s="50" t="s">
        <v>775</v>
      </c>
      <c r="C422" s="45" t="s">
        <v>7429</v>
      </c>
      <c r="D422" s="59" t="s">
        <v>7430</v>
      </c>
      <c r="E422" s="78" t="s">
        <v>7431</v>
      </c>
      <c r="F422" s="45" t="s">
        <v>7432</v>
      </c>
      <c r="G422" s="46" t="s">
        <v>7334</v>
      </c>
      <c r="H422" s="47" t="s">
        <v>41</v>
      </c>
      <c r="I422" s="125" t="s">
        <v>31</v>
      </c>
      <c r="J422" s="155"/>
      <c r="K422" s="155"/>
      <c r="L422" s="155"/>
      <c r="M422" s="155"/>
      <c r="N422" s="155"/>
      <c r="O422" s="155"/>
    </row>
    <row r="423" spans="1:15" ht="409.5">
      <c r="A423" s="397"/>
      <c r="B423" s="50" t="s">
        <v>775</v>
      </c>
      <c r="C423" s="45" t="s">
        <v>7433</v>
      </c>
      <c r="D423" s="59" t="s">
        <v>7434</v>
      </c>
      <c r="E423" s="78" t="s">
        <v>7431</v>
      </c>
      <c r="F423" s="45" t="s">
        <v>7435</v>
      </c>
      <c r="G423" s="46" t="s">
        <v>7334</v>
      </c>
      <c r="H423" s="47" t="s">
        <v>41</v>
      </c>
      <c r="I423" s="125" t="s">
        <v>31</v>
      </c>
      <c r="J423" s="155"/>
      <c r="K423" s="155"/>
      <c r="L423" s="155"/>
      <c r="M423" s="155"/>
      <c r="N423" s="155"/>
      <c r="O423" s="155"/>
    </row>
    <row r="424" spans="1:15" ht="409.5">
      <c r="A424" s="397"/>
      <c r="B424" s="50" t="s">
        <v>775</v>
      </c>
      <c r="C424" s="45" t="s">
        <v>7436</v>
      </c>
      <c r="D424" s="59" t="s">
        <v>7437</v>
      </c>
      <c r="E424" s="78" t="s">
        <v>7431</v>
      </c>
      <c r="F424" s="45" t="s">
        <v>7438</v>
      </c>
      <c r="G424" s="46" t="s">
        <v>7341</v>
      </c>
      <c r="H424" s="47" t="s">
        <v>24</v>
      </c>
      <c r="I424" s="125" t="s">
        <v>31</v>
      </c>
      <c r="J424" s="155"/>
      <c r="K424" s="155"/>
      <c r="L424" s="155"/>
      <c r="M424" s="155"/>
      <c r="N424" s="155"/>
      <c r="O424" s="155"/>
    </row>
    <row r="425" spans="1:15" ht="409.5">
      <c r="A425" s="397"/>
      <c r="B425" s="50" t="s">
        <v>775</v>
      </c>
      <c r="C425" s="45" t="s">
        <v>7439</v>
      </c>
      <c r="D425" s="59" t="s">
        <v>7440</v>
      </c>
      <c r="E425" s="78" t="s">
        <v>7431</v>
      </c>
      <c r="F425" s="45" t="s">
        <v>7441</v>
      </c>
      <c r="G425" s="46" t="s">
        <v>7341</v>
      </c>
      <c r="H425" s="47" t="s">
        <v>41</v>
      </c>
      <c r="I425" s="125" t="s">
        <v>31</v>
      </c>
      <c r="J425" s="155"/>
      <c r="K425" s="155"/>
      <c r="L425" s="155"/>
      <c r="M425" s="155"/>
      <c r="N425" s="155"/>
      <c r="O425" s="155"/>
    </row>
    <row r="426" spans="1:15" ht="409.5">
      <c r="A426" s="397"/>
      <c r="B426" s="50" t="s">
        <v>775</v>
      </c>
      <c r="C426" s="45" t="s">
        <v>7442</v>
      </c>
      <c r="D426" s="59" t="s">
        <v>7443</v>
      </c>
      <c r="E426" s="78" t="s">
        <v>7431</v>
      </c>
      <c r="F426" s="45" t="s">
        <v>7444</v>
      </c>
      <c r="G426" s="46" t="s">
        <v>7341</v>
      </c>
      <c r="H426" s="47" t="s">
        <v>41</v>
      </c>
      <c r="I426" s="125" t="s">
        <v>31</v>
      </c>
      <c r="J426" s="155"/>
      <c r="K426" s="155"/>
      <c r="L426" s="155"/>
      <c r="M426" s="155"/>
      <c r="N426" s="155"/>
      <c r="O426" s="155"/>
    </row>
    <row r="427" spans="1:15" ht="409.5">
      <c r="A427" s="397"/>
      <c r="B427" s="50" t="s">
        <v>775</v>
      </c>
      <c r="C427" s="45" t="s">
        <v>7445</v>
      </c>
      <c r="D427" s="59" t="s">
        <v>7446</v>
      </c>
      <c r="E427" s="78" t="s">
        <v>7431</v>
      </c>
      <c r="F427" s="45" t="s">
        <v>7447</v>
      </c>
      <c r="G427" s="46" t="s">
        <v>7351</v>
      </c>
      <c r="H427" s="47" t="s">
        <v>24</v>
      </c>
      <c r="I427" s="125" t="s">
        <v>31</v>
      </c>
      <c r="J427" s="155"/>
      <c r="K427" s="155"/>
      <c r="L427" s="155"/>
      <c r="M427" s="155"/>
      <c r="N427" s="155"/>
      <c r="O427" s="155"/>
    </row>
    <row r="428" spans="1:15" ht="409.5">
      <c r="A428" s="397"/>
      <c r="B428" s="50" t="s">
        <v>775</v>
      </c>
      <c r="C428" s="45" t="s">
        <v>7448</v>
      </c>
      <c r="D428" s="59" t="s">
        <v>7449</v>
      </c>
      <c r="E428" s="78" t="s">
        <v>7431</v>
      </c>
      <c r="F428" s="45" t="s">
        <v>7450</v>
      </c>
      <c r="G428" s="46" t="s">
        <v>7351</v>
      </c>
      <c r="H428" s="47" t="s">
        <v>62</v>
      </c>
      <c r="I428" s="125" t="s">
        <v>31</v>
      </c>
      <c r="J428" s="155"/>
      <c r="K428" s="155"/>
      <c r="L428" s="155"/>
      <c r="M428" s="155"/>
      <c r="N428" s="155"/>
      <c r="O428" s="155"/>
    </row>
    <row r="429" spans="1:15" ht="409.5">
      <c r="A429" s="397"/>
      <c r="B429" s="50" t="s">
        <v>775</v>
      </c>
      <c r="C429" s="45" t="s">
        <v>7451</v>
      </c>
      <c r="D429" s="59" t="s">
        <v>7452</v>
      </c>
      <c r="E429" s="78" t="s">
        <v>7431</v>
      </c>
      <c r="F429" s="45" t="s">
        <v>7453</v>
      </c>
      <c r="G429" s="46" t="s">
        <v>7351</v>
      </c>
      <c r="H429" s="47" t="s">
        <v>62</v>
      </c>
      <c r="I429" s="125" t="s">
        <v>31</v>
      </c>
      <c r="J429" s="155"/>
      <c r="K429" s="155"/>
      <c r="L429" s="155"/>
      <c r="M429" s="155"/>
      <c r="N429" s="155"/>
      <c r="O429" s="155"/>
    </row>
    <row r="430" spans="1:15" ht="409.5">
      <c r="A430" s="397"/>
      <c r="B430" s="50" t="s">
        <v>775</v>
      </c>
      <c r="C430" s="45" t="s">
        <v>7454</v>
      </c>
      <c r="D430" s="59" t="s">
        <v>7455</v>
      </c>
      <c r="E430" s="78" t="s">
        <v>7431</v>
      </c>
      <c r="F430" s="45" t="s">
        <v>7456</v>
      </c>
      <c r="G430" s="46" t="s">
        <v>7351</v>
      </c>
      <c r="H430" s="47" t="s">
        <v>62</v>
      </c>
      <c r="I430" s="125" t="s">
        <v>31</v>
      </c>
      <c r="J430" s="155"/>
      <c r="K430" s="155"/>
      <c r="L430" s="155"/>
      <c r="M430" s="155"/>
      <c r="N430" s="155"/>
      <c r="O430" s="155"/>
    </row>
    <row r="431" spans="1:15" ht="409.5">
      <c r="A431" s="397"/>
      <c r="B431" s="50" t="s">
        <v>775</v>
      </c>
      <c r="C431" s="45" t="s">
        <v>7457</v>
      </c>
      <c r="D431" s="59" t="s">
        <v>7458</v>
      </c>
      <c r="E431" s="78" t="s">
        <v>7431</v>
      </c>
      <c r="F431" s="45" t="s">
        <v>7459</v>
      </c>
      <c r="G431" s="46" t="s">
        <v>7364</v>
      </c>
      <c r="H431" s="47" t="s">
        <v>62</v>
      </c>
      <c r="I431" s="125" t="s">
        <v>31</v>
      </c>
      <c r="J431" s="155"/>
      <c r="K431" s="155"/>
      <c r="L431" s="155"/>
      <c r="M431" s="155"/>
      <c r="N431" s="155"/>
      <c r="O431" s="155"/>
    </row>
    <row r="432" spans="1:15" ht="409.5">
      <c r="A432" s="397"/>
      <c r="B432" s="50" t="s">
        <v>775</v>
      </c>
      <c r="C432" s="45" t="s">
        <v>7460</v>
      </c>
      <c r="D432" s="59" t="s">
        <v>7461</v>
      </c>
      <c r="E432" s="78" t="s">
        <v>7431</v>
      </c>
      <c r="F432" s="45" t="s">
        <v>7462</v>
      </c>
      <c r="G432" s="46" t="s">
        <v>7364</v>
      </c>
      <c r="H432" s="47" t="s">
        <v>62</v>
      </c>
      <c r="I432" s="125" t="s">
        <v>31</v>
      </c>
      <c r="J432" s="155"/>
      <c r="K432" s="155"/>
      <c r="L432" s="155"/>
      <c r="M432" s="155"/>
      <c r="N432" s="155"/>
      <c r="O432" s="155"/>
    </row>
    <row r="433" spans="1:15" ht="409.5">
      <c r="A433" s="397"/>
      <c r="B433" s="50" t="s">
        <v>775</v>
      </c>
      <c r="C433" s="45" t="s">
        <v>7463</v>
      </c>
      <c r="D433" s="59" t="s">
        <v>7464</v>
      </c>
      <c r="E433" s="78" t="s">
        <v>7431</v>
      </c>
      <c r="F433" s="45" t="s">
        <v>7465</v>
      </c>
      <c r="G433" s="46" t="s">
        <v>7364</v>
      </c>
      <c r="H433" s="47" t="s">
        <v>62</v>
      </c>
      <c r="I433" s="125" t="s">
        <v>31</v>
      </c>
      <c r="J433" s="155"/>
      <c r="K433" s="155"/>
      <c r="L433" s="155"/>
      <c r="M433" s="155"/>
      <c r="N433" s="155"/>
      <c r="O433" s="155"/>
    </row>
    <row r="434" spans="1:15" ht="409.5">
      <c r="A434" s="397"/>
      <c r="B434" s="50" t="s">
        <v>775</v>
      </c>
      <c r="C434" s="45" t="s">
        <v>7466</v>
      </c>
      <c r="D434" s="59" t="s">
        <v>7467</v>
      </c>
      <c r="E434" s="78" t="s">
        <v>7431</v>
      </c>
      <c r="F434" s="45" t="s">
        <v>7468</v>
      </c>
      <c r="G434" s="46" t="s">
        <v>7364</v>
      </c>
      <c r="H434" s="47" t="s">
        <v>62</v>
      </c>
      <c r="I434" s="125" t="s">
        <v>31</v>
      </c>
      <c r="J434" s="155"/>
      <c r="K434" s="155"/>
      <c r="L434" s="155"/>
      <c r="M434" s="155"/>
      <c r="N434" s="155"/>
      <c r="O434" s="155"/>
    </row>
    <row r="435" spans="1:15" ht="409.5">
      <c r="A435" s="397"/>
      <c r="B435" s="50" t="s">
        <v>775</v>
      </c>
      <c r="C435" s="45" t="s">
        <v>7469</v>
      </c>
      <c r="D435" s="59" t="s">
        <v>7470</v>
      </c>
      <c r="E435" s="78" t="s">
        <v>7431</v>
      </c>
      <c r="F435" s="45" t="s">
        <v>7471</v>
      </c>
      <c r="G435" s="46" t="s">
        <v>7364</v>
      </c>
      <c r="H435" s="47" t="s">
        <v>62</v>
      </c>
      <c r="I435" s="125" t="s">
        <v>31</v>
      </c>
      <c r="J435" s="155"/>
      <c r="K435" s="155"/>
      <c r="L435" s="155"/>
      <c r="M435" s="155"/>
      <c r="N435" s="155"/>
      <c r="O435" s="155"/>
    </row>
    <row r="436" spans="1:15" ht="409.5">
      <c r="A436" s="397"/>
      <c r="B436" s="50" t="s">
        <v>775</v>
      </c>
      <c r="C436" s="45" t="s">
        <v>7472</v>
      </c>
      <c r="D436" s="59" t="s">
        <v>7473</v>
      </c>
      <c r="E436" s="78" t="s">
        <v>7431</v>
      </c>
      <c r="F436" s="45" t="s">
        <v>7474</v>
      </c>
      <c r="G436" s="46" t="s">
        <v>7364</v>
      </c>
      <c r="H436" s="47" t="s">
        <v>62</v>
      </c>
      <c r="I436" s="125" t="s">
        <v>31</v>
      </c>
      <c r="J436" s="155"/>
      <c r="K436" s="155"/>
      <c r="L436" s="155"/>
      <c r="M436" s="155"/>
      <c r="N436" s="155"/>
      <c r="O436" s="155"/>
    </row>
    <row r="437" spans="1:15" ht="396">
      <c r="A437" s="397"/>
      <c r="B437" s="44" t="s">
        <v>7475</v>
      </c>
      <c r="C437" s="45" t="s">
        <v>7476</v>
      </c>
      <c r="D437" s="59" t="s">
        <v>7477</v>
      </c>
      <c r="E437" s="78" t="s">
        <v>7478</v>
      </c>
      <c r="F437" s="45" t="s">
        <v>7479</v>
      </c>
      <c r="G437" s="46" t="s">
        <v>7480</v>
      </c>
      <c r="H437" s="47" t="s">
        <v>233</v>
      </c>
      <c r="I437" s="118"/>
      <c r="J437" s="155"/>
      <c r="K437" s="155"/>
      <c r="L437" s="155"/>
      <c r="M437" s="155"/>
      <c r="N437" s="155"/>
      <c r="O437" s="155"/>
    </row>
    <row r="438" spans="1:15" ht="396">
      <c r="A438" s="397"/>
      <c r="B438" s="44" t="s">
        <v>860</v>
      </c>
      <c r="C438" s="45" t="s">
        <v>7481</v>
      </c>
      <c r="D438" s="59" t="s">
        <v>7482</v>
      </c>
      <c r="E438" s="78" t="s">
        <v>7478</v>
      </c>
      <c r="F438" s="45" t="s">
        <v>7483</v>
      </c>
      <c r="G438" s="46" t="s">
        <v>7484</v>
      </c>
      <c r="H438" s="47" t="s">
        <v>24</v>
      </c>
      <c r="I438" s="118"/>
      <c r="J438" s="155"/>
      <c r="K438" s="155"/>
      <c r="L438" s="155"/>
      <c r="M438" s="155"/>
      <c r="N438" s="155"/>
      <c r="O438" s="155"/>
    </row>
    <row r="439" spans="1:15" ht="396">
      <c r="A439" s="397"/>
      <c r="B439" s="44" t="s">
        <v>860</v>
      </c>
      <c r="C439" s="45" t="s">
        <v>7485</v>
      </c>
      <c r="D439" s="59" t="s">
        <v>7486</v>
      </c>
      <c r="E439" s="78" t="s">
        <v>7487</v>
      </c>
      <c r="F439" s="45" t="s">
        <v>7488</v>
      </c>
      <c r="G439" s="46" t="s">
        <v>7489</v>
      </c>
      <c r="H439" s="47" t="s">
        <v>24</v>
      </c>
      <c r="I439" s="118"/>
      <c r="J439" s="155"/>
      <c r="K439" s="155"/>
      <c r="L439" s="155"/>
      <c r="M439" s="155"/>
      <c r="N439" s="155"/>
      <c r="O439" s="155"/>
    </row>
    <row r="440" spans="1:15" ht="396">
      <c r="A440" s="397"/>
      <c r="B440" s="44" t="s">
        <v>860</v>
      </c>
      <c r="C440" s="45" t="s">
        <v>7490</v>
      </c>
      <c r="D440" s="59" t="s">
        <v>7491</v>
      </c>
      <c r="E440" s="78" t="s">
        <v>7478</v>
      </c>
      <c r="F440" s="45" t="s">
        <v>7492</v>
      </c>
      <c r="G440" s="46" t="s">
        <v>7493</v>
      </c>
      <c r="H440" s="47" t="s">
        <v>24</v>
      </c>
      <c r="I440" s="118"/>
      <c r="J440" s="155"/>
      <c r="K440" s="155"/>
      <c r="L440" s="155"/>
      <c r="M440" s="155"/>
      <c r="N440" s="155"/>
      <c r="O440" s="155"/>
    </row>
    <row r="441" spans="1:15" ht="396">
      <c r="A441" s="397"/>
      <c r="B441" s="44" t="s">
        <v>860</v>
      </c>
      <c r="C441" s="45" t="s">
        <v>7494</v>
      </c>
      <c r="D441" s="59" t="s">
        <v>7495</v>
      </c>
      <c r="E441" s="78" t="s">
        <v>7478</v>
      </c>
      <c r="F441" s="45" t="s">
        <v>7496</v>
      </c>
      <c r="G441" s="46" t="s">
        <v>7497</v>
      </c>
      <c r="H441" s="47" t="s">
        <v>24</v>
      </c>
      <c r="I441" s="118"/>
      <c r="J441" s="155"/>
      <c r="K441" s="155"/>
      <c r="L441" s="155"/>
      <c r="M441" s="155"/>
      <c r="N441" s="155"/>
      <c r="O441" s="155"/>
    </row>
    <row r="442" spans="1:15" ht="396">
      <c r="A442" s="397"/>
      <c r="B442" s="44" t="s">
        <v>860</v>
      </c>
      <c r="C442" s="45" t="s">
        <v>7498</v>
      </c>
      <c r="D442" s="59" t="s">
        <v>7499</v>
      </c>
      <c r="E442" s="78" t="s">
        <v>7478</v>
      </c>
      <c r="F442" s="45" t="s">
        <v>7500</v>
      </c>
      <c r="G442" s="46" t="s">
        <v>7501</v>
      </c>
      <c r="H442" s="47" t="s">
        <v>24</v>
      </c>
      <c r="I442" s="118"/>
      <c r="J442" s="155"/>
      <c r="K442" s="155"/>
      <c r="L442" s="155"/>
      <c r="M442" s="155"/>
      <c r="N442" s="155"/>
      <c r="O442" s="155"/>
    </row>
    <row r="443" spans="1:15" ht="396">
      <c r="A443" s="397"/>
      <c r="B443" s="44" t="s">
        <v>860</v>
      </c>
      <c r="C443" s="45" t="s">
        <v>7502</v>
      </c>
      <c r="D443" s="59" t="s">
        <v>7503</v>
      </c>
      <c r="E443" s="78" t="s">
        <v>7478</v>
      </c>
      <c r="F443" s="45" t="s">
        <v>7504</v>
      </c>
      <c r="G443" s="46" t="s">
        <v>7505</v>
      </c>
      <c r="H443" s="47" t="s">
        <v>24</v>
      </c>
      <c r="I443" s="118"/>
      <c r="J443" s="155"/>
      <c r="K443" s="155"/>
      <c r="L443" s="155"/>
      <c r="M443" s="155"/>
      <c r="N443" s="155"/>
      <c r="O443" s="155"/>
    </row>
    <row r="444" spans="1:15" ht="396">
      <c r="A444" s="397"/>
      <c r="B444" s="44" t="s">
        <v>860</v>
      </c>
      <c r="C444" s="45" t="s">
        <v>7506</v>
      </c>
      <c r="D444" s="59" t="s">
        <v>7507</v>
      </c>
      <c r="E444" s="78" t="s">
        <v>7478</v>
      </c>
      <c r="F444" s="45" t="s">
        <v>7508</v>
      </c>
      <c r="G444" s="46" t="s">
        <v>7509</v>
      </c>
      <c r="H444" s="47" t="s">
        <v>24</v>
      </c>
      <c r="I444" s="118"/>
      <c r="J444" s="155"/>
      <c r="K444" s="155"/>
      <c r="L444" s="155"/>
      <c r="M444" s="155"/>
      <c r="N444" s="155"/>
      <c r="O444" s="155"/>
    </row>
    <row r="445" spans="1:15" ht="396">
      <c r="A445" s="397"/>
      <c r="B445" s="44" t="s">
        <v>860</v>
      </c>
      <c r="C445" s="45" t="s">
        <v>7510</v>
      </c>
      <c r="D445" s="59" t="s">
        <v>7511</v>
      </c>
      <c r="E445" s="78" t="s">
        <v>7478</v>
      </c>
      <c r="F445" s="45" t="s">
        <v>7512</v>
      </c>
      <c r="G445" s="46" t="s">
        <v>7513</v>
      </c>
      <c r="H445" s="47" t="s">
        <v>24</v>
      </c>
      <c r="I445" s="118"/>
      <c r="J445" s="155"/>
      <c r="K445" s="155"/>
      <c r="L445" s="155"/>
      <c r="M445" s="155"/>
      <c r="N445" s="155"/>
      <c r="O445" s="155"/>
    </row>
    <row r="446" spans="1:15" ht="396">
      <c r="A446" s="397"/>
      <c r="B446" s="44" t="s">
        <v>860</v>
      </c>
      <c r="C446" s="45" t="s">
        <v>7514</v>
      </c>
      <c r="D446" s="59" t="s">
        <v>7515</v>
      </c>
      <c r="E446" s="78" t="s">
        <v>7261</v>
      </c>
      <c r="F446" s="45" t="s">
        <v>7516</v>
      </c>
      <c r="G446" s="46" t="s">
        <v>7517</v>
      </c>
      <c r="H446" s="47" t="s">
        <v>24</v>
      </c>
      <c r="I446" s="118"/>
      <c r="J446" s="155"/>
      <c r="K446" s="155"/>
      <c r="L446" s="155"/>
      <c r="M446" s="155"/>
      <c r="N446" s="155"/>
      <c r="O446" s="155"/>
    </row>
    <row r="447" spans="1:15" ht="396">
      <c r="A447" s="397"/>
      <c r="B447" s="44" t="s">
        <v>860</v>
      </c>
      <c r="C447" s="45" t="s">
        <v>7518</v>
      </c>
      <c r="D447" s="59" t="s">
        <v>7519</v>
      </c>
      <c r="E447" s="78" t="s">
        <v>7261</v>
      </c>
      <c r="F447" s="45" t="s">
        <v>7520</v>
      </c>
      <c r="G447" s="46" t="s">
        <v>7521</v>
      </c>
      <c r="H447" s="47" t="s">
        <v>24</v>
      </c>
      <c r="I447" s="118"/>
      <c r="J447" s="155"/>
      <c r="K447" s="155"/>
      <c r="L447" s="155"/>
      <c r="M447" s="155"/>
      <c r="N447" s="155"/>
      <c r="O447" s="155"/>
    </row>
    <row r="448" spans="1:15" ht="396">
      <c r="A448" s="397"/>
      <c r="B448" s="44" t="s">
        <v>860</v>
      </c>
      <c r="C448" s="45" t="s">
        <v>7522</v>
      </c>
      <c r="D448" s="59" t="s">
        <v>7523</v>
      </c>
      <c r="E448" s="78" t="s">
        <v>7261</v>
      </c>
      <c r="F448" s="45" t="s">
        <v>7524</v>
      </c>
      <c r="G448" s="46" t="s">
        <v>7525</v>
      </c>
      <c r="H448" s="47" t="s">
        <v>24</v>
      </c>
      <c r="I448" s="118"/>
      <c r="J448" s="155"/>
      <c r="K448" s="155"/>
      <c r="L448" s="155"/>
      <c r="M448" s="155"/>
      <c r="N448" s="155"/>
      <c r="O448" s="155"/>
    </row>
    <row r="449" spans="1:15" ht="82.5">
      <c r="A449" s="397"/>
      <c r="B449" s="44" t="s">
        <v>860</v>
      </c>
      <c r="C449" s="45" t="s">
        <v>7526</v>
      </c>
      <c r="D449" s="59" t="s">
        <v>2850</v>
      </c>
      <c r="E449" s="78" t="s">
        <v>5909</v>
      </c>
      <c r="F449" s="45" t="s">
        <v>7527</v>
      </c>
      <c r="G449" s="46" t="s">
        <v>7528</v>
      </c>
      <c r="H449" s="47" t="s">
        <v>24</v>
      </c>
      <c r="I449" s="118"/>
      <c r="J449" s="155"/>
      <c r="K449" s="155"/>
      <c r="L449" s="155"/>
      <c r="M449" s="155"/>
      <c r="N449" s="155"/>
      <c r="O449" s="155"/>
    </row>
    <row r="450" spans="1:15" ht="132">
      <c r="A450" s="397"/>
      <c r="B450" s="44" t="s">
        <v>860</v>
      </c>
      <c r="C450" s="45" t="s">
        <v>7529</v>
      </c>
      <c r="D450" s="59" t="s">
        <v>907</v>
      </c>
      <c r="E450" s="78" t="s">
        <v>5909</v>
      </c>
      <c r="F450" s="45" t="s">
        <v>7530</v>
      </c>
      <c r="G450" s="46" t="s">
        <v>7531</v>
      </c>
      <c r="H450" s="47" t="s">
        <v>36</v>
      </c>
      <c r="I450" s="118"/>
      <c r="J450" s="155"/>
      <c r="K450" s="155"/>
      <c r="L450" s="155"/>
      <c r="M450" s="155"/>
      <c r="N450" s="155"/>
      <c r="O450" s="155"/>
    </row>
    <row r="451" spans="1:15" ht="181.5">
      <c r="A451" s="397"/>
      <c r="B451" s="44" t="s">
        <v>860</v>
      </c>
      <c r="C451" s="45" t="s">
        <v>7532</v>
      </c>
      <c r="D451" s="59" t="s">
        <v>911</v>
      </c>
      <c r="E451" s="78" t="s">
        <v>5949</v>
      </c>
      <c r="F451" s="45" t="s">
        <v>7533</v>
      </c>
      <c r="G451" s="46" t="s">
        <v>7534</v>
      </c>
      <c r="H451" s="47" t="s">
        <v>36</v>
      </c>
      <c r="I451" s="118"/>
      <c r="J451" s="155"/>
      <c r="K451" s="155"/>
      <c r="L451" s="155"/>
      <c r="M451" s="155"/>
      <c r="N451" s="155"/>
      <c r="O451" s="155"/>
    </row>
    <row r="452" spans="1:15" ht="115.5">
      <c r="A452" s="398"/>
      <c r="B452" s="44" t="s">
        <v>860</v>
      </c>
      <c r="C452" s="53" t="s">
        <v>7535</v>
      </c>
      <c r="D452" s="59" t="s">
        <v>7536</v>
      </c>
      <c r="E452" s="78" t="s">
        <v>5949</v>
      </c>
      <c r="F452" s="45" t="s">
        <v>7537</v>
      </c>
      <c r="G452" s="46" t="s">
        <v>917</v>
      </c>
      <c r="H452" s="47" t="s">
        <v>36</v>
      </c>
      <c r="I452" s="118"/>
      <c r="J452" s="155"/>
      <c r="K452" s="155"/>
      <c r="L452" s="155"/>
      <c r="M452" s="155"/>
      <c r="N452" s="155"/>
      <c r="O452" s="155"/>
    </row>
    <row r="453" spans="1:15" ht="280.5">
      <c r="A453" s="399"/>
      <c r="B453" s="50" t="s">
        <v>925</v>
      </c>
      <c r="C453" s="45" t="s">
        <v>7538</v>
      </c>
      <c r="D453" s="59" t="s">
        <v>7539</v>
      </c>
      <c r="E453" s="78" t="s">
        <v>5909</v>
      </c>
      <c r="F453" s="45" t="s">
        <v>7540</v>
      </c>
      <c r="G453" s="46" t="s">
        <v>7541</v>
      </c>
      <c r="H453" s="47" t="s">
        <v>41</v>
      </c>
      <c r="I453" s="118"/>
      <c r="J453" s="155"/>
      <c r="K453" s="155"/>
      <c r="L453" s="155"/>
      <c r="M453" s="155"/>
      <c r="N453" s="155"/>
      <c r="O453" s="155"/>
    </row>
    <row r="454" spans="1:15" ht="330">
      <c r="A454" s="399"/>
      <c r="B454" s="50" t="s">
        <v>925</v>
      </c>
      <c r="C454" s="45" t="s">
        <v>7542</v>
      </c>
      <c r="D454" s="59" t="s">
        <v>7543</v>
      </c>
      <c r="E454" s="78" t="s">
        <v>7544</v>
      </c>
      <c r="F454" s="116" t="s">
        <v>7545</v>
      </c>
      <c r="G454" s="46" t="s">
        <v>7546</v>
      </c>
      <c r="H454" s="47" t="s">
        <v>929</v>
      </c>
      <c r="I454" s="118"/>
      <c r="J454" s="155"/>
      <c r="K454" s="155"/>
      <c r="L454" s="155"/>
      <c r="M454" s="155"/>
      <c r="N454" s="155"/>
      <c r="O454" s="155"/>
    </row>
    <row r="455" spans="1:15" ht="409.5">
      <c r="A455" s="399"/>
      <c r="B455" s="50" t="s">
        <v>925</v>
      </c>
      <c r="C455" s="45" t="s">
        <v>7547</v>
      </c>
      <c r="D455" s="59" t="s">
        <v>7548</v>
      </c>
      <c r="E455" s="78" t="s">
        <v>5949</v>
      </c>
      <c r="F455" s="45" t="s">
        <v>7549</v>
      </c>
      <c r="G455" s="46" t="s">
        <v>7550</v>
      </c>
      <c r="H455" s="47" t="s">
        <v>233</v>
      </c>
      <c r="I455" s="118"/>
      <c r="J455" s="155"/>
      <c r="K455" s="155"/>
      <c r="L455" s="155"/>
      <c r="M455" s="155"/>
      <c r="N455" s="155"/>
      <c r="O455" s="155"/>
    </row>
    <row r="456" spans="1:15" ht="313.5">
      <c r="A456" s="399"/>
      <c r="B456" s="50" t="s">
        <v>925</v>
      </c>
      <c r="C456" s="45" t="s">
        <v>7551</v>
      </c>
      <c r="D456" s="59" t="s">
        <v>935</v>
      </c>
      <c r="E456" s="78" t="s">
        <v>5949</v>
      </c>
      <c r="F456" s="45" t="s">
        <v>7552</v>
      </c>
      <c r="G456" s="46" t="s">
        <v>936</v>
      </c>
      <c r="H456" s="47" t="s">
        <v>117</v>
      </c>
      <c r="I456" s="118"/>
      <c r="J456" s="155"/>
      <c r="K456" s="155"/>
      <c r="L456" s="155"/>
      <c r="M456" s="155"/>
      <c r="N456" s="155"/>
      <c r="O456" s="155"/>
    </row>
    <row r="457" spans="1:15" ht="313.5">
      <c r="A457" s="399"/>
      <c r="B457" s="50" t="s">
        <v>925</v>
      </c>
      <c r="C457" s="45" t="s">
        <v>7553</v>
      </c>
      <c r="D457" s="59" t="s">
        <v>7554</v>
      </c>
      <c r="E457" s="78" t="s">
        <v>5949</v>
      </c>
      <c r="F457" s="45" t="s">
        <v>938</v>
      </c>
      <c r="G457" s="46" t="s">
        <v>939</v>
      </c>
      <c r="H457" s="47" t="s">
        <v>117</v>
      </c>
      <c r="I457" s="118"/>
      <c r="J457" s="155"/>
      <c r="K457" s="155"/>
      <c r="L457" s="155"/>
      <c r="M457" s="155"/>
      <c r="N457" s="155"/>
      <c r="O457" s="155"/>
    </row>
    <row r="458" spans="1:15" ht="313.5">
      <c r="A458" s="399"/>
      <c r="B458" s="50" t="s">
        <v>925</v>
      </c>
      <c r="C458" s="45" t="s">
        <v>7555</v>
      </c>
      <c r="D458" s="59" t="s">
        <v>7556</v>
      </c>
      <c r="E458" s="78" t="s">
        <v>5909</v>
      </c>
      <c r="F458" s="45" t="s">
        <v>941</v>
      </c>
      <c r="G458" s="46" t="s">
        <v>7557</v>
      </c>
      <c r="H458" s="47" t="s">
        <v>117</v>
      </c>
      <c r="I458" s="118"/>
      <c r="J458" s="155"/>
      <c r="K458" s="155"/>
      <c r="L458" s="155"/>
      <c r="M458" s="155"/>
      <c r="N458" s="155"/>
      <c r="O458" s="155"/>
    </row>
    <row r="459" spans="1:15" ht="330">
      <c r="A459" s="399"/>
      <c r="B459" s="50" t="s">
        <v>925</v>
      </c>
      <c r="C459" s="45" t="s">
        <v>7558</v>
      </c>
      <c r="D459" s="59" t="s">
        <v>7559</v>
      </c>
      <c r="E459" s="78" t="s">
        <v>5949</v>
      </c>
      <c r="F459" s="45" t="s">
        <v>7560</v>
      </c>
      <c r="G459" s="46" t="s">
        <v>936</v>
      </c>
      <c r="H459" s="47" t="s">
        <v>117</v>
      </c>
      <c r="I459" s="118"/>
      <c r="J459" s="155"/>
      <c r="K459" s="155"/>
      <c r="L459" s="155"/>
      <c r="M459" s="155"/>
      <c r="N459" s="155"/>
      <c r="O459" s="155"/>
    </row>
    <row r="460" spans="1:15" ht="409.5">
      <c r="A460" s="399"/>
      <c r="B460" s="50" t="s">
        <v>925</v>
      </c>
      <c r="C460" s="45" t="s">
        <v>7561</v>
      </c>
      <c r="D460" s="59" t="s">
        <v>7562</v>
      </c>
      <c r="E460" s="78" t="s">
        <v>5949</v>
      </c>
      <c r="F460" s="116" t="s">
        <v>7563</v>
      </c>
      <c r="G460" s="46" t="s">
        <v>7564</v>
      </c>
      <c r="H460" s="47" t="s">
        <v>117</v>
      </c>
      <c r="I460" s="118"/>
      <c r="J460" s="155"/>
      <c r="K460" s="155"/>
      <c r="L460" s="155"/>
      <c r="M460" s="155"/>
      <c r="N460" s="155"/>
      <c r="O460" s="155"/>
    </row>
    <row r="461" spans="1:15" ht="280.5">
      <c r="A461" s="399"/>
      <c r="B461" s="50" t="s">
        <v>925</v>
      </c>
      <c r="C461" s="45" t="s">
        <v>7565</v>
      </c>
      <c r="D461" s="59" t="s">
        <v>7566</v>
      </c>
      <c r="E461" s="78" t="s">
        <v>5909</v>
      </c>
      <c r="F461" s="45" t="s">
        <v>7567</v>
      </c>
      <c r="G461" s="46" t="s">
        <v>7568</v>
      </c>
      <c r="H461" s="47" t="s">
        <v>117</v>
      </c>
      <c r="I461" s="118"/>
      <c r="J461" s="155"/>
      <c r="K461" s="155"/>
      <c r="L461" s="155"/>
      <c r="M461" s="155"/>
      <c r="N461" s="155"/>
      <c r="O461" s="155"/>
    </row>
    <row r="462" spans="1:15" ht="363">
      <c r="A462" s="399"/>
      <c r="B462" s="50" t="s">
        <v>925</v>
      </c>
      <c r="C462" s="45" t="s">
        <v>7569</v>
      </c>
      <c r="D462" s="59" t="s">
        <v>946</v>
      </c>
      <c r="E462" s="78" t="s">
        <v>5909</v>
      </c>
      <c r="F462" s="116" t="s">
        <v>7570</v>
      </c>
      <c r="G462" s="46" t="s">
        <v>7571</v>
      </c>
      <c r="H462" s="47" t="s">
        <v>929</v>
      </c>
      <c r="I462" s="118"/>
      <c r="J462" s="155"/>
      <c r="K462" s="155"/>
      <c r="L462" s="155"/>
      <c r="M462" s="155"/>
      <c r="N462" s="155"/>
      <c r="O462" s="155"/>
    </row>
    <row r="463" spans="1:15" ht="363">
      <c r="A463" s="399"/>
      <c r="B463" s="50" t="s">
        <v>925</v>
      </c>
      <c r="C463" s="45" t="s">
        <v>7572</v>
      </c>
      <c r="D463" s="59" t="s">
        <v>949</v>
      </c>
      <c r="E463" s="78" t="s">
        <v>7544</v>
      </c>
      <c r="F463" s="116" t="s">
        <v>7573</v>
      </c>
      <c r="G463" s="46" t="s">
        <v>950</v>
      </c>
      <c r="H463" s="47" t="s">
        <v>929</v>
      </c>
      <c r="I463" s="118"/>
      <c r="J463" s="155"/>
      <c r="K463" s="155"/>
      <c r="L463" s="155"/>
      <c r="M463" s="155"/>
      <c r="N463" s="155"/>
      <c r="O463" s="155"/>
    </row>
    <row r="464" spans="1:15" ht="330">
      <c r="A464" s="399"/>
      <c r="B464" s="50" t="s">
        <v>925</v>
      </c>
      <c r="C464" s="45" t="s">
        <v>7574</v>
      </c>
      <c r="D464" s="59" t="s">
        <v>951</v>
      </c>
      <c r="E464" s="78" t="s">
        <v>7544</v>
      </c>
      <c r="F464" s="116" t="s">
        <v>7545</v>
      </c>
      <c r="G464" s="46" t="s">
        <v>7575</v>
      </c>
      <c r="H464" s="47" t="s">
        <v>929</v>
      </c>
      <c r="I464" s="118"/>
      <c r="J464" s="155"/>
      <c r="K464" s="155"/>
      <c r="L464" s="155"/>
      <c r="M464" s="155"/>
      <c r="N464" s="155"/>
      <c r="O464" s="155"/>
    </row>
    <row r="465" spans="1:15" ht="115.5">
      <c r="A465" s="399"/>
      <c r="B465" s="50" t="s">
        <v>925</v>
      </c>
      <c r="C465" s="45" t="s">
        <v>7576</v>
      </c>
      <c r="D465" s="59" t="s">
        <v>953</v>
      </c>
      <c r="E465" s="78" t="s">
        <v>5949</v>
      </c>
      <c r="F465" s="45" t="s">
        <v>7577</v>
      </c>
      <c r="G465" s="46" t="s">
        <v>7578</v>
      </c>
      <c r="H465" s="47" t="s">
        <v>86</v>
      </c>
      <c r="I465" s="118"/>
      <c r="J465" s="155"/>
      <c r="K465" s="155"/>
      <c r="L465" s="155"/>
      <c r="M465" s="155"/>
      <c r="N465" s="155"/>
      <c r="O465" s="155"/>
    </row>
    <row r="466" spans="1:15" ht="330">
      <c r="A466" s="399"/>
      <c r="B466" s="50" t="s">
        <v>925</v>
      </c>
      <c r="C466" s="45" t="s">
        <v>7579</v>
      </c>
      <c r="D466" s="59" t="s">
        <v>956</v>
      </c>
      <c r="E466" s="78" t="s">
        <v>5909</v>
      </c>
      <c r="F466" s="45" t="s">
        <v>7580</v>
      </c>
      <c r="G466" s="46" t="s">
        <v>7581</v>
      </c>
      <c r="H466" s="47" t="s">
        <v>24</v>
      </c>
      <c r="I466" s="118"/>
      <c r="J466" s="155"/>
      <c r="K466" s="155"/>
      <c r="L466" s="155"/>
      <c r="M466" s="155"/>
      <c r="N466" s="155"/>
      <c r="O466" s="155"/>
    </row>
    <row r="467" spans="1:15" ht="346.5">
      <c r="A467" s="399"/>
      <c r="B467" s="50" t="s">
        <v>925</v>
      </c>
      <c r="C467" s="45" t="s">
        <v>7582</v>
      </c>
      <c r="D467" s="59" t="s">
        <v>959</v>
      </c>
      <c r="E467" s="78" t="s">
        <v>5909</v>
      </c>
      <c r="F467" s="45" t="s">
        <v>7583</v>
      </c>
      <c r="G467" s="46" t="s">
        <v>7584</v>
      </c>
      <c r="H467" s="47" t="s">
        <v>36</v>
      </c>
      <c r="I467" s="118"/>
      <c r="J467" s="155"/>
      <c r="K467" s="155"/>
      <c r="L467" s="155"/>
      <c r="M467" s="155"/>
      <c r="N467" s="155"/>
      <c r="O467" s="155"/>
    </row>
    <row r="468" spans="1:15" ht="346.5">
      <c r="A468" s="399"/>
      <c r="B468" s="50" t="s">
        <v>925</v>
      </c>
      <c r="C468" s="45" t="s">
        <v>7585</v>
      </c>
      <c r="D468" s="59" t="s">
        <v>961</v>
      </c>
      <c r="E468" s="78" t="s">
        <v>5909</v>
      </c>
      <c r="F468" s="45" t="s">
        <v>7586</v>
      </c>
      <c r="G468" s="46" t="s">
        <v>7581</v>
      </c>
      <c r="H468" s="47" t="s">
        <v>36</v>
      </c>
      <c r="I468" s="118"/>
      <c r="J468" s="155"/>
      <c r="K468" s="155"/>
      <c r="L468" s="155"/>
      <c r="M468" s="155"/>
      <c r="N468" s="155"/>
      <c r="O468" s="155"/>
    </row>
    <row r="469" spans="1:15" ht="346.5">
      <c r="A469" s="399"/>
      <c r="B469" s="50" t="s">
        <v>925</v>
      </c>
      <c r="C469" s="45" t="s">
        <v>7587</v>
      </c>
      <c r="D469" s="59" t="s">
        <v>962</v>
      </c>
      <c r="E469" s="78" t="s">
        <v>5909</v>
      </c>
      <c r="F469" s="45" t="s">
        <v>7588</v>
      </c>
      <c r="G469" s="46" t="s">
        <v>7581</v>
      </c>
      <c r="H469" s="47" t="s">
        <v>36</v>
      </c>
      <c r="I469" s="118"/>
      <c r="J469" s="155"/>
      <c r="K469" s="155"/>
      <c r="L469" s="155"/>
      <c r="M469" s="155"/>
      <c r="N469" s="155"/>
      <c r="O469" s="155"/>
    </row>
    <row r="470" spans="1:15" ht="313.5">
      <c r="A470" s="399"/>
      <c r="B470" s="50" t="s">
        <v>925</v>
      </c>
      <c r="C470" s="45" t="s">
        <v>7589</v>
      </c>
      <c r="D470" s="59" t="s">
        <v>965</v>
      </c>
      <c r="E470" s="78" t="s">
        <v>7590</v>
      </c>
      <c r="F470" s="45" t="s">
        <v>7591</v>
      </c>
      <c r="G470" s="46" t="s">
        <v>967</v>
      </c>
      <c r="H470" s="47" t="s">
        <v>41</v>
      </c>
      <c r="I470" s="118"/>
      <c r="J470" s="155"/>
      <c r="K470" s="155"/>
      <c r="L470" s="155"/>
      <c r="M470" s="155"/>
      <c r="N470" s="155"/>
      <c r="O470" s="155"/>
    </row>
    <row r="471" spans="1:15" ht="313.5">
      <c r="A471" s="399"/>
      <c r="B471" s="50" t="s">
        <v>925</v>
      </c>
      <c r="C471" s="45" t="s">
        <v>7592</v>
      </c>
      <c r="D471" s="59" t="s">
        <v>7593</v>
      </c>
      <c r="E471" s="78" t="s">
        <v>7590</v>
      </c>
      <c r="F471" s="45" t="s">
        <v>7594</v>
      </c>
      <c r="G471" s="46" t="s">
        <v>7595</v>
      </c>
      <c r="H471" s="47" t="s">
        <v>24</v>
      </c>
      <c r="I471" s="118"/>
      <c r="J471" s="155"/>
      <c r="K471" s="155"/>
      <c r="L471" s="155"/>
      <c r="M471" s="155"/>
      <c r="N471" s="155"/>
      <c r="O471" s="155"/>
    </row>
    <row r="472" spans="1:15" ht="363">
      <c r="A472" s="399"/>
      <c r="B472" s="56" t="s">
        <v>7596</v>
      </c>
      <c r="C472" s="45" t="s">
        <v>7597</v>
      </c>
      <c r="D472" s="75" t="s">
        <v>7598</v>
      </c>
      <c r="E472" s="78" t="s">
        <v>5949</v>
      </c>
      <c r="F472" s="45" t="s">
        <v>7599</v>
      </c>
      <c r="G472" s="46" t="s">
        <v>7600</v>
      </c>
      <c r="H472" s="47" t="s">
        <v>233</v>
      </c>
      <c r="I472" s="118"/>
      <c r="J472" s="155"/>
      <c r="K472" s="155"/>
      <c r="L472" s="155"/>
      <c r="M472" s="155"/>
      <c r="N472" s="155"/>
      <c r="O472" s="155"/>
    </row>
    <row r="473" spans="1:15" ht="363">
      <c r="A473" s="399"/>
      <c r="B473" s="56" t="s">
        <v>7596</v>
      </c>
      <c r="C473" s="45" t="s">
        <v>7601</v>
      </c>
      <c r="D473" s="59" t="s">
        <v>7602</v>
      </c>
      <c r="E473" s="78" t="s">
        <v>5949</v>
      </c>
      <c r="F473" s="45" t="s">
        <v>7603</v>
      </c>
      <c r="G473" s="46" t="s">
        <v>7604</v>
      </c>
      <c r="H473" s="47" t="s">
        <v>184</v>
      </c>
      <c r="I473" s="118"/>
      <c r="J473" s="155"/>
      <c r="K473" s="155"/>
      <c r="L473" s="155"/>
      <c r="M473" s="155"/>
      <c r="N473" s="155"/>
      <c r="O473" s="155"/>
    </row>
    <row r="474" spans="1:15" ht="363">
      <c r="A474" s="399"/>
      <c r="B474" s="56" t="s">
        <v>7596</v>
      </c>
      <c r="C474" s="45" t="s">
        <v>7605</v>
      </c>
      <c r="D474" s="75" t="s">
        <v>7606</v>
      </c>
      <c r="E474" s="78" t="s">
        <v>5949</v>
      </c>
      <c r="F474" s="45" t="s">
        <v>973</v>
      </c>
      <c r="G474" s="46" t="s">
        <v>974</v>
      </c>
      <c r="H474" s="47" t="s">
        <v>117</v>
      </c>
      <c r="I474" s="118"/>
      <c r="J474" s="155"/>
      <c r="K474" s="155"/>
      <c r="L474" s="155"/>
      <c r="M474" s="155"/>
      <c r="N474" s="155"/>
      <c r="O474" s="155"/>
    </row>
    <row r="475" spans="1:15" ht="363">
      <c r="A475" s="399"/>
      <c r="B475" s="56" t="s">
        <v>7596</v>
      </c>
      <c r="C475" s="45" t="s">
        <v>7607</v>
      </c>
      <c r="D475" s="59" t="s">
        <v>7608</v>
      </c>
      <c r="E475" s="78" t="s">
        <v>5949</v>
      </c>
      <c r="F475" s="45" t="s">
        <v>7609</v>
      </c>
      <c r="G475" s="46" t="s">
        <v>7610</v>
      </c>
      <c r="H475" s="47" t="s">
        <v>117</v>
      </c>
      <c r="I475" s="118"/>
      <c r="J475" s="155"/>
      <c r="K475" s="155"/>
      <c r="L475" s="155"/>
      <c r="M475" s="155"/>
      <c r="N475" s="155"/>
      <c r="O475" s="155"/>
    </row>
    <row r="476" spans="1:15" ht="346.5">
      <c r="A476" s="399"/>
      <c r="B476" s="56" t="s">
        <v>7596</v>
      </c>
      <c r="C476" s="45" t="s">
        <v>7611</v>
      </c>
      <c r="D476" s="75" t="s">
        <v>978</v>
      </c>
      <c r="E476" s="78" t="s">
        <v>5949</v>
      </c>
      <c r="F476" s="116" t="s">
        <v>7612</v>
      </c>
      <c r="G476" s="46" t="s">
        <v>979</v>
      </c>
      <c r="H476" s="47" t="s">
        <v>117</v>
      </c>
      <c r="I476" s="118"/>
      <c r="J476" s="155"/>
      <c r="K476" s="155"/>
      <c r="L476" s="155"/>
      <c r="M476" s="155"/>
      <c r="N476" s="155"/>
      <c r="O476" s="155"/>
    </row>
    <row r="477" spans="1:15" ht="330">
      <c r="A477" s="399"/>
      <c r="B477" s="56" t="s">
        <v>7596</v>
      </c>
      <c r="C477" s="53" t="s">
        <v>7613</v>
      </c>
      <c r="D477" s="59" t="s">
        <v>981</v>
      </c>
      <c r="E477" s="78" t="s">
        <v>5909</v>
      </c>
      <c r="F477" s="45" t="s">
        <v>7614</v>
      </c>
      <c r="G477" s="46" t="s">
        <v>7581</v>
      </c>
      <c r="H477" s="47" t="s">
        <v>117</v>
      </c>
      <c r="I477" s="118"/>
      <c r="J477" s="155"/>
      <c r="K477" s="155"/>
      <c r="L477" s="155"/>
      <c r="M477" s="155"/>
      <c r="N477" s="155"/>
      <c r="O477" s="155"/>
    </row>
    <row r="478" spans="1:15" ht="346.5">
      <c r="A478" s="399"/>
      <c r="B478" s="56" t="s">
        <v>7596</v>
      </c>
      <c r="C478" s="53" t="s">
        <v>7615</v>
      </c>
      <c r="D478" s="59" t="s">
        <v>984</v>
      </c>
      <c r="E478" s="78" t="s">
        <v>5909</v>
      </c>
      <c r="F478" s="45" t="s">
        <v>7616</v>
      </c>
      <c r="G478" s="46" t="s">
        <v>7584</v>
      </c>
      <c r="H478" s="47" t="s">
        <v>117</v>
      </c>
      <c r="I478" s="118"/>
      <c r="J478" s="155"/>
      <c r="K478" s="155"/>
      <c r="L478" s="155"/>
      <c r="M478" s="155"/>
      <c r="N478" s="155"/>
      <c r="O478" s="155"/>
    </row>
    <row r="479" spans="1:15" ht="330">
      <c r="A479" s="399"/>
      <c r="B479" s="56" t="s">
        <v>7596</v>
      </c>
      <c r="C479" s="45" t="s">
        <v>7617</v>
      </c>
      <c r="D479" s="59" t="s">
        <v>988</v>
      </c>
      <c r="E479" s="78" t="s">
        <v>5909</v>
      </c>
      <c r="F479" s="45" t="s">
        <v>7618</v>
      </c>
      <c r="G479" s="46" t="s">
        <v>7584</v>
      </c>
      <c r="H479" s="47" t="s">
        <v>117</v>
      </c>
      <c r="I479" s="118"/>
      <c r="J479" s="155"/>
      <c r="K479" s="155"/>
      <c r="L479" s="155"/>
      <c r="M479" s="155"/>
      <c r="N479" s="155"/>
      <c r="O479" s="155"/>
    </row>
    <row r="480" spans="1:15" ht="330">
      <c r="A480" s="399"/>
      <c r="B480" s="56" t="s">
        <v>7596</v>
      </c>
      <c r="C480" s="45" t="s">
        <v>7619</v>
      </c>
      <c r="D480" s="59" t="s">
        <v>7620</v>
      </c>
      <c r="E480" s="78" t="s">
        <v>5909</v>
      </c>
      <c r="F480" s="45" t="s">
        <v>7621</v>
      </c>
      <c r="G480" s="46" t="s">
        <v>7584</v>
      </c>
      <c r="H480" s="47" t="s">
        <v>117</v>
      </c>
      <c r="I480" s="118"/>
      <c r="J480" s="155"/>
      <c r="K480" s="155"/>
      <c r="L480" s="155"/>
      <c r="M480" s="155"/>
      <c r="N480" s="155"/>
      <c r="O480" s="155"/>
    </row>
    <row r="481" spans="1:15" ht="280.5">
      <c r="A481" s="399"/>
      <c r="B481" s="56" t="s">
        <v>7596</v>
      </c>
      <c r="C481" s="45" t="s">
        <v>7622</v>
      </c>
      <c r="D481" s="59" t="s">
        <v>7623</v>
      </c>
      <c r="E481" s="78" t="s">
        <v>7624</v>
      </c>
      <c r="F481" s="45" t="s">
        <v>7625</v>
      </c>
      <c r="G481" s="46" t="s">
        <v>7626</v>
      </c>
      <c r="H481" s="47" t="s">
        <v>24</v>
      </c>
      <c r="I481" s="118"/>
      <c r="J481" s="155"/>
      <c r="K481" s="155"/>
      <c r="L481" s="155"/>
      <c r="M481" s="155"/>
      <c r="N481" s="155"/>
      <c r="O481" s="155"/>
    </row>
    <row r="482" spans="1:15" ht="379.5">
      <c r="A482" s="399"/>
      <c r="B482" s="56" t="s">
        <v>7596</v>
      </c>
      <c r="C482" s="45" t="s">
        <v>7627</v>
      </c>
      <c r="D482" s="59" t="s">
        <v>7628</v>
      </c>
      <c r="E482" s="78" t="s">
        <v>5909</v>
      </c>
      <c r="F482" s="116" t="s">
        <v>7629</v>
      </c>
      <c r="G482" s="46" t="s">
        <v>7630</v>
      </c>
      <c r="H482" s="47" t="s">
        <v>929</v>
      </c>
      <c r="I482" s="118"/>
      <c r="J482" s="155"/>
      <c r="K482" s="155"/>
      <c r="L482" s="155"/>
      <c r="M482" s="155"/>
      <c r="N482" s="155"/>
      <c r="O482" s="155"/>
    </row>
    <row r="483" spans="1:15" ht="379.5">
      <c r="A483" s="399"/>
      <c r="B483" s="56" t="s">
        <v>7596</v>
      </c>
      <c r="C483" s="45" t="s">
        <v>7631</v>
      </c>
      <c r="D483" s="59" t="s">
        <v>7632</v>
      </c>
      <c r="E483" s="78" t="s">
        <v>7544</v>
      </c>
      <c r="F483" s="45" t="s">
        <v>7633</v>
      </c>
      <c r="G483" s="46" t="s">
        <v>7634</v>
      </c>
      <c r="H483" s="47" t="s">
        <v>929</v>
      </c>
      <c r="I483" s="118"/>
      <c r="J483" s="155"/>
      <c r="K483" s="155"/>
      <c r="L483" s="155"/>
      <c r="M483" s="155"/>
      <c r="N483" s="155"/>
      <c r="O483" s="155"/>
    </row>
    <row r="484" spans="1:15" ht="346.5">
      <c r="A484" s="399"/>
      <c r="B484" s="56" t="s">
        <v>7596</v>
      </c>
      <c r="C484" s="45" t="s">
        <v>7635</v>
      </c>
      <c r="D484" s="59" t="s">
        <v>993</v>
      </c>
      <c r="E484" s="78" t="s">
        <v>7544</v>
      </c>
      <c r="F484" s="45" t="s">
        <v>7636</v>
      </c>
      <c r="G484" s="46" t="s">
        <v>994</v>
      </c>
      <c r="H484" s="47" t="s">
        <v>929</v>
      </c>
      <c r="I484" s="118"/>
      <c r="J484" s="155"/>
      <c r="K484" s="155"/>
      <c r="L484" s="155"/>
      <c r="M484" s="155"/>
      <c r="N484" s="155"/>
      <c r="O484" s="155"/>
    </row>
    <row r="485" spans="1:15" ht="165">
      <c r="A485" s="391" t="s">
        <v>996</v>
      </c>
      <c r="B485" s="50" t="s">
        <v>997</v>
      </c>
      <c r="C485" s="45" t="s">
        <v>7637</v>
      </c>
      <c r="D485" s="59" t="s">
        <v>999</v>
      </c>
      <c r="E485" s="78" t="s">
        <v>5909</v>
      </c>
      <c r="F485" s="45" t="s">
        <v>7638</v>
      </c>
      <c r="G485" s="46" t="s">
        <v>7639</v>
      </c>
      <c r="H485" s="47" t="s">
        <v>30</v>
      </c>
      <c r="I485" s="118"/>
      <c r="J485" s="155"/>
      <c r="K485" s="155"/>
      <c r="L485" s="155"/>
      <c r="M485" s="155"/>
      <c r="N485" s="155"/>
      <c r="O485" s="155"/>
    </row>
    <row r="486" spans="1:15" ht="165">
      <c r="A486" s="392"/>
      <c r="B486" s="50" t="s">
        <v>997</v>
      </c>
      <c r="C486" s="45" t="s">
        <v>7640</v>
      </c>
      <c r="D486" s="59" t="s">
        <v>999</v>
      </c>
      <c r="E486" s="78" t="s">
        <v>5949</v>
      </c>
      <c r="F486" s="45" t="s">
        <v>7641</v>
      </c>
      <c r="G486" s="46" t="s">
        <v>7639</v>
      </c>
      <c r="H486" s="47" t="s">
        <v>41</v>
      </c>
      <c r="I486" s="118"/>
      <c r="J486" s="155"/>
      <c r="K486" s="155"/>
      <c r="L486" s="155"/>
      <c r="M486" s="155"/>
      <c r="N486" s="155"/>
      <c r="O486" s="155"/>
    </row>
    <row r="487" spans="1:15" ht="198">
      <c r="A487" s="392"/>
      <c r="B487" s="50" t="s">
        <v>997</v>
      </c>
      <c r="C487" s="45" t="s">
        <v>7642</v>
      </c>
      <c r="D487" s="59" t="s">
        <v>7643</v>
      </c>
      <c r="E487" s="78" t="s">
        <v>5949</v>
      </c>
      <c r="F487" s="45" t="s">
        <v>7644</v>
      </c>
      <c r="G487" s="46" t="s">
        <v>7645</v>
      </c>
      <c r="H487" s="47" t="s">
        <v>24</v>
      </c>
      <c r="I487" s="118"/>
      <c r="J487" s="155"/>
      <c r="K487" s="155"/>
      <c r="L487" s="155"/>
      <c r="M487" s="155"/>
      <c r="N487" s="155"/>
      <c r="O487" s="155"/>
    </row>
    <row r="488" spans="1:15" ht="214.5">
      <c r="A488" s="392"/>
      <c r="B488" s="50" t="s">
        <v>997</v>
      </c>
      <c r="C488" s="45" t="s">
        <v>7646</v>
      </c>
      <c r="D488" s="59" t="s">
        <v>7647</v>
      </c>
      <c r="E488" s="78" t="s">
        <v>5949</v>
      </c>
      <c r="F488" s="45" t="s">
        <v>7648</v>
      </c>
      <c r="G488" s="46" t="s">
        <v>7649</v>
      </c>
      <c r="H488" s="47" t="s">
        <v>24</v>
      </c>
      <c r="I488" s="118"/>
      <c r="J488" s="155"/>
      <c r="K488" s="155"/>
      <c r="L488" s="155"/>
      <c r="M488" s="155"/>
      <c r="N488" s="155"/>
      <c r="O488" s="155"/>
    </row>
    <row r="489" spans="1:15" ht="231">
      <c r="A489" s="400"/>
      <c r="B489" s="50" t="s">
        <v>997</v>
      </c>
      <c r="C489" s="113" t="s">
        <v>7650</v>
      </c>
      <c r="D489" s="113" t="s">
        <v>7651</v>
      </c>
      <c r="E489" s="147" t="s">
        <v>5909</v>
      </c>
      <c r="F489" s="113" t="s">
        <v>7652</v>
      </c>
      <c r="G489" s="148" t="s">
        <v>7653</v>
      </c>
      <c r="H489" s="149" t="s">
        <v>36</v>
      </c>
      <c r="I489" s="154"/>
      <c r="J489" s="155"/>
      <c r="K489" s="155"/>
      <c r="L489" s="155"/>
      <c r="M489" s="155"/>
      <c r="N489" s="155"/>
      <c r="O489" s="155"/>
    </row>
    <row r="490" spans="1:15" ht="181.5">
      <c r="A490" s="392"/>
      <c r="B490" s="50" t="s">
        <v>997</v>
      </c>
      <c r="C490" s="53" t="s">
        <v>7654</v>
      </c>
      <c r="D490" s="59" t="s">
        <v>1002</v>
      </c>
      <c r="E490" s="78" t="s">
        <v>7655</v>
      </c>
      <c r="F490" s="45" t="s">
        <v>7656</v>
      </c>
      <c r="G490" s="46" t="s">
        <v>1005</v>
      </c>
      <c r="H490" s="47" t="s">
        <v>41</v>
      </c>
      <c r="I490" s="118"/>
      <c r="J490" s="155"/>
      <c r="K490" s="155"/>
      <c r="L490" s="155"/>
      <c r="M490" s="155"/>
      <c r="N490" s="155"/>
      <c r="O490" s="155"/>
    </row>
    <row r="491" spans="1:15" ht="280.5">
      <c r="A491" s="392"/>
      <c r="B491" s="50" t="s">
        <v>997</v>
      </c>
      <c r="C491" s="45" t="s">
        <v>7654</v>
      </c>
      <c r="D491" s="59" t="s">
        <v>1007</v>
      </c>
      <c r="E491" s="78" t="s">
        <v>7657</v>
      </c>
      <c r="F491" s="45" t="s">
        <v>7658</v>
      </c>
      <c r="G491" s="46" t="s">
        <v>1010</v>
      </c>
      <c r="H491" s="47" t="s">
        <v>41</v>
      </c>
      <c r="I491" s="118"/>
      <c r="J491" s="155"/>
      <c r="K491" s="155"/>
      <c r="L491" s="155"/>
      <c r="M491" s="155"/>
      <c r="N491" s="155"/>
      <c r="O491" s="155"/>
    </row>
    <row r="492" spans="1:15" ht="409.5">
      <c r="A492" s="392"/>
      <c r="B492" s="44" t="s">
        <v>1011</v>
      </c>
      <c r="C492" s="45" t="s">
        <v>7659</v>
      </c>
      <c r="D492" s="59" t="s">
        <v>7660</v>
      </c>
      <c r="E492" s="78" t="s">
        <v>5909</v>
      </c>
      <c r="F492" s="116" t="s">
        <v>7661</v>
      </c>
      <c r="G492" s="117" t="s">
        <v>7662</v>
      </c>
      <c r="H492" s="47" t="s">
        <v>30</v>
      </c>
      <c r="I492" s="118"/>
      <c r="J492" s="155"/>
      <c r="K492" s="155"/>
      <c r="L492" s="155"/>
      <c r="M492" s="155"/>
      <c r="N492" s="155"/>
      <c r="O492" s="155"/>
    </row>
    <row r="493" spans="1:15" ht="330">
      <c r="A493" s="392"/>
      <c r="B493" s="44" t="s">
        <v>1011</v>
      </c>
      <c r="C493" s="45" t="s">
        <v>7663</v>
      </c>
      <c r="D493" s="59" t="s">
        <v>7664</v>
      </c>
      <c r="E493" s="78" t="s">
        <v>5949</v>
      </c>
      <c r="F493" s="116" t="s">
        <v>7665</v>
      </c>
      <c r="G493" s="46" t="s">
        <v>7666</v>
      </c>
      <c r="H493" s="47" t="s">
        <v>117</v>
      </c>
      <c r="I493" s="118"/>
      <c r="J493" s="155"/>
      <c r="K493" s="155"/>
      <c r="L493" s="155"/>
      <c r="M493" s="155"/>
      <c r="N493" s="155"/>
      <c r="O493" s="155"/>
    </row>
    <row r="494" spans="1:15" ht="346.5">
      <c r="A494" s="392"/>
      <c r="B494" s="44" t="s">
        <v>1011</v>
      </c>
      <c r="C494" s="45" t="s">
        <v>7667</v>
      </c>
      <c r="D494" s="59" t="s">
        <v>7668</v>
      </c>
      <c r="E494" s="78" t="s">
        <v>5949</v>
      </c>
      <c r="F494" s="116" t="s">
        <v>7669</v>
      </c>
      <c r="G494" s="46" t="s">
        <v>7670</v>
      </c>
      <c r="H494" s="47" t="s">
        <v>117</v>
      </c>
      <c r="I494" s="118"/>
      <c r="J494" s="155"/>
      <c r="K494" s="155"/>
      <c r="L494" s="155"/>
      <c r="M494" s="155"/>
      <c r="N494" s="155"/>
      <c r="O494" s="155"/>
    </row>
    <row r="495" spans="1:15" ht="148.5">
      <c r="A495" s="392"/>
      <c r="B495" s="44" t="s">
        <v>1011</v>
      </c>
      <c r="C495" s="45" t="s">
        <v>7671</v>
      </c>
      <c r="D495" s="59" t="s">
        <v>7672</v>
      </c>
      <c r="E495" s="78" t="s">
        <v>5949</v>
      </c>
      <c r="F495" s="45" t="s">
        <v>7673</v>
      </c>
      <c r="G495" s="46" t="s">
        <v>7674</v>
      </c>
      <c r="H495" s="47" t="s">
        <v>117</v>
      </c>
      <c r="I495" s="118"/>
      <c r="J495" s="155"/>
      <c r="K495" s="155"/>
      <c r="L495" s="155"/>
      <c r="M495" s="155"/>
      <c r="N495" s="155"/>
      <c r="O495" s="155"/>
    </row>
    <row r="496" spans="1:15" ht="181.5">
      <c r="A496" s="392"/>
      <c r="B496" s="44" t="s">
        <v>1011</v>
      </c>
      <c r="C496" s="45" t="s">
        <v>7659</v>
      </c>
      <c r="D496" s="59" t="s">
        <v>7675</v>
      </c>
      <c r="E496" s="78" t="s">
        <v>5949</v>
      </c>
      <c r="F496" s="45" t="s">
        <v>7676</v>
      </c>
      <c r="G496" s="46" t="s">
        <v>7677</v>
      </c>
      <c r="H496" s="47" t="s">
        <v>117</v>
      </c>
      <c r="I496" s="118"/>
      <c r="J496" s="155"/>
      <c r="K496" s="155"/>
      <c r="L496" s="155"/>
      <c r="M496" s="155"/>
      <c r="N496" s="155"/>
      <c r="O496" s="155"/>
    </row>
    <row r="497" spans="1:15" ht="396">
      <c r="A497" s="401"/>
      <c r="B497" s="44" t="s">
        <v>1011</v>
      </c>
      <c r="C497" s="59" t="s">
        <v>7678</v>
      </c>
      <c r="D497" s="59" t="s">
        <v>7679</v>
      </c>
      <c r="E497" s="82" t="s">
        <v>5949</v>
      </c>
      <c r="F497" s="59" t="s">
        <v>7680</v>
      </c>
      <c r="G497" s="89" t="s">
        <v>7681</v>
      </c>
      <c r="H497" s="61" t="s">
        <v>36</v>
      </c>
      <c r="I497" s="128"/>
      <c r="J497" s="155"/>
      <c r="K497" s="155"/>
      <c r="L497" s="155"/>
      <c r="M497" s="155"/>
      <c r="N497" s="155"/>
      <c r="O497" s="155"/>
    </row>
    <row r="498" spans="1:15" ht="330">
      <c r="A498" s="392"/>
      <c r="B498" s="44" t="s">
        <v>1011</v>
      </c>
      <c r="C498" s="45" t="s">
        <v>7682</v>
      </c>
      <c r="D498" s="59" t="s">
        <v>1019</v>
      </c>
      <c r="E498" s="78" t="s">
        <v>5949</v>
      </c>
      <c r="F498" s="45" t="s">
        <v>7683</v>
      </c>
      <c r="G498" s="46" t="s">
        <v>7684</v>
      </c>
      <c r="H498" s="47" t="s">
        <v>62</v>
      </c>
      <c r="I498" s="118"/>
      <c r="J498" s="155"/>
      <c r="K498" s="155"/>
      <c r="L498" s="155"/>
      <c r="M498" s="155"/>
      <c r="N498" s="155"/>
      <c r="O498" s="155"/>
    </row>
    <row r="499" spans="1:15" ht="181.5">
      <c r="A499" s="392"/>
      <c r="B499" s="44" t="s">
        <v>1011</v>
      </c>
      <c r="C499" s="45" t="s">
        <v>7685</v>
      </c>
      <c r="D499" s="59" t="s">
        <v>1021</v>
      </c>
      <c r="E499" s="78" t="s">
        <v>5949</v>
      </c>
      <c r="F499" s="45" t="s">
        <v>7686</v>
      </c>
      <c r="G499" s="46" t="s">
        <v>1023</v>
      </c>
      <c r="H499" s="47" t="s">
        <v>62</v>
      </c>
      <c r="I499" s="118"/>
      <c r="J499" s="155"/>
      <c r="K499" s="155"/>
      <c r="L499" s="155"/>
      <c r="M499" s="155"/>
      <c r="N499" s="155"/>
      <c r="O499" s="155"/>
    </row>
    <row r="500" spans="1:15" ht="247.5">
      <c r="A500" s="392"/>
      <c r="B500" s="44" t="s">
        <v>1011</v>
      </c>
      <c r="C500" s="45" t="s">
        <v>7687</v>
      </c>
      <c r="D500" s="59" t="s">
        <v>7688</v>
      </c>
      <c r="E500" s="78" t="s">
        <v>5909</v>
      </c>
      <c r="F500" s="45" t="s">
        <v>7689</v>
      </c>
      <c r="G500" s="46" t="s">
        <v>7690</v>
      </c>
      <c r="H500" s="47" t="s">
        <v>62</v>
      </c>
      <c r="I500" s="118"/>
      <c r="J500" s="155"/>
      <c r="K500" s="155"/>
      <c r="L500" s="155"/>
      <c r="M500" s="155"/>
      <c r="N500" s="155"/>
      <c r="O500" s="155"/>
    </row>
    <row r="501" spans="1:15" ht="148.5">
      <c r="A501" s="392"/>
      <c r="B501" s="44" t="s">
        <v>1011</v>
      </c>
      <c r="C501" s="53" t="s">
        <v>7691</v>
      </c>
      <c r="D501" s="59" t="s">
        <v>1025</v>
      </c>
      <c r="E501" s="78" t="s">
        <v>7657</v>
      </c>
      <c r="F501" s="45" t="s">
        <v>7692</v>
      </c>
      <c r="G501" s="46" t="s">
        <v>1005</v>
      </c>
      <c r="H501" s="47" t="s">
        <v>41</v>
      </c>
      <c r="I501" s="118"/>
      <c r="J501" s="155"/>
      <c r="K501" s="155"/>
      <c r="L501" s="155"/>
      <c r="M501" s="155"/>
      <c r="N501" s="155"/>
      <c r="O501" s="155"/>
    </row>
    <row r="502" spans="1:15" ht="214.5">
      <c r="A502" s="392"/>
      <c r="B502" s="44" t="s">
        <v>1011</v>
      </c>
      <c r="C502" s="45" t="s">
        <v>7693</v>
      </c>
      <c r="D502" s="59" t="s">
        <v>1027</v>
      </c>
      <c r="E502" s="78" t="s">
        <v>5909</v>
      </c>
      <c r="F502" s="116" t="s">
        <v>7694</v>
      </c>
      <c r="G502" s="46" t="s">
        <v>7695</v>
      </c>
      <c r="H502" s="47" t="s">
        <v>41</v>
      </c>
      <c r="I502" s="118"/>
      <c r="J502" s="155"/>
      <c r="K502" s="155"/>
      <c r="L502" s="155"/>
      <c r="M502" s="155"/>
      <c r="N502" s="155"/>
      <c r="O502" s="155"/>
    </row>
    <row r="503" spans="1:15" ht="165">
      <c r="A503" s="392"/>
      <c r="B503" s="44" t="s">
        <v>1011</v>
      </c>
      <c r="C503" s="45" t="s">
        <v>7696</v>
      </c>
      <c r="D503" s="59" t="s">
        <v>7697</v>
      </c>
      <c r="E503" s="78" t="s">
        <v>7698</v>
      </c>
      <c r="F503" s="45" t="s">
        <v>7699</v>
      </c>
      <c r="G503" s="46" t="s">
        <v>1088</v>
      </c>
      <c r="H503" s="47" t="s">
        <v>24</v>
      </c>
      <c r="I503" s="118"/>
      <c r="J503" s="155"/>
      <c r="K503" s="155"/>
      <c r="L503" s="155"/>
      <c r="M503" s="155"/>
      <c r="N503" s="155"/>
      <c r="O503" s="155"/>
    </row>
    <row r="504" spans="1:15" ht="409.5">
      <c r="A504" s="392"/>
      <c r="B504" s="50" t="s">
        <v>1034</v>
      </c>
      <c r="C504" s="45" t="s">
        <v>7700</v>
      </c>
      <c r="D504" s="59" t="s">
        <v>1036</v>
      </c>
      <c r="E504" s="78" t="s">
        <v>5909</v>
      </c>
      <c r="F504" s="108" t="s">
        <v>7701</v>
      </c>
      <c r="G504" s="108" t="s">
        <v>1038</v>
      </c>
      <c r="H504" s="47" t="s">
        <v>41</v>
      </c>
      <c r="I504" s="118"/>
      <c r="J504" s="155"/>
      <c r="K504" s="155"/>
      <c r="L504" s="155"/>
      <c r="M504" s="155"/>
      <c r="N504" s="155"/>
      <c r="O504" s="155"/>
    </row>
    <row r="505" spans="1:15" ht="409.5">
      <c r="A505" s="392"/>
      <c r="B505" s="50" t="s">
        <v>1034</v>
      </c>
      <c r="C505" s="45" t="s">
        <v>7702</v>
      </c>
      <c r="D505" s="59" t="s">
        <v>1040</v>
      </c>
      <c r="E505" s="78" t="s">
        <v>5949</v>
      </c>
      <c r="F505" s="108" t="s">
        <v>7703</v>
      </c>
      <c r="G505" s="108" t="s">
        <v>1042</v>
      </c>
      <c r="H505" s="47" t="s">
        <v>41</v>
      </c>
      <c r="I505" s="118"/>
      <c r="J505" s="155"/>
      <c r="K505" s="155"/>
      <c r="L505" s="155"/>
      <c r="M505" s="155"/>
      <c r="N505" s="155"/>
      <c r="O505" s="155"/>
    </row>
    <row r="506" spans="1:15" ht="409.5">
      <c r="A506" s="392"/>
      <c r="B506" s="50" t="s">
        <v>1034</v>
      </c>
      <c r="C506" s="45" t="s">
        <v>7704</v>
      </c>
      <c r="D506" s="59" t="s">
        <v>1044</v>
      </c>
      <c r="E506" s="78" t="s">
        <v>5949</v>
      </c>
      <c r="F506" s="108" t="s">
        <v>7705</v>
      </c>
      <c r="G506" s="108" t="s">
        <v>1046</v>
      </c>
      <c r="H506" s="47" t="s">
        <v>41</v>
      </c>
      <c r="I506" s="118"/>
      <c r="J506" s="155"/>
      <c r="K506" s="155"/>
      <c r="L506" s="155"/>
      <c r="M506" s="155"/>
      <c r="N506" s="155"/>
      <c r="O506" s="155"/>
    </row>
    <row r="507" spans="1:15" ht="409.5">
      <c r="A507" s="392"/>
      <c r="B507" s="50" t="s">
        <v>1034</v>
      </c>
      <c r="C507" s="45" t="s">
        <v>7706</v>
      </c>
      <c r="D507" s="59" t="s">
        <v>1048</v>
      </c>
      <c r="E507" s="78" t="s">
        <v>5949</v>
      </c>
      <c r="F507" s="108" t="s">
        <v>7707</v>
      </c>
      <c r="G507" s="108" t="s">
        <v>1050</v>
      </c>
      <c r="H507" s="47" t="s">
        <v>41</v>
      </c>
      <c r="I507" s="118"/>
      <c r="J507" s="155"/>
      <c r="K507" s="155"/>
      <c r="L507" s="155"/>
      <c r="M507" s="155"/>
      <c r="N507" s="155"/>
      <c r="O507" s="155"/>
    </row>
    <row r="508" spans="1:15" ht="409.5">
      <c r="A508" s="392"/>
      <c r="B508" s="50" t="s">
        <v>1034</v>
      </c>
      <c r="C508" s="45" t="s">
        <v>7708</v>
      </c>
      <c r="D508" s="59" t="s">
        <v>1052</v>
      </c>
      <c r="E508" s="78" t="s">
        <v>5949</v>
      </c>
      <c r="F508" s="108" t="s">
        <v>7709</v>
      </c>
      <c r="G508" s="108" t="s">
        <v>1054</v>
      </c>
      <c r="H508" s="47" t="s">
        <v>41</v>
      </c>
      <c r="I508" s="118"/>
      <c r="J508" s="155"/>
      <c r="K508" s="155"/>
      <c r="L508" s="155"/>
      <c r="M508" s="155"/>
      <c r="N508" s="155"/>
      <c r="O508" s="155"/>
    </row>
    <row r="509" spans="1:15" ht="148.5">
      <c r="A509" s="392"/>
      <c r="B509" s="50" t="s">
        <v>1034</v>
      </c>
      <c r="C509" s="45" t="s">
        <v>7710</v>
      </c>
      <c r="D509" s="59" t="s">
        <v>7711</v>
      </c>
      <c r="E509" s="78" t="s">
        <v>5949</v>
      </c>
      <c r="F509" s="108" t="s">
        <v>7712</v>
      </c>
      <c r="G509" s="108" t="s">
        <v>7713</v>
      </c>
      <c r="H509" s="47" t="s">
        <v>41</v>
      </c>
      <c r="I509" s="118"/>
      <c r="J509" s="155"/>
      <c r="K509" s="155"/>
      <c r="L509" s="155"/>
      <c r="M509" s="155"/>
      <c r="N509" s="155"/>
      <c r="O509" s="155"/>
    </row>
    <row r="510" spans="1:15" ht="409.5">
      <c r="A510" s="392"/>
      <c r="B510" s="50" t="s">
        <v>1034</v>
      </c>
      <c r="C510" s="45" t="s">
        <v>7714</v>
      </c>
      <c r="D510" s="59" t="s">
        <v>7715</v>
      </c>
      <c r="E510" s="78" t="s">
        <v>5909</v>
      </c>
      <c r="F510" s="108" t="s">
        <v>7716</v>
      </c>
      <c r="G510" s="108" t="s">
        <v>7717</v>
      </c>
      <c r="H510" s="47" t="s">
        <v>62</v>
      </c>
      <c r="I510" s="78" t="s">
        <v>7718</v>
      </c>
      <c r="J510" s="155"/>
      <c r="K510" s="155"/>
      <c r="L510" s="155"/>
      <c r="M510" s="155"/>
      <c r="N510" s="155"/>
      <c r="O510" s="155"/>
    </row>
    <row r="511" spans="1:15" ht="313.5">
      <c r="A511" s="392"/>
      <c r="B511" s="50" t="s">
        <v>1055</v>
      </c>
      <c r="C511" s="45" t="s">
        <v>7719</v>
      </c>
      <c r="D511" s="59" t="s">
        <v>1057</v>
      </c>
      <c r="E511" s="78" t="s">
        <v>5909</v>
      </c>
      <c r="F511" s="108" t="s">
        <v>7720</v>
      </c>
      <c r="G511" s="108" t="s">
        <v>1059</v>
      </c>
      <c r="H511" s="47" t="s">
        <v>62</v>
      </c>
      <c r="I511" s="118"/>
      <c r="J511" s="155"/>
      <c r="K511" s="155"/>
      <c r="L511" s="155"/>
      <c r="M511" s="155"/>
      <c r="N511" s="155"/>
      <c r="O511" s="155"/>
    </row>
    <row r="512" spans="1:15" ht="148.5">
      <c r="A512" s="392"/>
      <c r="B512" s="50" t="s">
        <v>1055</v>
      </c>
      <c r="C512" s="53" t="s">
        <v>7721</v>
      </c>
      <c r="D512" s="59" t="s">
        <v>1060</v>
      </c>
      <c r="E512" s="78" t="s">
        <v>5909</v>
      </c>
      <c r="F512" s="45" t="s">
        <v>7722</v>
      </c>
      <c r="G512" s="46" t="s">
        <v>1005</v>
      </c>
      <c r="H512" s="49" t="s">
        <v>41</v>
      </c>
      <c r="I512" s="118"/>
      <c r="J512" s="155"/>
      <c r="K512" s="155"/>
      <c r="L512" s="155"/>
      <c r="M512" s="155"/>
      <c r="N512" s="155"/>
      <c r="O512" s="155"/>
    </row>
    <row r="513" spans="1:15" ht="313.5">
      <c r="A513" s="392"/>
      <c r="B513" s="50" t="s">
        <v>1055</v>
      </c>
      <c r="C513" s="53" t="s">
        <v>7723</v>
      </c>
      <c r="D513" s="59" t="s">
        <v>1063</v>
      </c>
      <c r="E513" s="78" t="s">
        <v>5909</v>
      </c>
      <c r="F513" s="108" t="s">
        <v>7724</v>
      </c>
      <c r="G513" s="108" t="s">
        <v>1065</v>
      </c>
      <c r="H513" s="49" t="s">
        <v>36</v>
      </c>
      <c r="I513" s="118"/>
      <c r="J513" s="155"/>
      <c r="K513" s="155"/>
      <c r="L513" s="155"/>
      <c r="M513" s="155"/>
      <c r="N513" s="155"/>
      <c r="O513" s="155"/>
    </row>
    <row r="514" spans="1:15" ht="363">
      <c r="A514" s="392"/>
      <c r="B514" s="44" t="s">
        <v>1068</v>
      </c>
      <c r="C514" s="45" t="s">
        <v>7725</v>
      </c>
      <c r="D514" s="59" t="s">
        <v>7726</v>
      </c>
      <c r="E514" s="78" t="s">
        <v>5949</v>
      </c>
      <c r="F514" s="116" t="s">
        <v>7727</v>
      </c>
      <c r="G514" s="46" t="s">
        <v>7728</v>
      </c>
      <c r="H514" s="47" t="s">
        <v>30</v>
      </c>
      <c r="I514" s="131"/>
      <c r="J514" s="155"/>
      <c r="K514" s="155"/>
      <c r="L514" s="155"/>
      <c r="M514" s="155"/>
      <c r="N514" s="155"/>
      <c r="O514" s="155"/>
    </row>
    <row r="515" spans="1:15" ht="132">
      <c r="A515" s="392"/>
      <c r="B515" s="44" t="s">
        <v>1068</v>
      </c>
      <c r="C515" s="45" t="s">
        <v>7729</v>
      </c>
      <c r="D515" s="59" t="s">
        <v>7730</v>
      </c>
      <c r="E515" s="78" t="s">
        <v>5949</v>
      </c>
      <c r="F515" s="45" t="s">
        <v>7731</v>
      </c>
      <c r="G515" s="46" t="s">
        <v>7732</v>
      </c>
      <c r="H515" s="47" t="s">
        <v>117</v>
      </c>
      <c r="I515" s="131"/>
      <c r="J515" s="155"/>
      <c r="K515" s="155"/>
      <c r="L515" s="155"/>
      <c r="M515" s="155"/>
      <c r="N515" s="155"/>
      <c r="O515" s="155"/>
    </row>
    <row r="516" spans="1:15" ht="409.5">
      <c r="A516" s="392"/>
      <c r="B516" s="44" t="s">
        <v>1068</v>
      </c>
      <c r="C516" s="45" t="s">
        <v>7733</v>
      </c>
      <c r="D516" s="75" t="s">
        <v>7734</v>
      </c>
      <c r="E516" s="78" t="s">
        <v>5949</v>
      </c>
      <c r="F516" s="116" t="s">
        <v>7735</v>
      </c>
      <c r="G516" s="46" t="s">
        <v>1071</v>
      </c>
      <c r="H516" s="47" t="s">
        <v>41</v>
      </c>
      <c r="I516" s="118"/>
      <c r="J516" s="155"/>
      <c r="K516" s="155"/>
      <c r="L516" s="155"/>
      <c r="M516" s="155"/>
      <c r="N516" s="155"/>
      <c r="O516" s="155"/>
    </row>
    <row r="517" spans="1:15" ht="247.5">
      <c r="A517" s="392"/>
      <c r="B517" s="44" t="s">
        <v>1068</v>
      </c>
      <c r="C517" s="45" t="s">
        <v>7736</v>
      </c>
      <c r="D517" s="59" t="s">
        <v>7737</v>
      </c>
      <c r="E517" s="78" t="s">
        <v>5949</v>
      </c>
      <c r="F517" s="116" t="s">
        <v>7738</v>
      </c>
      <c r="G517" s="46" t="s">
        <v>7739</v>
      </c>
      <c r="H517" s="47" t="s">
        <v>24</v>
      </c>
      <c r="I517" s="118"/>
      <c r="J517" s="155"/>
      <c r="K517" s="155"/>
      <c r="L517" s="155"/>
      <c r="M517" s="155"/>
      <c r="N517" s="155"/>
      <c r="O517" s="155"/>
    </row>
    <row r="518" spans="1:15" ht="247.5">
      <c r="A518" s="392"/>
      <c r="B518" s="44" t="s">
        <v>1068</v>
      </c>
      <c r="C518" s="53" t="s">
        <v>7740</v>
      </c>
      <c r="D518" s="59" t="s">
        <v>7741</v>
      </c>
      <c r="E518" s="78" t="s">
        <v>5909</v>
      </c>
      <c r="F518" s="116" t="s">
        <v>7742</v>
      </c>
      <c r="G518" s="46" t="s">
        <v>7743</v>
      </c>
      <c r="H518" s="47" t="s">
        <v>117</v>
      </c>
      <c r="I518" s="118"/>
      <c r="J518" s="155"/>
      <c r="K518" s="155"/>
      <c r="L518" s="155"/>
      <c r="M518" s="155"/>
      <c r="N518" s="155"/>
      <c r="O518" s="155"/>
    </row>
    <row r="519" spans="1:15" ht="247.5">
      <c r="A519" s="392"/>
      <c r="B519" s="44" t="s">
        <v>1068</v>
      </c>
      <c r="C519" s="45" t="s">
        <v>7744</v>
      </c>
      <c r="D519" s="59" t="s">
        <v>7745</v>
      </c>
      <c r="E519" s="78" t="s">
        <v>5949</v>
      </c>
      <c r="F519" s="116" t="s">
        <v>7746</v>
      </c>
      <c r="G519" s="46" t="s">
        <v>7747</v>
      </c>
      <c r="H519" s="47" t="s">
        <v>117</v>
      </c>
      <c r="I519" s="118"/>
      <c r="J519" s="155"/>
      <c r="K519" s="155"/>
      <c r="L519" s="155"/>
      <c r="M519" s="155"/>
      <c r="N519" s="155"/>
      <c r="O519" s="155"/>
    </row>
    <row r="520" spans="1:15" ht="115.5">
      <c r="A520" s="392"/>
      <c r="B520" s="44" t="s">
        <v>1068</v>
      </c>
      <c r="C520" s="45" t="s">
        <v>7748</v>
      </c>
      <c r="D520" s="59" t="s">
        <v>1073</v>
      </c>
      <c r="E520" s="78" t="s">
        <v>5949</v>
      </c>
      <c r="F520" s="45" t="s">
        <v>7749</v>
      </c>
      <c r="G520" s="46" t="s">
        <v>1075</v>
      </c>
      <c r="H520" s="47" t="s">
        <v>24</v>
      </c>
      <c r="I520" s="118"/>
      <c r="J520" s="155"/>
      <c r="K520" s="155"/>
      <c r="L520" s="155"/>
      <c r="M520" s="155"/>
      <c r="N520" s="155"/>
      <c r="O520" s="155"/>
    </row>
    <row r="521" spans="1:15" ht="363">
      <c r="A521" s="392"/>
      <c r="B521" s="44" t="s">
        <v>1068</v>
      </c>
      <c r="C521" s="53" t="s">
        <v>7750</v>
      </c>
      <c r="D521" s="59" t="s">
        <v>7726</v>
      </c>
      <c r="E521" s="78" t="s">
        <v>5949</v>
      </c>
      <c r="F521" s="116" t="s">
        <v>7751</v>
      </c>
      <c r="G521" s="46" t="s">
        <v>7752</v>
      </c>
      <c r="H521" s="47" t="s">
        <v>24</v>
      </c>
      <c r="I521" s="118"/>
      <c r="J521" s="155"/>
      <c r="K521" s="155"/>
      <c r="L521" s="155"/>
      <c r="M521" s="155"/>
      <c r="N521" s="155"/>
      <c r="O521" s="155"/>
    </row>
    <row r="522" spans="1:15" ht="363">
      <c r="A522" s="392"/>
      <c r="B522" s="44" t="s">
        <v>1068</v>
      </c>
      <c r="C522" s="45" t="s">
        <v>7753</v>
      </c>
      <c r="D522" s="59" t="s">
        <v>7754</v>
      </c>
      <c r="E522" s="78" t="s">
        <v>5949</v>
      </c>
      <c r="F522" s="116" t="s">
        <v>7755</v>
      </c>
      <c r="G522" s="46" t="s">
        <v>7756</v>
      </c>
      <c r="H522" s="47" t="s">
        <v>24</v>
      </c>
      <c r="I522" s="118"/>
      <c r="J522" s="155"/>
      <c r="K522" s="155"/>
      <c r="L522" s="155"/>
      <c r="M522" s="155"/>
      <c r="N522" s="155"/>
      <c r="O522" s="155"/>
    </row>
    <row r="523" spans="1:15" ht="247.5">
      <c r="A523" s="392"/>
      <c r="B523" s="44" t="s">
        <v>1068</v>
      </c>
      <c r="C523" s="45" t="s">
        <v>7757</v>
      </c>
      <c r="D523" s="59" t="s">
        <v>7758</v>
      </c>
      <c r="E523" s="78" t="s">
        <v>5909</v>
      </c>
      <c r="F523" s="116" t="s">
        <v>7759</v>
      </c>
      <c r="G523" s="46" t="s">
        <v>7760</v>
      </c>
      <c r="H523" s="47" t="s">
        <v>36</v>
      </c>
      <c r="I523" s="118"/>
      <c r="J523" s="155"/>
      <c r="K523" s="155"/>
      <c r="L523" s="155"/>
      <c r="M523" s="155"/>
      <c r="N523" s="155"/>
      <c r="O523" s="155"/>
    </row>
    <row r="524" spans="1:15" ht="148.5">
      <c r="A524" s="392"/>
      <c r="B524" s="56" t="s">
        <v>1068</v>
      </c>
      <c r="C524" s="45" t="s">
        <v>7761</v>
      </c>
      <c r="D524" s="59" t="s">
        <v>1077</v>
      </c>
      <c r="E524" s="78" t="s">
        <v>7762</v>
      </c>
      <c r="F524" s="53" t="s">
        <v>7763</v>
      </c>
      <c r="G524" s="60" t="s">
        <v>1080</v>
      </c>
      <c r="H524" s="49" t="s">
        <v>41</v>
      </c>
      <c r="I524" s="114"/>
      <c r="J524" s="155"/>
      <c r="K524" s="155"/>
      <c r="L524" s="155"/>
      <c r="M524" s="155"/>
      <c r="N524" s="155"/>
      <c r="O524" s="155"/>
    </row>
    <row r="525" spans="1:15" ht="231">
      <c r="A525" s="392"/>
      <c r="B525" s="56" t="s">
        <v>1068</v>
      </c>
      <c r="C525" s="53" t="s">
        <v>7764</v>
      </c>
      <c r="D525" s="75" t="s">
        <v>1082</v>
      </c>
      <c r="E525" s="78" t="s">
        <v>5909</v>
      </c>
      <c r="F525" s="116" t="s">
        <v>7765</v>
      </c>
      <c r="G525" s="60" t="s">
        <v>1083</v>
      </c>
      <c r="H525" s="49" t="s">
        <v>36</v>
      </c>
      <c r="I525" s="114"/>
      <c r="J525" s="155"/>
      <c r="K525" s="155"/>
      <c r="L525" s="155"/>
      <c r="M525" s="155"/>
      <c r="N525" s="155"/>
      <c r="O525" s="155"/>
    </row>
    <row r="526" spans="1:15" ht="165">
      <c r="A526" s="392"/>
      <c r="B526" s="56" t="s">
        <v>1068</v>
      </c>
      <c r="C526" s="53" t="s">
        <v>7766</v>
      </c>
      <c r="D526" s="59" t="s">
        <v>7767</v>
      </c>
      <c r="E526" s="78" t="s">
        <v>7768</v>
      </c>
      <c r="F526" s="45" t="s">
        <v>7769</v>
      </c>
      <c r="G526" s="46" t="s">
        <v>1088</v>
      </c>
      <c r="H526" s="47" t="s">
        <v>24</v>
      </c>
      <c r="I526" s="118"/>
      <c r="J526" s="155"/>
      <c r="K526" s="155"/>
      <c r="L526" s="155"/>
      <c r="M526" s="155"/>
      <c r="N526" s="155"/>
      <c r="O526" s="155"/>
    </row>
    <row r="527" spans="1:15" ht="409.5">
      <c r="A527" s="392"/>
      <c r="B527" s="50" t="s">
        <v>1089</v>
      </c>
      <c r="C527" s="45" t="s">
        <v>7770</v>
      </c>
      <c r="D527" s="59" t="s">
        <v>1091</v>
      </c>
      <c r="E527" s="78" t="s">
        <v>5949</v>
      </c>
      <c r="F527" s="45" t="s">
        <v>7771</v>
      </c>
      <c r="G527" s="46" t="s">
        <v>1093</v>
      </c>
      <c r="H527" s="47" t="s">
        <v>30</v>
      </c>
      <c r="I527" s="118"/>
      <c r="J527" s="155"/>
      <c r="K527" s="155"/>
      <c r="L527" s="155"/>
      <c r="M527" s="155"/>
      <c r="N527" s="155"/>
      <c r="O527" s="155"/>
    </row>
    <row r="528" spans="1:15" ht="409.5">
      <c r="A528" s="392"/>
      <c r="B528" s="50" t="s">
        <v>1089</v>
      </c>
      <c r="C528" s="45" t="s">
        <v>7772</v>
      </c>
      <c r="D528" s="59" t="s">
        <v>7773</v>
      </c>
      <c r="E528" s="78" t="s">
        <v>5949</v>
      </c>
      <c r="F528" s="45" t="s">
        <v>7774</v>
      </c>
      <c r="G528" s="46" t="s">
        <v>7775</v>
      </c>
      <c r="H528" s="47" t="s">
        <v>117</v>
      </c>
      <c r="I528" s="118"/>
      <c r="J528" s="155"/>
      <c r="K528" s="155"/>
      <c r="L528" s="155"/>
      <c r="M528" s="155"/>
      <c r="N528" s="155"/>
      <c r="O528" s="155"/>
    </row>
    <row r="529" spans="1:15" ht="409.5">
      <c r="A529" s="392"/>
      <c r="B529" s="50" t="s">
        <v>1089</v>
      </c>
      <c r="C529" s="45" t="s">
        <v>7776</v>
      </c>
      <c r="D529" s="59" t="s">
        <v>7777</v>
      </c>
      <c r="E529" s="78" t="s">
        <v>5949</v>
      </c>
      <c r="F529" s="45" t="s">
        <v>7778</v>
      </c>
      <c r="G529" s="46" t="s">
        <v>7779</v>
      </c>
      <c r="H529" s="47" t="s">
        <v>117</v>
      </c>
      <c r="I529" s="118"/>
      <c r="J529" s="155"/>
      <c r="K529" s="155"/>
      <c r="L529" s="155"/>
      <c r="M529" s="155"/>
      <c r="N529" s="155"/>
      <c r="O529" s="155"/>
    </row>
    <row r="530" spans="1:15" ht="409.5">
      <c r="A530" s="392"/>
      <c r="B530" s="50" t="s">
        <v>1089</v>
      </c>
      <c r="C530" s="45" t="s">
        <v>7780</v>
      </c>
      <c r="D530" s="59" t="s">
        <v>7781</v>
      </c>
      <c r="E530" s="78" t="s">
        <v>5949</v>
      </c>
      <c r="F530" s="45" t="s">
        <v>7782</v>
      </c>
      <c r="G530" s="46" t="s">
        <v>7783</v>
      </c>
      <c r="H530" s="47" t="s">
        <v>117</v>
      </c>
      <c r="I530" s="118"/>
      <c r="J530" s="155"/>
      <c r="K530" s="155"/>
      <c r="L530" s="155"/>
      <c r="M530" s="155"/>
      <c r="N530" s="155"/>
      <c r="O530" s="155"/>
    </row>
    <row r="531" spans="1:15" ht="409.5">
      <c r="A531" s="392"/>
      <c r="B531" s="50" t="s">
        <v>1089</v>
      </c>
      <c r="C531" s="45" t="s">
        <v>7784</v>
      </c>
      <c r="D531" s="59" t="s">
        <v>7785</v>
      </c>
      <c r="E531" s="78" t="s">
        <v>5949</v>
      </c>
      <c r="F531" s="45" t="s">
        <v>7786</v>
      </c>
      <c r="G531" s="46" t="s">
        <v>7787</v>
      </c>
      <c r="H531" s="47" t="s">
        <v>117</v>
      </c>
      <c r="I531" s="118"/>
      <c r="J531" s="155"/>
      <c r="K531" s="155"/>
      <c r="L531" s="155"/>
      <c r="M531" s="155"/>
      <c r="N531" s="155"/>
      <c r="O531" s="155"/>
    </row>
    <row r="532" spans="1:15" ht="247.5">
      <c r="A532" s="392"/>
      <c r="B532" s="50" t="s">
        <v>1089</v>
      </c>
      <c r="C532" s="45" t="s">
        <v>7788</v>
      </c>
      <c r="D532" s="59" t="s">
        <v>7789</v>
      </c>
      <c r="E532" s="78" t="s">
        <v>5949</v>
      </c>
      <c r="F532" s="45" t="s">
        <v>7790</v>
      </c>
      <c r="G532" s="46" t="s">
        <v>7791</v>
      </c>
      <c r="H532" s="47" t="s">
        <v>117</v>
      </c>
      <c r="I532" s="118"/>
      <c r="J532" s="155"/>
      <c r="K532" s="155"/>
      <c r="L532" s="155"/>
      <c r="M532" s="155"/>
      <c r="N532" s="155"/>
      <c r="O532" s="155"/>
    </row>
    <row r="533" spans="1:15" ht="231">
      <c r="A533" s="392"/>
      <c r="B533" s="50" t="s">
        <v>1089</v>
      </c>
      <c r="C533" s="45" t="s">
        <v>7792</v>
      </c>
      <c r="D533" s="59" t="s">
        <v>7793</v>
      </c>
      <c r="E533" s="78" t="s">
        <v>5949</v>
      </c>
      <c r="F533" s="45" t="s">
        <v>7794</v>
      </c>
      <c r="G533" s="46" t="s">
        <v>7795</v>
      </c>
      <c r="H533" s="47" t="s">
        <v>117</v>
      </c>
      <c r="I533" s="118"/>
      <c r="J533" s="155"/>
      <c r="K533" s="155"/>
      <c r="L533" s="155"/>
      <c r="M533" s="155"/>
      <c r="N533" s="155"/>
      <c r="O533" s="155"/>
    </row>
    <row r="534" spans="1:15" ht="231">
      <c r="A534" s="392"/>
      <c r="B534" s="50" t="s">
        <v>1089</v>
      </c>
      <c r="C534" s="45" t="s">
        <v>7796</v>
      </c>
      <c r="D534" s="59" t="s">
        <v>7797</v>
      </c>
      <c r="E534" s="78" t="s">
        <v>5949</v>
      </c>
      <c r="F534" s="45" t="s">
        <v>7798</v>
      </c>
      <c r="G534" s="46" t="s">
        <v>7799</v>
      </c>
      <c r="H534" s="47" t="s">
        <v>117</v>
      </c>
      <c r="I534" s="118"/>
      <c r="J534" s="155"/>
      <c r="K534" s="155"/>
      <c r="L534" s="155"/>
      <c r="M534" s="155"/>
      <c r="N534" s="155"/>
      <c r="O534" s="155"/>
    </row>
    <row r="535" spans="1:15" ht="82.5">
      <c r="A535" s="392"/>
      <c r="B535" s="50" t="s">
        <v>1089</v>
      </c>
      <c r="C535" s="45" t="s">
        <v>7800</v>
      </c>
      <c r="D535" s="59" t="s">
        <v>7801</v>
      </c>
      <c r="E535" s="78" t="s">
        <v>5949</v>
      </c>
      <c r="F535" s="45" t="s">
        <v>7802</v>
      </c>
      <c r="G535" s="46" t="s">
        <v>7803</v>
      </c>
      <c r="H535" s="47" t="s">
        <v>117</v>
      </c>
      <c r="I535" s="118"/>
      <c r="J535" s="155"/>
      <c r="K535" s="155"/>
      <c r="L535" s="155"/>
      <c r="M535" s="155"/>
      <c r="N535" s="155"/>
      <c r="O535" s="155"/>
    </row>
    <row r="536" spans="1:15" ht="132">
      <c r="A536" s="392"/>
      <c r="B536" s="50" t="s">
        <v>1089</v>
      </c>
      <c r="C536" s="45" t="s">
        <v>7800</v>
      </c>
      <c r="D536" s="59" t="s">
        <v>7804</v>
      </c>
      <c r="E536" s="78" t="s">
        <v>5949</v>
      </c>
      <c r="F536" s="45" t="s">
        <v>7805</v>
      </c>
      <c r="G536" s="46" t="s">
        <v>7806</v>
      </c>
      <c r="H536" s="47" t="s">
        <v>86</v>
      </c>
      <c r="I536" s="118"/>
      <c r="J536" s="155"/>
      <c r="K536" s="155"/>
      <c r="L536" s="155"/>
      <c r="M536" s="155"/>
      <c r="N536" s="155"/>
      <c r="O536" s="155"/>
    </row>
    <row r="537" spans="1:15" ht="132">
      <c r="A537" s="392"/>
      <c r="B537" s="50" t="s">
        <v>1089</v>
      </c>
      <c r="C537" s="45" t="s">
        <v>7800</v>
      </c>
      <c r="D537" s="59" t="s">
        <v>7807</v>
      </c>
      <c r="E537" s="78" t="s">
        <v>5949</v>
      </c>
      <c r="F537" s="45" t="s">
        <v>7808</v>
      </c>
      <c r="G537" s="46" t="s">
        <v>7809</v>
      </c>
      <c r="H537" s="47" t="s">
        <v>86</v>
      </c>
      <c r="I537" s="118"/>
      <c r="J537" s="155"/>
      <c r="K537" s="155"/>
      <c r="L537" s="155"/>
      <c r="M537" s="155"/>
      <c r="N537" s="155"/>
      <c r="O537" s="155"/>
    </row>
    <row r="538" spans="1:15" ht="264">
      <c r="A538" s="392"/>
      <c r="B538" s="50" t="s">
        <v>1089</v>
      </c>
      <c r="C538" s="45" t="s">
        <v>7810</v>
      </c>
      <c r="D538" s="59" t="s">
        <v>7811</v>
      </c>
      <c r="E538" s="78" t="s">
        <v>5949</v>
      </c>
      <c r="F538" s="45" t="s">
        <v>7812</v>
      </c>
      <c r="G538" s="89" t="s">
        <v>7813</v>
      </c>
      <c r="H538" s="47" t="s">
        <v>41</v>
      </c>
      <c r="I538" s="118"/>
      <c r="J538" s="155"/>
      <c r="K538" s="155"/>
      <c r="L538" s="155"/>
      <c r="M538" s="155"/>
      <c r="N538" s="155"/>
      <c r="O538" s="155"/>
    </row>
    <row r="539" spans="1:15" ht="280.5">
      <c r="A539" s="392"/>
      <c r="B539" s="50" t="s">
        <v>1089</v>
      </c>
      <c r="C539" s="45" t="s">
        <v>7814</v>
      </c>
      <c r="D539" s="59" t="s">
        <v>7815</v>
      </c>
      <c r="E539" s="78" t="s">
        <v>5949</v>
      </c>
      <c r="F539" s="45" t="s">
        <v>7816</v>
      </c>
      <c r="G539" s="89" t="s">
        <v>7817</v>
      </c>
      <c r="H539" s="47" t="s">
        <v>62</v>
      </c>
      <c r="I539" s="118"/>
      <c r="J539" s="155"/>
      <c r="K539" s="155"/>
      <c r="L539" s="155"/>
      <c r="M539" s="155"/>
      <c r="N539" s="155"/>
      <c r="O539" s="155"/>
    </row>
    <row r="540" spans="1:15" ht="363">
      <c r="A540" s="392"/>
      <c r="B540" s="50" t="s">
        <v>1089</v>
      </c>
      <c r="C540" s="45" t="s">
        <v>7818</v>
      </c>
      <c r="D540" s="59" t="s">
        <v>7819</v>
      </c>
      <c r="E540" s="78" t="s">
        <v>5909</v>
      </c>
      <c r="F540" s="116" t="s">
        <v>7820</v>
      </c>
      <c r="G540" s="46" t="s">
        <v>7821</v>
      </c>
      <c r="H540" s="47" t="s">
        <v>62</v>
      </c>
      <c r="I540" s="118"/>
      <c r="J540" s="155"/>
      <c r="K540" s="155"/>
      <c r="L540" s="155"/>
      <c r="M540" s="155"/>
      <c r="N540" s="155"/>
      <c r="O540" s="155"/>
    </row>
    <row r="541" spans="1:15" ht="247.5">
      <c r="A541" s="392"/>
      <c r="B541" s="50" t="s">
        <v>1098</v>
      </c>
      <c r="C541" s="45" t="s">
        <v>7822</v>
      </c>
      <c r="D541" s="59" t="s">
        <v>1100</v>
      </c>
      <c r="E541" s="78" t="s">
        <v>5949</v>
      </c>
      <c r="F541" s="116" t="s">
        <v>7823</v>
      </c>
      <c r="G541" s="46" t="s">
        <v>1101</v>
      </c>
      <c r="H541" s="47" t="s">
        <v>62</v>
      </c>
      <c r="I541" s="118"/>
      <c r="J541" s="155"/>
      <c r="K541" s="155"/>
      <c r="L541" s="155"/>
      <c r="M541" s="155"/>
      <c r="N541" s="155"/>
      <c r="O541" s="155"/>
    </row>
    <row r="542" spans="1:15" ht="148.5">
      <c r="A542" s="392"/>
      <c r="B542" s="51" t="s">
        <v>1098</v>
      </c>
      <c r="C542" s="53" t="s">
        <v>7824</v>
      </c>
      <c r="D542" s="59" t="s">
        <v>1103</v>
      </c>
      <c r="E542" s="78" t="s">
        <v>7825</v>
      </c>
      <c r="F542" s="53" t="s">
        <v>7826</v>
      </c>
      <c r="G542" s="60" t="s">
        <v>1105</v>
      </c>
      <c r="H542" s="49" t="s">
        <v>41</v>
      </c>
      <c r="I542" s="114"/>
      <c r="J542" s="155"/>
      <c r="K542" s="155"/>
      <c r="L542" s="155"/>
      <c r="M542" s="155"/>
      <c r="N542" s="155"/>
      <c r="O542" s="155"/>
    </row>
    <row r="543" spans="1:15" ht="409.5">
      <c r="A543" s="392"/>
      <c r="B543" s="51" t="s">
        <v>1089</v>
      </c>
      <c r="C543" s="53" t="s">
        <v>7827</v>
      </c>
      <c r="D543" s="75" t="s">
        <v>1107</v>
      </c>
      <c r="E543" s="73" t="s">
        <v>5909</v>
      </c>
      <c r="F543" s="75" t="s">
        <v>7828</v>
      </c>
      <c r="G543" s="60" t="s">
        <v>1108</v>
      </c>
      <c r="H543" s="49" t="s">
        <v>36</v>
      </c>
      <c r="I543" s="114"/>
      <c r="J543" s="155"/>
      <c r="K543" s="155"/>
      <c r="L543" s="155"/>
      <c r="M543" s="155"/>
      <c r="N543" s="155"/>
      <c r="O543" s="155"/>
    </row>
    <row r="544" spans="1:15" ht="165">
      <c r="A544" s="392"/>
      <c r="B544" s="51" t="s">
        <v>1089</v>
      </c>
      <c r="C544" s="53" t="s">
        <v>7829</v>
      </c>
      <c r="D544" s="75" t="s">
        <v>7830</v>
      </c>
      <c r="E544" s="73" t="s">
        <v>5909</v>
      </c>
      <c r="F544" s="116" t="s">
        <v>7831</v>
      </c>
      <c r="G544" s="60" t="s">
        <v>7832</v>
      </c>
      <c r="H544" s="49" t="s">
        <v>41</v>
      </c>
      <c r="I544" s="114"/>
      <c r="J544" s="155"/>
      <c r="K544" s="155"/>
      <c r="L544" s="155"/>
      <c r="M544" s="155"/>
      <c r="N544" s="155"/>
      <c r="O544" s="155"/>
    </row>
    <row r="545" spans="1:15" ht="132">
      <c r="A545" s="392"/>
      <c r="B545" s="51" t="s">
        <v>1089</v>
      </c>
      <c r="C545" s="53" t="s">
        <v>7833</v>
      </c>
      <c r="D545" s="75" t="s">
        <v>7834</v>
      </c>
      <c r="E545" s="73" t="s">
        <v>5909</v>
      </c>
      <c r="F545" s="53" t="s">
        <v>7835</v>
      </c>
      <c r="G545" s="60" t="s">
        <v>7836</v>
      </c>
      <c r="H545" s="49" t="s">
        <v>117</v>
      </c>
      <c r="I545" s="114"/>
      <c r="J545" s="155"/>
      <c r="K545" s="155"/>
      <c r="L545" s="155"/>
      <c r="M545" s="155"/>
      <c r="N545" s="155"/>
      <c r="O545" s="155"/>
    </row>
    <row r="546" spans="1:15" ht="132">
      <c r="A546" s="393"/>
      <c r="B546" s="51" t="s">
        <v>1089</v>
      </c>
      <c r="C546" s="53" t="s">
        <v>7837</v>
      </c>
      <c r="D546" s="59" t="s">
        <v>7838</v>
      </c>
      <c r="E546" s="78" t="s">
        <v>7839</v>
      </c>
      <c r="F546" s="45" t="s">
        <v>7840</v>
      </c>
      <c r="G546" s="46" t="s">
        <v>7841</v>
      </c>
      <c r="H546" s="47" t="s">
        <v>24</v>
      </c>
      <c r="I546" s="118"/>
      <c r="J546" s="155"/>
      <c r="K546" s="155"/>
      <c r="L546" s="155"/>
      <c r="M546" s="155"/>
      <c r="N546" s="155"/>
      <c r="O546" s="155"/>
    </row>
    <row r="547" spans="1:15" ht="181.5">
      <c r="A547" s="399" t="s">
        <v>1137</v>
      </c>
      <c r="B547" s="50" t="s">
        <v>1138</v>
      </c>
      <c r="C547" s="45" t="s">
        <v>7842</v>
      </c>
      <c r="D547" s="59" t="s">
        <v>1140</v>
      </c>
      <c r="E547" s="78" t="s">
        <v>5909</v>
      </c>
      <c r="F547" s="45" t="s">
        <v>7843</v>
      </c>
      <c r="G547" s="46" t="s">
        <v>1142</v>
      </c>
      <c r="H547" s="47" t="s">
        <v>41</v>
      </c>
      <c r="I547" s="118"/>
      <c r="J547" s="155"/>
      <c r="K547" s="155"/>
      <c r="L547" s="155"/>
      <c r="M547" s="155"/>
      <c r="N547" s="155"/>
      <c r="O547" s="155"/>
    </row>
    <row r="548" spans="1:15" ht="214.5">
      <c r="A548" s="399"/>
      <c r="B548" s="50" t="s">
        <v>1138</v>
      </c>
      <c r="C548" s="45" t="s">
        <v>7844</v>
      </c>
      <c r="D548" s="59" t="s">
        <v>7845</v>
      </c>
      <c r="E548" s="78" t="s">
        <v>5909</v>
      </c>
      <c r="F548" s="45" t="s">
        <v>7846</v>
      </c>
      <c r="G548" s="46" t="s">
        <v>1142</v>
      </c>
      <c r="H548" s="47" t="s">
        <v>41</v>
      </c>
      <c r="I548" s="118"/>
      <c r="J548" s="155"/>
      <c r="K548" s="155"/>
      <c r="L548" s="155"/>
      <c r="M548" s="155"/>
      <c r="N548" s="155"/>
      <c r="O548" s="155"/>
    </row>
    <row r="549" spans="1:15" ht="214.5">
      <c r="A549" s="399"/>
      <c r="B549" s="50" t="s">
        <v>1138</v>
      </c>
      <c r="C549" s="45" t="s">
        <v>7847</v>
      </c>
      <c r="D549" s="59" t="s">
        <v>7848</v>
      </c>
      <c r="E549" s="78" t="s">
        <v>5909</v>
      </c>
      <c r="F549" s="45" t="s">
        <v>7849</v>
      </c>
      <c r="G549" s="46" t="s">
        <v>1194</v>
      </c>
      <c r="H549" s="47" t="s">
        <v>41</v>
      </c>
      <c r="I549" s="118"/>
      <c r="J549" s="155"/>
      <c r="K549" s="155"/>
      <c r="L549" s="155"/>
      <c r="M549" s="155"/>
      <c r="N549" s="155"/>
      <c r="O549" s="155"/>
    </row>
    <row r="550" spans="1:15" ht="198">
      <c r="A550" s="399"/>
      <c r="B550" s="50" t="s">
        <v>1138</v>
      </c>
      <c r="C550" s="45" t="s">
        <v>7850</v>
      </c>
      <c r="D550" s="59" t="s">
        <v>1144</v>
      </c>
      <c r="E550" s="78" t="s">
        <v>5909</v>
      </c>
      <c r="F550" s="45" t="s">
        <v>7851</v>
      </c>
      <c r="G550" s="46" t="s">
        <v>1146</v>
      </c>
      <c r="H550" s="47" t="s">
        <v>24</v>
      </c>
      <c r="I550" s="118"/>
      <c r="J550" s="155"/>
      <c r="K550" s="155"/>
      <c r="L550" s="155"/>
      <c r="M550" s="155"/>
      <c r="N550" s="155"/>
      <c r="O550" s="155"/>
    </row>
    <row r="551" spans="1:15" ht="198">
      <c r="A551" s="399"/>
      <c r="B551" s="50" t="s">
        <v>1138</v>
      </c>
      <c r="C551" s="45" t="s">
        <v>7852</v>
      </c>
      <c r="D551" s="59" t="s">
        <v>1148</v>
      </c>
      <c r="E551" s="78" t="s">
        <v>5909</v>
      </c>
      <c r="F551" s="45" t="s">
        <v>7853</v>
      </c>
      <c r="G551" s="46" t="s">
        <v>1150</v>
      </c>
      <c r="H551" s="47" t="s">
        <v>24</v>
      </c>
      <c r="I551" s="118"/>
      <c r="J551" s="155"/>
      <c r="K551" s="155"/>
      <c r="L551" s="155"/>
      <c r="M551" s="155"/>
      <c r="N551" s="155"/>
      <c r="O551" s="155"/>
    </row>
    <row r="552" spans="1:15" ht="198">
      <c r="A552" s="399"/>
      <c r="B552" s="50" t="s">
        <v>1138</v>
      </c>
      <c r="C552" s="45" t="s">
        <v>7854</v>
      </c>
      <c r="D552" s="59" t="s">
        <v>1152</v>
      </c>
      <c r="E552" s="78" t="s">
        <v>5909</v>
      </c>
      <c r="F552" s="45" t="s">
        <v>7855</v>
      </c>
      <c r="G552" s="46" t="s">
        <v>1153</v>
      </c>
      <c r="H552" s="47" t="s">
        <v>41</v>
      </c>
      <c r="I552" s="118"/>
      <c r="J552" s="155"/>
      <c r="K552" s="155"/>
      <c r="L552" s="155"/>
      <c r="M552" s="155"/>
      <c r="N552" s="155"/>
      <c r="O552" s="155"/>
    </row>
    <row r="553" spans="1:15" ht="82.5">
      <c r="A553" s="399"/>
      <c r="B553" s="50" t="s">
        <v>1138</v>
      </c>
      <c r="C553" s="45" t="s">
        <v>7856</v>
      </c>
      <c r="D553" s="59" t="s">
        <v>1155</v>
      </c>
      <c r="E553" s="78" t="s">
        <v>5909</v>
      </c>
      <c r="F553" s="45" t="s">
        <v>7857</v>
      </c>
      <c r="G553" s="46" t="s">
        <v>1157</v>
      </c>
      <c r="H553" s="47" t="s">
        <v>41</v>
      </c>
      <c r="I553" s="118"/>
      <c r="J553" s="155"/>
      <c r="K553" s="155"/>
      <c r="L553" s="155"/>
      <c r="M553" s="155"/>
      <c r="N553" s="155"/>
      <c r="O553" s="155"/>
    </row>
    <row r="554" spans="1:15" ht="231">
      <c r="A554" s="399"/>
      <c r="B554" s="51" t="s">
        <v>1138</v>
      </c>
      <c r="C554" s="45" t="s">
        <v>7858</v>
      </c>
      <c r="D554" s="45" t="s">
        <v>1159</v>
      </c>
      <c r="E554" s="78" t="s">
        <v>7859</v>
      </c>
      <c r="F554" s="45" t="s">
        <v>7860</v>
      </c>
      <c r="G554" s="46" t="s">
        <v>1162</v>
      </c>
      <c r="H554" s="47" t="s">
        <v>184</v>
      </c>
      <c r="I554" s="118"/>
      <c r="J554" s="155"/>
      <c r="K554" s="155"/>
      <c r="L554" s="155"/>
      <c r="M554" s="155"/>
      <c r="N554" s="155"/>
      <c r="O554" s="155"/>
    </row>
    <row r="555" spans="1:15" ht="231">
      <c r="A555" s="399"/>
      <c r="B555" s="51" t="s">
        <v>1138</v>
      </c>
      <c r="C555" s="45" t="s">
        <v>7861</v>
      </c>
      <c r="D555" s="45" t="s">
        <v>1164</v>
      </c>
      <c r="E555" s="78" t="s">
        <v>7862</v>
      </c>
      <c r="F555" s="45" t="s">
        <v>7863</v>
      </c>
      <c r="G555" s="46" t="s">
        <v>7864</v>
      </c>
      <c r="H555" s="47" t="s">
        <v>30</v>
      </c>
      <c r="I555" s="118"/>
      <c r="J555" s="155"/>
      <c r="K555" s="155"/>
      <c r="L555" s="155"/>
      <c r="M555" s="155"/>
      <c r="N555" s="155"/>
      <c r="O555" s="155"/>
    </row>
    <row r="556" spans="1:15" ht="231">
      <c r="A556" s="399"/>
      <c r="B556" s="51" t="s">
        <v>1138</v>
      </c>
      <c r="C556" s="45" t="s">
        <v>7865</v>
      </c>
      <c r="D556" s="45" t="s">
        <v>1164</v>
      </c>
      <c r="E556" s="78" t="s">
        <v>7862</v>
      </c>
      <c r="F556" s="45" t="s">
        <v>7866</v>
      </c>
      <c r="G556" s="46" t="s">
        <v>1167</v>
      </c>
      <c r="H556" s="49" t="s">
        <v>24</v>
      </c>
      <c r="I556" s="118"/>
      <c r="J556" s="155"/>
      <c r="K556" s="155"/>
      <c r="L556" s="155"/>
      <c r="M556" s="155"/>
      <c r="N556" s="155"/>
      <c r="O556" s="155"/>
    </row>
    <row r="557" spans="1:15" ht="231">
      <c r="A557" s="399"/>
      <c r="B557" s="51" t="s">
        <v>1138</v>
      </c>
      <c r="C557" s="45" t="s">
        <v>7867</v>
      </c>
      <c r="D557" s="45" t="s">
        <v>1164</v>
      </c>
      <c r="E557" s="78" t="s">
        <v>7862</v>
      </c>
      <c r="F557" s="45" t="s">
        <v>7868</v>
      </c>
      <c r="G557" s="46" t="s">
        <v>1170</v>
      </c>
      <c r="H557" s="47" t="s">
        <v>24</v>
      </c>
      <c r="I557" s="118"/>
      <c r="J557" s="155"/>
      <c r="K557" s="155"/>
      <c r="L557" s="155"/>
      <c r="M557" s="155"/>
      <c r="N557" s="155"/>
      <c r="O557" s="155"/>
    </row>
    <row r="558" spans="1:15" ht="231">
      <c r="A558" s="399"/>
      <c r="B558" s="50" t="s">
        <v>1138</v>
      </c>
      <c r="C558" s="45" t="s">
        <v>7869</v>
      </c>
      <c r="D558" s="59" t="s">
        <v>1172</v>
      </c>
      <c r="E558" s="78" t="s">
        <v>7870</v>
      </c>
      <c r="F558" s="45" t="s">
        <v>7871</v>
      </c>
      <c r="G558" s="46" t="s">
        <v>1174</v>
      </c>
      <c r="H558" s="47" t="s">
        <v>24</v>
      </c>
      <c r="I558" s="118"/>
      <c r="J558" s="155"/>
      <c r="K558" s="155"/>
      <c r="L558" s="155"/>
      <c r="M558" s="155"/>
      <c r="N558" s="155"/>
      <c r="O558" s="155"/>
    </row>
    <row r="559" spans="1:15" ht="231">
      <c r="A559" s="399"/>
      <c r="B559" s="50" t="s">
        <v>1138</v>
      </c>
      <c r="C559" s="45" t="s">
        <v>7872</v>
      </c>
      <c r="D559" s="59" t="s">
        <v>1172</v>
      </c>
      <c r="E559" s="78" t="s">
        <v>7870</v>
      </c>
      <c r="F559" s="45" t="s">
        <v>7873</v>
      </c>
      <c r="G559" s="46" t="s">
        <v>1178</v>
      </c>
      <c r="H559" s="47" t="s">
        <v>36</v>
      </c>
      <c r="I559" s="118"/>
      <c r="J559" s="155"/>
      <c r="K559" s="155"/>
      <c r="L559" s="155"/>
      <c r="M559" s="155"/>
      <c r="N559" s="155"/>
      <c r="O559" s="155"/>
    </row>
    <row r="560" spans="1:15" ht="231">
      <c r="A560" s="399"/>
      <c r="B560" s="50" t="s">
        <v>1138</v>
      </c>
      <c r="C560" s="45" t="s">
        <v>7874</v>
      </c>
      <c r="D560" s="59" t="s">
        <v>7875</v>
      </c>
      <c r="E560" s="78" t="s">
        <v>7876</v>
      </c>
      <c r="F560" s="45" t="s">
        <v>7877</v>
      </c>
      <c r="G560" s="46" t="s">
        <v>7878</v>
      </c>
      <c r="H560" s="47" t="s">
        <v>24</v>
      </c>
      <c r="I560" s="118"/>
      <c r="J560" s="155"/>
      <c r="K560" s="155"/>
      <c r="L560" s="155"/>
      <c r="M560" s="155"/>
      <c r="N560" s="155"/>
      <c r="O560" s="155"/>
    </row>
    <row r="561" spans="1:15" ht="231">
      <c r="A561" s="399"/>
      <c r="B561" s="50" t="s">
        <v>1138</v>
      </c>
      <c r="C561" s="45" t="s">
        <v>7879</v>
      </c>
      <c r="D561" s="59" t="s">
        <v>1180</v>
      </c>
      <c r="E561" s="78" t="s">
        <v>7880</v>
      </c>
      <c r="F561" s="53" t="s">
        <v>7881</v>
      </c>
      <c r="G561" s="46" t="s">
        <v>1183</v>
      </c>
      <c r="H561" s="47" t="s">
        <v>36</v>
      </c>
      <c r="I561" s="118"/>
      <c r="J561" s="155"/>
      <c r="K561" s="155"/>
      <c r="L561" s="155"/>
      <c r="M561" s="155"/>
      <c r="N561" s="155"/>
      <c r="O561" s="155"/>
    </row>
    <row r="562" spans="1:15" ht="231">
      <c r="A562" s="399"/>
      <c r="B562" s="50" t="s">
        <v>1138</v>
      </c>
      <c r="C562" s="45" t="s">
        <v>7882</v>
      </c>
      <c r="D562" s="59" t="s">
        <v>1185</v>
      </c>
      <c r="E562" s="78" t="s">
        <v>7880</v>
      </c>
      <c r="F562" s="53" t="s">
        <v>7883</v>
      </c>
      <c r="G562" s="46" t="s">
        <v>1187</v>
      </c>
      <c r="H562" s="47" t="s">
        <v>36</v>
      </c>
      <c r="I562" s="118"/>
      <c r="J562" s="155"/>
      <c r="K562" s="155"/>
      <c r="L562" s="155"/>
      <c r="M562" s="155"/>
      <c r="N562" s="155"/>
      <c r="O562" s="155"/>
    </row>
    <row r="563" spans="1:15" ht="198">
      <c r="A563" s="399"/>
      <c r="B563" s="50" t="s">
        <v>1138</v>
      </c>
      <c r="C563" s="45" t="s">
        <v>7884</v>
      </c>
      <c r="D563" s="59" t="s">
        <v>1189</v>
      </c>
      <c r="E563" s="78" t="s">
        <v>5909</v>
      </c>
      <c r="F563" s="45" t="s">
        <v>7885</v>
      </c>
      <c r="G563" s="46" t="s">
        <v>1142</v>
      </c>
      <c r="H563" s="47" t="s">
        <v>41</v>
      </c>
      <c r="I563" s="118"/>
      <c r="J563" s="155"/>
      <c r="K563" s="155"/>
      <c r="L563" s="155"/>
      <c r="M563" s="155"/>
      <c r="N563" s="155"/>
      <c r="O563" s="155"/>
    </row>
    <row r="564" spans="1:15" ht="231">
      <c r="A564" s="399"/>
      <c r="B564" s="50" t="s">
        <v>1138</v>
      </c>
      <c r="C564" s="45" t="s">
        <v>7886</v>
      </c>
      <c r="D564" s="59" t="s">
        <v>7887</v>
      </c>
      <c r="E564" s="78" t="s">
        <v>5909</v>
      </c>
      <c r="F564" s="53" t="s">
        <v>7888</v>
      </c>
      <c r="G564" s="46" t="s">
        <v>1142</v>
      </c>
      <c r="H564" s="47" t="s">
        <v>41</v>
      </c>
      <c r="I564" s="118"/>
      <c r="J564" s="155"/>
      <c r="K564" s="155"/>
      <c r="L564" s="155"/>
      <c r="M564" s="155"/>
      <c r="N564" s="155"/>
      <c r="O564" s="155"/>
    </row>
    <row r="565" spans="1:15" ht="231">
      <c r="A565" s="399"/>
      <c r="B565" s="50" t="s">
        <v>1138</v>
      </c>
      <c r="C565" s="45" t="s">
        <v>7889</v>
      </c>
      <c r="D565" s="59" t="s">
        <v>1192</v>
      </c>
      <c r="E565" s="78" t="s">
        <v>5909</v>
      </c>
      <c r="F565" s="45" t="s">
        <v>7890</v>
      </c>
      <c r="G565" s="46" t="s">
        <v>1194</v>
      </c>
      <c r="H565" s="47" t="s">
        <v>41</v>
      </c>
      <c r="I565" s="118"/>
      <c r="J565" s="155"/>
      <c r="K565" s="155"/>
      <c r="L565" s="155"/>
      <c r="M565" s="155"/>
      <c r="N565" s="155"/>
      <c r="O565" s="155"/>
    </row>
    <row r="566" spans="1:15" ht="198">
      <c r="A566" s="399"/>
      <c r="B566" s="50" t="s">
        <v>1138</v>
      </c>
      <c r="C566" s="45" t="s">
        <v>7891</v>
      </c>
      <c r="D566" s="59" t="s">
        <v>7892</v>
      </c>
      <c r="E566" s="78" t="s">
        <v>5909</v>
      </c>
      <c r="F566" s="45" t="s">
        <v>7893</v>
      </c>
      <c r="G566" s="46" t="s">
        <v>1146</v>
      </c>
      <c r="H566" s="47" t="s">
        <v>41</v>
      </c>
      <c r="I566" s="118"/>
      <c r="J566" s="155"/>
      <c r="K566" s="155"/>
      <c r="L566" s="155"/>
      <c r="M566" s="155"/>
      <c r="N566" s="155"/>
      <c r="O566" s="155"/>
    </row>
    <row r="567" spans="1:15" ht="280.5">
      <c r="A567" s="399"/>
      <c r="B567" s="50" t="s">
        <v>1138</v>
      </c>
      <c r="C567" s="45" t="s">
        <v>7894</v>
      </c>
      <c r="D567" s="109" t="s">
        <v>1196</v>
      </c>
      <c r="E567" s="78" t="s">
        <v>5909</v>
      </c>
      <c r="F567" s="45" t="s">
        <v>7895</v>
      </c>
      <c r="G567" s="46" t="s">
        <v>1198</v>
      </c>
      <c r="H567" s="47" t="s">
        <v>30</v>
      </c>
      <c r="I567" s="118"/>
      <c r="J567" s="155"/>
      <c r="K567" s="155"/>
      <c r="L567" s="155"/>
      <c r="M567" s="155"/>
      <c r="N567" s="155"/>
      <c r="O567" s="155"/>
    </row>
    <row r="568" spans="1:15" ht="297">
      <c r="A568" s="399"/>
      <c r="B568" s="50" t="s">
        <v>1138</v>
      </c>
      <c r="C568" s="45" t="s">
        <v>7896</v>
      </c>
      <c r="D568" s="71" t="s">
        <v>1200</v>
      </c>
      <c r="E568" s="78" t="s">
        <v>5909</v>
      </c>
      <c r="F568" s="45" t="s">
        <v>7897</v>
      </c>
      <c r="G568" s="46" t="s">
        <v>1202</v>
      </c>
      <c r="H568" s="47" t="s">
        <v>30</v>
      </c>
      <c r="I568" s="118"/>
      <c r="J568" s="155"/>
      <c r="K568" s="155"/>
      <c r="L568" s="155"/>
      <c r="M568" s="155"/>
      <c r="N568" s="155"/>
      <c r="O568" s="155"/>
    </row>
    <row r="569" spans="1:15" ht="247.5">
      <c r="A569" s="399"/>
      <c r="B569" s="50" t="s">
        <v>1138</v>
      </c>
      <c r="C569" s="45" t="s">
        <v>7898</v>
      </c>
      <c r="D569" s="59" t="s">
        <v>7899</v>
      </c>
      <c r="E569" s="78" t="s">
        <v>5909</v>
      </c>
      <c r="F569" s="53" t="s">
        <v>7900</v>
      </c>
      <c r="G569" s="46" t="s">
        <v>7901</v>
      </c>
      <c r="H569" s="47" t="s">
        <v>24</v>
      </c>
      <c r="I569" s="118"/>
      <c r="J569" s="155"/>
      <c r="K569" s="155"/>
      <c r="L569" s="155"/>
      <c r="M569" s="155"/>
      <c r="N569" s="155"/>
      <c r="O569" s="155"/>
    </row>
    <row r="570" spans="1:15" ht="214.5">
      <c r="A570" s="399"/>
      <c r="B570" s="50" t="s">
        <v>1138</v>
      </c>
      <c r="C570" s="45" t="s">
        <v>7902</v>
      </c>
      <c r="D570" s="59" t="s">
        <v>1204</v>
      </c>
      <c r="E570" s="78" t="s">
        <v>5909</v>
      </c>
      <c r="F570" s="53" t="s">
        <v>7903</v>
      </c>
      <c r="G570" s="46" t="s">
        <v>1206</v>
      </c>
      <c r="H570" s="47" t="s">
        <v>24</v>
      </c>
      <c r="I570" s="118"/>
      <c r="J570" s="155"/>
      <c r="K570" s="155"/>
      <c r="L570" s="155"/>
      <c r="M570" s="155"/>
      <c r="N570" s="155"/>
      <c r="O570" s="155"/>
    </row>
    <row r="571" spans="1:15" ht="297">
      <c r="A571" s="399"/>
      <c r="B571" s="50" t="s">
        <v>1138</v>
      </c>
      <c r="C571" s="45" t="s">
        <v>7904</v>
      </c>
      <c r="D571" s="59" t="s">
        <v>7905</v>
      </c>
      <c r="E571" s="78" t="s">
        <v>5909</v>
      </c>
      <c r="F571" s="45" t="s">
        <v>7906</v>
      </c>
      <c r="G571" s="46" t="s">
        <v>7907</v>
      </c>
      <c r="H571" s="47" t="s">
        <v>24</v>
      </c>
      <c r="I571" s="118"/>
      <c r="J571" s="155"/>
      <c r="K571" s="155"/>
      <c r="L571" s="155"/>
      <c r="M571" s="155"/>
      <c r="N571" s="155"/>
      <c r="O571" s="155"/>
    </row>
    <row r="572" spans="1:15" ht="297">
      <c r="A572" s="399"/>
      <c r="B572" s="50" t="s">
        <v>1138</v>
      </c>
      <c r="C572" s="45" t="s">
        <v>7908</v>
      </c>
      <c r="D572" s="59" t="s">
        <v>1208</v>
      </c>
      <c r="E572" s="78" t="s">
        <v>5909</v>
      </c>
      <c r="F572" s="45" t="s">
        <v>7909</v>
      </c>
      <c r="G572" s="46" t="s">
        <v>1210</v>
      </c>
      <c r="H572" s="47" t="s">
        <v>24</v>
      </c>
      <c r="I572" s="118"/>
      <c r="J572" s="155"/>
      <c r="K572" s="155"/>
      <c r="L572" s="155"/>
      <c r="M572" s="155"/>
      <c r="N572" s="155"/>
      <c r="O572" s="155"/>
    </row>
    <row r="573" spans="1:15" ht="330">
      <c r="A573" s="399"/>
      <c r="B573" s="50" t="s">
        <v>1138</v>
      </c>
      <c r="C573" s="45" t="s">
        <v>7910</v>
      </c>
      <c r="D573" s="59" t="s">
        <v>1212</v>
      </c>
      <c r="E573" s="78" t="s">
        <v>5909</v>
      </c>
      <c r="F573" s="45" t="s">
        <v>7911</v>
      </c>
      <c r="G573" s="111" t="s">
        <v>1214</v>
      </c>
      <c r="H573" s="47" t="s">
        <v>24</v>
      </c>
      <c r="I573" s="118"/>
      <c r="J573" s="155"/>
      <c r="K573" s="155"/>
      <c r="L573" s="155"/>
      <c r="M573" s="155"/>
      <c r="N573" s="155"/>
      <c r="O573" s="155"/>
    </row>
    <row r="574" spans="1:15" ht="313.5">
      <c r="A574" s="399"/>
      <c r="B574" s="50" t="s">
        <v>1138</v>
      </c>
      <c r="C574" s="45" t="s">
        <v>7912</v>
      </c>
      <c r="D574" s="59" t="s">
        <v>1216</v>
      </c>
      <c r="E574" s="78" t="s">
        <v>5909</v>
      </c>
      <c r="F574" s="45" t="s">
        <v>7913</v>
      </c>
      <c r="G574" s="46" t="s">
        <v>1218</v>
      </c>
      <c r="H574" s="47" t="s">
        <v>36</v>
      </c>
      <c r="I574" s="118"/>
      <c r="J574" s="155"/>
      <c r="K574" s="155"/>
      <c r="L574" s="155"/>
      <c r="M574" s="155"/>
      <c r="N574" s="155"/>
      <c r="O574" s="155"/>
    </row>
    <row r="575" spans="1:15" ht="313.5">
      <c r="A575" s="399"/>
      <c r="B575" s="50" t="s">
        <v>1138</v>
      </c>
      <c r="C575" s="45" t="s">
        <v>7914</v>
      </c>
      <c r="D575" s="59" t="s">
        <v>7915</v>
      </c>
      <c r="E575" s="78" t="s">
        <v>5909</v>
      </c>
      <c r="F575" s="45" t="s">
        <v>7916</v>
      </c>
      <c r="G575" s="46" t="s">
        <v>1222</v>
      </c>
      <c r="H575" s="47" t="s">
        <v>36</v>
      </c>
      <c r="I575" s="118"/>
      <c r="J575" s="155"/>
      <c r="K575" s="155"/>
      <c r="L575" s="155"/>
      <c r="M575" s="155"/>
      <c r="N575" s="155"/>
      <c r="O575" s="155"/>
    </row>
    <row r="576" spans="1:15" ht="297">
      <c r="A576" s="399"/>
      <c r="B576" s="50" t="s">
        <v>1138</v>
      </c>
      <c r="C576" s="45" t="s">
        <v>7917</v>
      </c>
      <c r="D576" s="59" t="s">
        <v>1224</v>
      </c>
      <c r="E576" s="78" t="s">
        <v>5909</v>
      </c>
      <c r="F576" s="45" t="s">
        <v>7918</v>
      </c>
      <c r="G576" s="46" t="s">
        <v>7919</v>
      </c>
      <c r="H576" s="47" t="s">
        <v>36</v>
      </c>
      <c r="I576" s="118"/>
      <c r="J576" s="155"/>
      <c r="K576" s="155"/>
      <c r="L576" s="155"/>
      <c r="M576" s="155"/>
      <c r="N576" s="155"/>
      <c r="O576" s="155"/>
    </row>
    <row r="577" spans="1:15" ht="198">
      <c r="A577" s="402"/>
      <c r="B577" s="59" t="s">
        <v>1227</v>
      </c>
      <c r="C577" s="59" t="s">
        <v>7920</v>
      </c>
      <c r="D577" s="59" t="s">
        <v>7921</v>
      </c>
      <c r="E577" s="82" t="s">
        <v>5909</v>
      </c>
      <c r="F577" s="59" t="s">
        <v>7922</v>
      </c>
      <c r="G577" s="89" t="s">
        <v>1235</v>
      </c>
      <c r="H577" s="61" t="s">
        <v>41</v>
      </c>
      <c r="I577" s="128"/>
      <c r="J577" s="155"/>
      <c r="K577" s="155"/>
      <c r="L577" s="155"/>
      <c r="M577" s="155"/>
      <c r="N577" s="155"/>
      <c r="O577" s="155"/>
    </row>
    <row r="578" spans="1:15" ht="297">
      <c r="A578" s="399"/>
      <c r="B578" s="44" t="s">
        <v>1227</v>
      </c>
      <c r="C578" s="45" t="s">
        <v>7923</v>
      </c>
      <c r="D578" s="59" t="s">
        <v>1229</v>
      </c>
      <c r="E578" s="78" t="s">
        <v>5909</v>
      </c>
      <c r="F578" s="45" t="s">
        <v>7924</v>
      </c>
      <c r="G578" s="46" t="s">
        <v>1231</v>
      </c>
      <c r="H578" s="47" t="s">
        <v>24</v>
      </c>
      <c r="I578" s="118"/>
      <c r="J578" s="155"/>
      <c r="K578" s="155"/>
      <c r="L578" s="155"/>
      <c r="M578" s="155"/>
      <c r="N578" s="155"/>
      <c r="O578" s="155"/>
    </row>
    <row r="579" spans="1:15" ht="346.5">
      <c r="A579" s="399"/>
      <c r="B579" s="44" t="s">
        <v>1227</v>
      </c>
      <c r="C579" s="45" t="s">
        <v>7925</v>
      </c>
      <c r="D579" s="59" t="s">
        <v>1233</v>
      </c>
      <c r="E579" s="78" t="s">
        <v>5909</v>
      </c>
      <c r="F579" s="45" t="s">
        <v>7926</v>
      </c>
      <c r="G579" s="46" t="s">
        <v>1235</v>
      </c>
      <c r="H579" s="47" t="s">
        <v>24</v>
      </c>
      <c r="I579" s="118"/>
      <c r="J579" s="155"/>
      <c r="K579" s="155"/>
      <c r="L579" s="155"/>
      <c r="M579" s="155"/>
      <c r="N579" s="155"/>
      <c r="O579" s="155"/>
    </row>
    <row r="580" spans="1:15" ht="214.5">
      <c r="A580" s="399"/>
      <c r="B580" s="44" t="s">
        <v>1227</v>
      </c>
      <c r="C580" s="45" t="s">
        <v>7927</v>
      </c>
      <c r="D580" s="59" t="s">
        <v>1237</v>
      </c>
      <c r="E580" s="78" t="s">
        <v>5909</v>
      </c>
      <c r="F580" s="45" t="s">
        <v>7928</v>
      </c>
      <c r="G580" s="46" t="s">
        <v>1238</v>
      </c>
      <c r="H580" s="47" t="s">
        <v>24</v>
      </c>
      <c r="I580" s="118"/>
      <c r="J580" s="155"/>
      <c r="K580" s="155"/>
      <c r="L580" s="155"/>
      <c r="M580" s="155"/>
      <c r="N580" s="155"/>
      <c r="O580" s="155"/>
    </row>
    <row r="581" spans="1:15" ht="297">
      <c r="A581" s="399"/>
      <c r="B581" s="44" t="s">
        <v>1227</v>
      </c>
      <c r="C581" s="45" t="s">
        <v>7929</v>
      </c>
      <c r="D581" s="59" t="s">
        <v>1240</v>
      </c>
      <c r="E581" s="78" t="s">
        <v>5909</v>
      </c>
      <c r="F581" s="53" t="s">
        <v>7930</v>
      </c>
      <c r="G581" s="46" t="s">
        <v>1235</v>
      </c>
      <c r="H581" s="47" t="s">
        <v>36</v>
      </c>
      <c r="I581" s="118"/>
      <c r="J581" s="155"/>
      <c r="K581" s="155"/>
      <c r="L581" s="155"/>
      <c r="M581" s="155"/>
      <c r="N581" s="155"/>
      <c r="O581" s="155"/>
    </row>
    <row r="582" spans="1:15" ht="82.5">
      <c r="A582" s="399"/>
      <c r="B582" s="44" t="s">
        <v>1227</v>
      </c>
      <c r="C582" s="45" t="s">
        <v>7931</v>
      </c>
      <c r="D582" s="59" t="s">
        <v>7932</v>
      </c>
      <c r="E582" s="78" t="s">
        <v>7933</v>
      </c>
      <c r="F582" s="45" t="s">
        <v>7934</v>
      </c>
      <c r="G582" s="46" t="s">
        <v>7935</v>
      </c>
      <c r="H582" s="47" t="s">
        <v>41</v>
      </c>
      <c r="I582" s="118"/>
      <c r="J582" s="155"/>
      <c r="K582" s="155"/>
      <c r="L582" s="155"/>
      <c r="M582" s="155"/>
      <c r="N582" s="155"/>
      <c r="O582" s="155"/>
    </row>
    <row r="583" spans="1:15" ht="99">
      <c r="A583" s="399"/>
      <c r="B583" s="44" t="s">
        <v>1227</v>
      </c>
      <c r="C583" s="45" t="s">
        <v>7936</v>
      </c>
      <c r="D583" s="59" t="s">
        <v>7937</v>
      </c>
      <c r="E583" s="78" t="s">
        <v>7938</v>
      </c>
      <c r="F583" s="45" t="s">
        <v>7939</v>
      </c>
      <c r="G583" s="46" t="s">
        <v>7940</v>
      </c>
      <c r="H583" s="47" t="s">
        <v>24</v>
      </c>
      <c r="I583" s="118"/>
      <c r="J583" s="155"/>
      <c r="K583" s="155"/>
      <c r="L583" s="155"/>
      <c r="M583" s="155"/>
      <c r="N583" s="155"/>
      <c r="O583" s="155"/>
    </row>
    <row r="584" spans="1:15" ht="99">
      <c r="A584" s="399"/>
      <c r="B584" s="44" t="s">
        <v>1227</v>
      </c>
      <c r="C584" s="45" t="s">
        <v>7941</v>
      </c>
      <c r="D584" s="59" t="s">
        <v>7942</v>
      </c>
      <c r="E584" s="78" t="s">
        <v>7943</v>
      </c>
      <c r="F584" s="45" t="s">
        <v>7944</v>
      </c>
      <c r="G584" s="46" t="s">
        <v>7945</v>
      </c>
      <c r="H584" s="47" t="s">
        <v>41</v>
      </c>
      <c r="I584" s="118"/>
      <c r="J584" s="155"/>
      <c r="K584" s="155"/>
      <c r="L584" s="155"/>
      <c r="M584" s="155"/>
      <c r="N584" s="155"/>
      <c r="O584" s="155"/>
    </row>
    <row r="585" spans="1:15" ht="99">
      <c r="A585" s="399"/>
      <c r="B585" s="44" t="s">
        <v>1227</v>
      </c>
      <c r="C585" s="45" t="s">
        <v>7946</v>
      </c>
      <c r="D585" s="59" t="s">
        <v>7947</v>
      </c>
      <c r="E585" s="78" t="s">
        <v>1248</v>
      </c>
      <c r="F585" s="45" t="s">
        <v>7948</v>
      </c>
      <c r="G585" s="46" t="s">
        <v>1250</v>
      </c>
      <c r="H585" s="47" t="s">
        <v>24</v>
      </c>
      <c r="I585" s="118"/>
      <c r="J585" s="155"/>
      <c r="K585" s="155"/>
      <c r="L585" s="155"/>
      <c r="M585" s="155"/>
      <c r="N585" s="155"/>
      <c r="O585" s="155"/>
    </row>
    <row r="586" spans="1:15" ht="148.5">
      <c r="A586" s="399"/>
      <c r="B586" s="44" t="s">
        <v>1227</v>
      </c>
      <c r="C586" s="45" t="s">
        <v>7949</v>
      </c>
      <c r="D586" s="59" t="s">
        <v>7950</v>
      </c>
      <c r="E586" s="78" t="s">
        <v>5909</v>
      </c>
      <c r="F586" s="53" t="s">
        <v>7951</v>
      </c>
      <c r="G586" s="46" t="s">
        <v>7952</v>
      </c>
      <c r="H586" s="47" t="s">
        <v>24</v>
      </c>
      <c r="I586" s="118"/>
      <c r="J586" s="155"/>
      <c r="K586" s="155"/>
      <c r="L586" s="155"/>
      <c r="M586" s="155"/>
      <c r="N586" s="155"/>
      <c r="O586" s="155"/>
    </row>
    <row r="587" spans="1:15" ht="247.5">
      <c r="A587" s="399"/>
      <c r="B587" s="44" t="s">
        <v>1227</v>
      </c>
      <c r="C587" s="45" t="s">
        <v>7953</v>
      </c>
      <c r="D587" s="59" t="s">
        <v>1252</v>
      </c>
      <c r="E587" s="78" t="s">
        <v>5909</v>
      </c>
      <c r="F587" s="45" t="s">
        <v>7954</v>
      </c>
      <c r="G587" s="46" t="s">
        <v>1254</v>
      </c>
      <c r="H587" s="47" t="s">
        <v>24</v>
      </c>
      <c r="I587" s="118"/>
      <c r="J587" s="155"/>
      <c r="K587" s="155"/>
      <c r="L587" s="155"/>
      <c r="M587" s="155"/>
      <c r="N587" s="155"/>
      <c r="O587" s="155"/>
    </row>
    <row r="588" spans="1:15" ht="231">
      <c r="A588" s="399"/>
      <c r="B588" s="44" t="s">
        <v>1227</v>
      </c>
      <c r="C588" s="45" t="s">
        <v>7955</v>
      </c>
      <c r="D588" s="59" t="s">
        <v>7956</v>
      </c>
      <c r="E588" s="78" t="s">
        <v>5909</v>
      </c>
      <c r="F588" s="45" t="s">
        <v>7957</v>
      </c>
      <c r="G588" s="46" t="s">
        <v>7958</v>
      </c>
      <c r="H588" s="47" t="s">
        <v>24</v>
      </c>
      <c r="I588" s="118"/>
      <c r="J588" s="155"/>
      <c r="K588" s="155"/>
      <c r="L588" s="155"/>
      <c r="M588" s="155"/>
      <c r="N588" s="155"/>
      <c r="O588" s="155"/>
    </row>
    <row r="589" spans="1:15" ht="231">
      <c r="A589" s="399"/>
      <c r="B589" s="44" t="s">
        <v>1227</v>
      </c>
      <c r="C589" s="45" t="s">
        <v>7959</v>
      </c>
      <c r="D589" s="59" t="s">
        <v>1256</v>
      </c>
      <c r="E589" s="78" t="s">
        <v>5909</v>
      </c>
      <c r="F589" s="45" t="s">
        <v>7960</v>
      </c>
      <c r="G589" s="46" t="s">
        <v>7961</v>
      </c>
      <c r="H589" s="47" t="s">
        <v>36</v>
      </c>
      <c r="I589" s="118"/>
      <c r="J589" s="155"/>
      <c r="K589" s="155"/>
      <c r="L589" s="155"/>
      <c r="M589" s="155"/>
      <c r="N589" s="155"/>
      <c r="O589" s="155"/>
    </row>
    <row r="590" spans="1:15" ht="82.5">
      <c r="A590" s="399"/>
      <c r="B590" s="44" t="s">
        <v>1227</v>
      </c>
      <c r="C590" s="45" t="s">
        <v>7962</v>
      </c>
      <c r="D590" s="59" t="s">
        <v>7963</v>
      </c>
      <c r="E590" s="78" t="s">
        <v>7964</v>
      </c>
      <c r="F590" s="45" t="s">
        <v>7965</v>
      </c>
      <c r="G590" s="46" t="s">
        <v>7966</v>
      </c>
      <c r="H590" s="47" t="s">
        <v>24</v>
      </c>
      <c r="I590" s="118"/>
      <c r="J590" s="155"/>
      <c r="K590" s="155"/>
      <c r="L590" s="155"/>
      <c r="M590" s="155"/>
      <c r="N590" s="155"/>
      <c r="O590" s="155"/>
    </row>
    <row r="591" spans="1:15" ht="99">
      <c r="A591" s="399"/>
      <c r="B591" s="44" t="s">
        <v>1227</v>
      </c>
      <c r="C591" s="45" t="s">
        <v>7967</v>
      </c>
      <c r="D591" s="59" t="s">
        <v>7968</v>
      </c>
      <c r="E591" s="78" t="s">
        <v>7969</v>
      </c>
      <c r="F591" s="45" t="s">
        <v>7970</v>
      </c>
      <c r="G591" s="46" t="s">
        <v>7971</v>
      </c>
      <c r="H591" s="47" t="s">
        <v>24</v>
      </c>
      <c r="I591" s="118"/>
      <c r="J591" s="155"/>
      <c r="K591" s="155"/>
      <c r="L591" s="155"/>
      <c r="M591" s="155"/>
      <c r="N591" s="155"/>
      <c r="O591" s="155"/>
    </row>
    <row r="592" spans="1:15" ht="115.5">
      <c r="A592" s="399"/>
      <c r="B592" s="44" t="s">
        <v>1227</v>
      </c>
      <c r="C592" s="45" t="s">
        <v>7972</v>
      </c>
      <c r="D592" s="59" t="s">
        <v>1265</v>
      </c>
      <c r="E592" s="78" t="s">
        <v>5909</v>
      </c>
      <c r="F592" s="45" t="s">
        <v>7973</v>
      </c>
      <c r="G592" s="46" t="s">
        <v>1267</v>
      </c>
      <c r="H592" s="47" t="s">
        <v>24</v>
      </c>
      <c r="I592" s="118"/>
      <c r="J592" s="155"/>
      <c r="K592" s="155"/>
      <c r="L592" s="155"/>
      <c r="M592" s="155"/>
      <c r="N592" s="155"/>
      <c r="O592" s="155"/>
    </row>
    <row r="593" spans="1:15" ht="115.5">
      <c r="A593" s="399"/>
      <c r="B593" s="44" t="s">
        <v>1227</v>
      </c>
      <c r="C593" s="45" t="s">
        <v>7974</v>
      </c>
      <c r="D593" s="45" t="s">
        <v>1269</v>
      </c>
      <c r="E593" s="78" t="s">
        <v>5909</v>
      </c>
      <c r="F593" s="45" t="s">
        <v>7975</v>
      </c>
      <c r="G593" s="46" t="s">
        <v>1271</v>
      </c>
      <c r="H593" s="49" t="s">
        <v>41</v>
      </c>
      <c r="I593" s="114"/>
      <c r="J593" s="155"/>
      <c r="K593" s="155"/>
      <c r="L593" s="155"/>
      <c r="M593" s="155"/>
      <c r="N593" s="155"/>
      <c r="O593" s="155"/>
    </row>
    <row r="594" spans="1:15" ht="115.5">
      <c r="A594" s="399"/>
      <c r="B594" s="44" t="s">
        <v>1227</v>
      </c>
      <c r="C594" s="45" t="s">
        <v>7976</v>
      </c>
      <c r="D594" s="45" t="s">
        <v>1273</v>
      </c>
      <c r="E594" s="78" t="s">
        <v>5909</v>
      </c>
      <c r="F594" s="45" t="s">
        <v>7977</v>
      </c>
      <c r="G594" s="46" t="s">
        <v>1275</v>
      </c>
      <c r="H594" s="49" t="s">
        <v>41</v>
      </c>
      <c r="I594" s="114"/>
      <c r="J594" s="155"/>
      <c r="K594" s="155"/>
      <c r="L594" s="155"/>
      <c r="M594" s="155"/>
      <c r="N594" s="155"/>
      <c r="O594" s="155"/>
    </row>
    <row r="595" spans="1:15" ht="181.5">
      <c r="A595" s="399"/>
      <c r="B595" s="44" t="s">
        <v>1227</v>
      </c>
      <c r="C595" s="45" t="s">
        <v>7978</v>
      </c>
      <c r="D595" s="59" t="s">
        <v>7979</v>
      </c>
      <c r="E595" s="78" t="s">
        <v>7980</v>
      </c>
      <c r="F595" s="45" t="s">
        <v>7981</v>
      </c>
      <c r="G595" s="46" t="s">
        <v>7982</v>
      </c>
      <c r="H595" s="47" t="s">
        <v>36</v>
      </c>
      <c r="I595" s="118"/>
      <c r="J595" s="155"/>
      <c r="K595" s="155"/>
      <c r="L595" s="155"/>
      <c r="M595" s="155"/>
      <c r="N595" s="155"/>
      <c r="O595" s="155"/>
    </row>
    <row r="596" spans="1:15" ht="148.5">
      <c r="A596" s="399"/>
      <c r="B596" s="56" t="s">
        <v>1227</v>
      </c>
      <c r="C596" s="53" t="s">
        <v>7983</v>
      </c>
      <c r="D596" s="53" t="s">
        <v>1277</v>
      </c>
      <c r="E596" s="73" t="s">
        <v>7984</v>
      </c>
      <c r="F596" s="53" t="s">
        <v>7985</v>
      </c>
      <c r="G596" s="60" t="s">
        <v>1280</v>
      </c>
      <c r="H596" s="49" t="s">
        <v>41</v>
      </c>
      <c r="I596" s="114"/>
      <c r="J596" s="155"/>
      <c r="K596" s="155"/>
      <c r="L596" s="155"/>
      <c r="M596" s="155"/>
      <c r="N596" s="155"/>
      <c r="O596" s="155"/>
    </row>
    <row r="597" spans="1:15" ht="330">
      <c r="A597" s="399"/>
      <c r="B597" s="44" t="s">
        <v>1227</v>
      </c>
      <c r="C597" s="45" t="s">
        <v>7986</v>
      </c>
      <c r="D597" s="59" t="s">
        <v>1282</v>
      </c>
      <c r="E597" s="78" t="s">
        <v>7987</v>
      </c>
      <c r="F597" s="45" t="s">
        <v>7988</v>
      </c>
      <c r="G597" s="46" t="s">
        <v>1284</v>
      </c>
      <c r="H597" s="47" t="s">
        <v>41</v>
      </c>
      <c r="I597" s="118"/>
      <c r="J597" s="155"/>
      <c r="K597" s="155"/>
      <c r="L597" s="155"/>
      <c r="M597" s="155"/>
      <c r="N597" s="155"/>
      <c r="O597" s="155"/>
    </row>
    <row r="598" spans="1:15" ht="409.5">
      <c r="A598" s="399"/>
      <c r="B598" s="44" t="s">
        <v>1227</v>
      </c>
      <c r="C598" s="45" t="s">
        <v>7989</v>
      </c>
      <c r="D598" s="59" t="s">
        <v>7990</v>
      </c>
      <c r="E598" s="78" t="s">
        <v>7987</v>
      </c>
      <c r="F598" s="45" t="s">
        <v>7991</v>
      </c>
      <c r="G598" s="46" t="s">
        <v>7992</v>
      </c>
      <c r="H598" s="47" t="s">
        <v>30</v>
      </c>
      <c r="I598" s="118"/>
      <c r="J598" s="155"/>
      <c r="K598" s="155"/>
      <c r="L598" s="155"/>
      <c r="M598" s="155"/>
      <c r="N598" s="155"/>
      <c r="O598" s="155"/>
    </row>
    <row r="599" spans="1:15" ht="330">
      <c r="A599" s="399"/>
      <c r="B599" s="44" t="s">
        <v>1227</v>
      </c>
      <c r="C599" s="45" t="s">
        <v>7993</v>
      </c>
      <c r="D599" s="59" t="s">
        <v>7994</v>
      </c>
      <c r="E599" s="78" t="s">
        <v>7987</v>
      </c>
      <c r="F599" s="45" t="s">
        <v>7995</v>
      </c>
      <c r="G599" s="46" t="s">
        <v>7996</v>
      </c>
      <c r="H599" s="47" t="s">
        <v>41</v>
      </c>
      <c r="I599" s="118"/>
      <c r="J599" s="155"/>
      <c r="K599" s="155"/>
      <c r="L599" s="155"/>
      <c r="M599" s="155"/>
      <c r="N599" s="155"/>
      <c r="O599" s="155"/>
    </row>
    <row r="600" spans="1:15" ht="409.5">
      <c r="A600" s="399"/>
      <c r="B600" s="44" t="s">
        <v>1227</v>
      </c>
      <c r="C600" s="45" t="s">
        <v>7997</v>
      </c>
      <c r="D600" s="59" t="s">
        <v>1286</v>
      </c>
      <c r="E600" s="78" t="s">
        <v>7987</v>
      </c>
      <c r="F600" s="45" t="s">
        <v>7998</v>
      </c>
      <c r="G600" s="46" t="s">
        <v>1288</v>
      </c>
      <c r="H600" s="47" t="s">
        <v>24</v>
      </c>
      <c r="I600" s="118"/>
      <c r="J600" s="155"/>
      <c r="K600" s="155"/>
      <c r="L600" s="155"/>
      <c r="M600" s="155"/>
      <c r="N600" s="155"/>
      <c r="O600" s="155"/>
    </row>
    <row r="601" spans="1:15" ht="409.5">
      <c r="A601" s="399"/>
      <c r="B601" s="44" t="s">
        <v>1227</v>
      </c>
      <c r="C601" s="45" t="s">
        <v>7999</v>
      </c>
      <c r="D601" s="59" t="s">
        <v>1290</v>
      </c>
      <c r="E601" s="78" t="s">
        <v>7987</v>
      </c>
      <c r="F601" s="45" t="s">
        <v>8000</v>
      </c>
      <c r="G601" s="46" t="s">
        <v>1288</v>
      </c>
      <c r="H601" s="47" t="s">
        <v>24</v>
      </c>
      <c r="I601" s="118"/>
      <c r="J601" s="155"/>
      <c r="K601" s="155"/>
      <c r="L601" s="155"/>
      <c r="M601" s="155"/>
      <c r="N601" s="155"/>
      <c r="O601" s="155"/>
    </row>
    <row r="602" spans="1:15" ht="409.5">
      <c r="A602" s="399"/>
      <c r="B602" s="44" t="s">
        <v>1227</v>
      </c>
      <c r="C602" s="45" t="s">
        <v>8001</v>
      </c>
      <c r="D602" s="59" t="s">
        <v>8002</v>
      </c>
      <c r="E602" s="78" t="s">
        <v>8003</v>
      </c>
      <c r="F602" s="45" t="s">
        <v>8004</v>
      </c>
      <c r="G602" s="46" t="s">
        <v>8005</v>
      </c>
      <c r="H602" s="47" t="s">
        <v>62</v>
      </c>
      <c r="I602" s="118"/>
      <c r="J602" s="155"/>
      <c r="K602" s="155"/>
      <c r="L602" s="155"/>
      <c r="M602" s="155"/>
      <c r="N602" s="155"/>
      <c r="O602" s="155"/>
    </row>
    <row r="603" spans="1:15" ht="409.5">
      <c r="A603" s="402"/>
      <c r="B603" s="53" t="s">
        <v>1227</v>
      </c>
      <c r="C603" s="45" t="s">
        <v>8006</v>
      </c>
      <c r="D603" s="45" t="s">
        <v>1293</v>
      </c>
      <c r="E603" s="78" t="s">
        <v>8007</v>
      </c>
      <c r="F603" s="45" t="s">
        <v>8008</v>
      </c>
      <c r="G603" s="46" t="s">
        <v>1296</v>
      </c>
      <c r="H603" s="61" t="s">
        <v>36</v>
      </c>
      <c r="I603" s="128"/>
      <c r="J603" s="155"/>
      <c r="K603" s="155"/>
      <c r="L603" s="155"/>
      <c r="M603" s="155"/>
      <c r="N603" s="155"/>
      <c r="O603" s="155"/>
    </row>
    <row r="604" spans="1:15" ht="231">
      <c r="A604" s="399"/>
      <c r="B604" s="50" t="s">
        <v>1297</v>
      </c>
      <c r="C604" s="45" t="s">
        <v>8009</v>
      </c>
      <c r="D604" s="59" t="s">
        <v>1299</v>
      </c>
      <c r="E604" s="78" t="s">
        <v>5909</v>
      </c>
      <c r="F604" s="45" t="s">
        <v>8010</v>
      </c>
      <c r="G604" s="46" t="s">
        <v>1301</v>
      </c>
      <c r="H604" s="47" t="s">
        <v>24</v>
      </c>
      <c r="I604" s="118"/>
      <c r="J604" s="155"/>
      <c r="K604" s="155"/>
      <c r="L604" s="155"/>
      <c r="M604" s="155"/>
      <c r="N604" s="155"/>
      <c r="O604" s="155"/>
    </row>
    <row r="605" spans="1:15" ht="280.5">
      <c r="A605" s="399"/>
      <c r="B605" s="50" t="s">
        <v>1297</v>
      </c>
      <c r="C605" s="45" t="s">
        <v>8011</v>
      </c>
      <c r="D605" s="59" t="s">
        <v>8012</v>
      </c>
      <c r="E605" s="78" t="s">
        <v>5909</v>
      </c>
      <c r="F605" s="45" t="s">
        <v>8013</v>
      </c>
      <c r="G605" s="46" t="s">
        <v>1301</v>
      </c>
      <c r="H605" s="47" t="s">
        <v>24</v>
      </c>
      <c r="I605" s="118"/>
      <c r="J605" s="155"/>
      <c r="K605" s="155"/>
      <c r="L605" s="155"/>
      <c r="M605" s="155"/>
      <c r="N605" s="155"/>
      <c r="O605" s="155"/>
    </row>
    <row r="606" spans="1:15" ht="231">
      <c r="A606" s="399"/>
      <c r="B606" s="50" t="s">
        <v>1297</v>
      </c>
      <c r="C606" s="45" t="s">
        <v>8014</v>
      </c>
      <c r="D606" s="59" t="s">
        <v>8015</v>
      </c>
      <c r="E606" s="78" t="s">
        <v>8016</v>
      </c>
      <c r="F606" s="45" t="s">
        <v>8017</v>
      </c>
      <c r="G606" s="46" t="s">
        <v>1305</v>
      </c>
      <c r="H606" s="47" t="s">
        <v>24</v>
      </c>
      <c r="I606" s="118"/>
      <c r="J606" s="155"/>
      <c r="K606" s="155"/>
      <c r="L606" s="155"/>
      <c r="M606" s="155"/>
      <c r="N606" s="155"/>
      <c r="O606" s="155"/>
    </row>
    <row r="607" spans="1:15" ht="280.5">
      <c r="A607" s="399"/>
      <c r="B607" s="50" t="s">
        <v>1297</v>
      </c>
      <c r="C607" s="45" t="s">
        <v>8018</v>
      </c>
      <c r="D607" s="59" t="s">
        <v>1303</v>
      </c>
      <c r="E607" s="78" t="s">
        <v>5909</v>
      </c>
      <c r="F607" s="45" t="s">
        <v>8019</v>
      </c>
      <c r="G607" s="46" t="s">
        <v>1305</v>
      </c>
      <c r="H607" s="47" t="s">
        <v>41</v>
      </c>
      <c r="I607" s="118"/>
      <c r="J607" s="155"/>
      <c r="K607" s="155"/>
      <c r="L607" s="155"/>
      <c r="M607" s="155"/>
      <c r="N607" s="155"/>
      <c r="O607" s="155"/>
    </row>
    <row r="608" spans="1:15" ht="280.5">
      <c r="A608" s="399"/>
      <c r="B608" s="50" t="s">
        <v>1297</v>
      </c>
      <c r="C608" s="45" t="s">
        <v>8020</v>
      </c>
      <c r="D608" s="59" t="s">
        <v>1307</v>
      </c>
      <c r="E608" s="78" t="s">
        <v>5909</v>
      </c>
      <c r="F608" s="45" t="s">
        <v>8021</v>
      </c>
      <c r="G608" s="46" t="s">
        <v>1305</v>
      </c>
      <c r="H608" s="47" t="s">
        <v>24</v>
      </c>
      <c r="I608" s="118"/>
      <c r="J608" s="155"/>
      <c r="K608" s="155"/>
      <c r="L608" s="155"/>
      <c r="M608" s="155"/>
      <c r="N608" s="155"/>
      <c r="O608" s="155"/>
    </row>
    <row r="609" spans="1:15" ht="363">
      <c r="A609" s="399"/>
      <c r="B609" s="50" t="s">
        <v>1297</v>
      </c>
      <c r="C609" s="45" t="s">
        <v>8022</v>
      </c>
      <c r="D609" s="59" t="s">
        <v>8023</v>
      </c>
      <c r="E609" s="78" t="s">
        <v>5909</v>
      </c>
      <c r="F609" s="45" t="s">
        <v>8024</v>
      </c>
      <c r="G609" s="46" t="s">
        <v>1305</v>
      </c>
      <c r="H609" s="47" t="s">
        <v>24</v>
      </c>
      <c r="I609" s="118"/>
      <c r="J609" s="155"/>
      <c r="K609" s="155"/>
      <c r="L609" s="155"/>
      <c r="M609" s="155"/>
      <c r="N609" s="155"/>
      <c r="O609" s="155"/>
    </row>
    <row r="610" spans="1:15" ht="409.5">
      <c r="A610" s="399"/>
      <c r="B610" s="50" t="s">
        <v>1297</v>
      </c>
      <c r="C610" s="45" t="s">
        <v>8025</v>
      </c>
      <c r="D610" s="59" t="s">
        <v>1310</v>
      </c>
      <c r="E610" s="78" t="s">
        <v>5909</v>
      </c>
      <c r="F610" s="45" t="s">
        <v>8026</v>
      </c>
      <c r="G610" s="46" t="s">
        <v>1305</v>
      </c>
      <c r="H610" s="47" t="s">
        <v>24</v>
      </c>
      <c r="I610" s="118"/>
      <c r="J610" s="155"/>
      <c r="K610" s="155"/>
      <c r="L610" s="155"/>
      <c r="M610" s="155"/>
      <c r="N610" s="155"/>
      <c r="O610" s="155"/>
    </row>
    <row r="611" spans="1:15" ht="181.5">
      <c r="A611" s="402"/>
      <c r="B611" s="50" t="s">
        <v>1297</v>
      </c>
      <c r="C611" s="59" t="s">
        <v>8027</v>
      </c>
      <c r="D611" s="59" t="s">
        <v>1313</v>
      </c>
      <c r="E611" s="82" t="s">
        <v>5909</v>
      </c>
      <c r="F611" s="45" t="s">
        <v>8028</v>
      </c>
      <c r="G611" s="89" t="s">
        <v>1314</v>
      </c>
      <c r="H611" s="61" t="s">
        <v>24</v>
      </c>
      <c r="I611" s="128"/>
      <c r="J611" s="155"/>
      <c r="K611" s="155"/>
      <c r="L611" s="155"/>
      <c r="M611" s="155"/>
      <c r="N611" s="155"/>
      <c r="O611" s="155"/>
    </row>
    <row r="612" spans="1:15" ht="165">
      <c r="A612" s="399"/>
      <c r="B612" s="50" t="s">
        <v>1297</v>
      </c>
      <c r="C612" s="45" t="s">
        <v>8029</v>
      </c>
      <c r="D612" s="59" t="s">
        <v>8030</v>
      </c>
      <c r="E612" s="78" t="s">
        <v>5909</v>
      </c>
      <c r="F612" s="45" t="s">
        <v>8031</v>
      </c>
      <c r="G612" s="46" t="s">
        <v>1318</v>
      </c>
      <c r="H612" s="47" t="s">
        <v>30</v>
      </c>
      <c r="I612" s="118"/>
      <c r="J612" s="155"/>
      <c r="K612" s="155"/>
      <c r="L612" s="155"/>
      <c r="M612" s="155"/>
      <c r="N612" s="155"/>
      <c r="O612" s="155"/>
    </row>
    <row r="613" spans="1:15" ht="165">
      <c r="A613" s="399"/>
      <c r="B613" s="50" t="s">
        <v>1297</v>
      </c>
      <c r="C613" s="45" t="s">
        <v>8032</v>
      </c>
      <c r="D613" s="59" t="s">
        <v>8033</v>
      </c>
      <c r="E613" s="78" t="s">
        <v>5909</v>
      </c>
      <c r="F613" s="45" t="s">
        <v>8034</v>
      </c>
      <c r="G613" s="46" t="s">
        <v>1318</v>
      </c>
      <c r="H613" s="47" t="s">
        <v>41</v>
      </c>
      <c r="I613" s="118"/>
      <c r="J613" s="155"/>
      <c r="K613" s="155"/>
      <c r="L613" s="155"/>
      <c r="M613" s="155"/>
      <c r="N613" s="155"/>
      <c r="O613" s="155"/>
    </row>
    <row r="614" spans="1:15" ht="165">
      <c r="A614" s="399"/>
      <c r="B614" s="50" t="s">
        <v>1297</v>
      </c>
      <c r="C614" s="45" t="s">
        <v>8035</v>
      </c>
      <c r="D614" s="59" t="s">
        <v>8036</v>
      </c>
      <c r="E614" s="78" t="s">
        <v>5909</v>
      </c>
      <c r="F614" s="45" t="s">
        <v>8037</v>
      </c>
      <c r="G614" s="46" t="s">
        <v>1318</v>
      </c>
      <c r="H614" s="47" t="s">
        <v>24</v>
      </c>
      <c r="I614" s="118"/>
      <c r="J614" s="155"/>
      <c r="K614" s="155"/>
      <c r="L614" s="155"/>
      <c r="M614" s="155"/>
      <c r="N614" s="155"/>
      <c r="O614" s="155"/>
    </row>
    <row r="615" spans="1:15" ht="409.5">
      <c r="A615" s="399"/>
      <c r="B615" s="50" t="s">
        <v>1297</v>
      </c>
      <c r="C615" s="59" t="s">
        <v>8038</v>
      </c>
      <c r="D615" s="59" t="s">
        <v>8039</v>
      </c>
      <c r="E615" s="82" t="s">
        <v>8040</v>
      </c>
      <c r="F615" s="59" t="s">
        <v>8041</v>
      </c>
      <c r="G615" s="89" t="s">
        <v>8042</v>
      </c>
      <c r="H615" s="61" t="s">
        <v>30</v>
      </c>
      <c r="I615" s="128"/>
      <c r="J615" s="155"/>
      <c r="K615" s="155"/>
      <c r="L615" s="155"/>
      <c r="M615" s="155"/>
      <c r="N615" s="155"/>
      <c r="O615" s="155"/>
    </row>
    <row r="616" spans="1:15" ht="297">
      <c r="A616" s="399"/>
      <c r="B616" s="50" t="s">
        <v>1297</v>
      </c>
      <c r="C616" s="45" t="s">
        <v>8043</v>
      </c>
      <c r="D616" s="59" t="s">
        <v>1320</v>
      </c>
      <c r="E616" s="78" t="s">
        <v>8044</v>
      </c>
      <c r="F616" s="45" t="s">
        <v>8045</v>
      </c>
      <c r="G616" s="46" t="s">
        <v>1323</v>
      </c>
      <c r="H616" s="47" t="s">
        <v>36</v>
      </c>
      <c r="I616" s="118"/>
      <c r="J616" s="155"/>
      <c r="K616" s="155"/>
      <c r="L616" s="155"/>
      <c r="M616" s="155"/>
      <c r="N616" s="155"/>
      <c r="O616" s="155"/>
    </row>
    <row r="617" spans="1:15" ht="409.5">
      <c r="A617" s="399"/>
      <c r="B617" s="50" t="s">
        <v>1297</v>
      </c>
      <c r="C617" s="45" t="s">
        <v>8046</v>
      </c>
      <c r="D617" s="59" t="s">
        <v>1325</v>
      </c>
      <c r="E617" s="78" t="s">
        <v>8040</v>
      </c>
      <c r="F617" s="45" t="s">
        <v>8047</v>
      </c>
      <c r="G617" s="46" t="s">
        <v>1328</v>
      </c>
      <c r="H617" s="47" t="s">
        <v>24</v>
      </c>
      <c r="I617" s="118"/>
      <c r="J617" s="155"/>
      <c r="K617" s="155"/>
      <c r="L617" s="155"/>
      <c r="M617" s="155"/>
      <c r="N617" s="155"/>
      <c r="O617" s="155"/>
    </row>
    <row r="618" spans="1:15" ht="409.5">
      <c r="A618" s="399"/>
      <c r="B618" s="50" t="s">
        <v>1297</v>
      </c>
      <c r="C618" s="45" t="s">
        <v>8048</v>
      </c>
      <c r="D618" s="87" t="s">
        <v>1330</v>
      </c>
      <c r="E618" s="78" t="s">
        <v>8040</v>
      </c>
      <c r="F618" s="45" t="s">
        <v>8049</v>
      </c>
      <c r="G618" s="46" t="s">
        <v>1332</v>
      </c>
      <c r="H618" s="47" t="s">
        <v>24</v>
      </c>
      <c r="I618" s="118"/>
      <c r="J618" s="155"/>
      <c r="K618" s="155"/>
      <c r="L618" s="155"/>
      <c r="M618" s="155"/>
      <c r="N618" s="155"/>
      <c r="O618" s="155"/>
    </row>
    <row r="619" spans="1:15" ht="363">
      <c r="A619" s="399"/>
      <c r="B619" s="50" t="s">
        <v>1297</v>
      </c>
      <c r="C619" s="45" t="s">
        <v>8050</v>
      </c>
      <c r="D619" s="59" t="s">
        <v>8051</v>
      </c>
      <c r="E619" s="78" t="s">
        <v>8040</v>
      </c>
      <c r="F619" s="45" t="s">
        <v>8052</v>
      </c>
      <c r="G619" s="46" t="s">
        <v>8053</v>
      </c>
      <c r="H619" s="47" t="s">
        <v>24</v>
      </c>
      <c r="I619" s="118"/>
      <c r="J619" s="155"/>
      <c r="K619" s="155"/>
      <c r="L619" s="155"/>
      <c r="M619" s="155"/>
      <c r="N619" s="155"/>
      <c r="O619" s="155"/>
    </row>
    <row r="620" spans="1:15" ht="409.5">
      <c r="A620" s="399"/>
      <c r="B620" s="50" t="s">
        <v>1297</v>
      </c>
      <c r="C620" s="45" t="s">
        <v>8054</v>
      </c>
      <c r="D620" s="59" t="s">
        <v>1334</v>
      </c>
      <c r="E620" s="78" t="s">
        <v>5909</v>
      </c>
      <c r="F620" s="45" t="s">
        <v>8055</v>
      </c>
      <c r="G620" s="46" t="s">
        <v>1336</v>
      </c>
      <c r="H620" s="47" t="s">
        <v>30</v>
      </c>
      <c r="I620" s="118"/>
      <c r="J620" s="155"/>
      <c r="K620" s="155"/>
      <c r="L620" s="155"/>
      <c r="M620" s="155"/>
      <c r="N620" s="155"/>
      <c r="O620" s="155"/>
    </row>
    <row r="621" spans="1:15" ht="409.5">
      <c r="A621" s="399"/>
      <c r="B621" s="51" t="s">
        <v>1297</v>
      </c>
      <c r="C621" s="53" t="s">
        <v>8056</v>
      </c>
      <c r="D621" s="53" t="s">
        <v>1338</v>
      </c>
      <c r="E621" s="73" t="s">
        <v>8040</v>
      </c>
      <c r="F621" s="53" t="s">
        <v>8057</v>
      </c>
      <c r="G621" s="60" t="s">
        <v>1340</v>
      </c>
      <c r="H621" s="47" t="s">
        <v>24</v>
      </c>
      <c r="I621" s="118"/>
      <c r="J621" s="155"/>
      <c r="K621" s="155"/>
      <c r="L621" s="155"/>
      <c r="M621" s="155"/>
      <c r="N621" s="155"/>
      <c r="O621" s="155"/>
    </row>
    <row r="622" spans="1:15" ht="198">
      <c r="A622" s="399"/>
      <c r="B622" s="50" t="s">
        <v>1297</v>
      </c>
      <c r="C622" s="45" t="s">
        <v>8058</v>
      </c>
      <c r="D622" s="59" t="s">
        <v>1342</v>
      </c>
      <c r="E622" s="78" t="s">
        <v>8044</v>
      </c>
      <c r="F622" s="45" t="s">
        <v>8059</v>
      </c>
      <c r="G622" s="46" t="s">
        <v>1344</v>
      </c>
      <c r="H622" s="47" t="s">
        <v>36</v>
      </c>
      <c r="I622" s="118"/>
      <c r="J622" s="155"/>
      <c r="K622" s="155"/>
      <c r="L622" s="155"/>
      <c r="M622" s="155"/>
      <c r="N622" s="155"/>
      <c r="O622" s="155"/>
    </row>
    <row r="623" spans="1:15" ht="409.5">
      <c r="A623" s="399"/>
      <c r="B623" s="50" t="s">
        <v>1297</v>
      </c>
      <c r="C623" s="45" t="s">
        <v>8060</v>
      </c>
      <c r="D623" s="59" t="s">
        <v>1346</v>
      </c>
      <c r="E623" s="78" t="s">
        <v>8040</v>
      </c>
      <c r="F623" s="45" t="s">
        <v>8061</v>
      </c>
      <c r="G623" s="46" t="s">
        <v>1347</v>
      </c>
      <c r="H623" s="47" t="s">
        <v>24</v>
      </c>
      <c r="I623" s="118"/>
      <c r="J623" s="155"/>
      <c r="K623" s="155"/>
      <c r="L623" s="155"/>
      <c r="M623" s="155"/>
      <c r="N623" s="155"/>
      <c r="O623" s="155"/>
    </row>
    <row r="624" spans="1:15" ht="409.5">
      <c r="A624" s="399"/>
      <c r="B624" s="50" t="s">
        <v>1297</v>
      </c>
      <c r="C624" s="45" t="s">
        <v>8062</v>
      </c>
      <c r="D624" s="59" t="s">
        <v>8063</v>
      </c>
      <c r="E624" s="78" t="s">
        <v>8040</v>
      </c>
      <c r="F624" s="45" t="s">
        <v>8064</v>
      </c>
      <c r="G624" s="46" t="s">
        <v>8065</v>
      </c>
      <c r="H624" s="47" t="s">
        <v>36</v>
      </c>
      <c r="I624" s="118"/>
      <c r="J624" s="155"/>
      <c r="K624" s="155"/>
      <c r="L624" s="155"/>
      <c r="M624" s="155"/>
      <c r="N624" s="155"/>
      <c r="O624" s="155"/>
    </row>
    <row r="625" spans="1:15" ht="115.5">
      <c r="A625" s="399"/>
      <c r="B625" s="44" t="s">
        <v>1348</v>
      </c>
      <c r="C625" s="45" t="s">
        <v>8066</v>
      </c>
      <c r="D625" s="45" t="s">
        <v>1350</v>
      </c>
      <c r="E625" s="78" t="s">
        <v>8067</v>
      </c>
      <c r="F625" s="45" t="s">
        <v>8068</v>
      </c>
      <c r="G625" s="46" t="s">
        <v>1353</v>
      </c>
      <c r="H625" s="47" t="s">
        <v>24</v>
      </c>
      <c r="I625" s="118"/>
      <c r="J625" s="155"/>
      <c r="K625" s="155"/>
      <c r="L625" s="155"/>
      <c r="M625" s="155"/>
      <c r="N625" s="155"/>
      <c r="O625" s="155"/>
    </row>
    <row r="626" spans="1:15" ht="198">
      <c r="A626" s="399"/>
      <c r="B626" s="44" t="s">
        <v>1348</v>
      </c>
      <c r="C626" s="45" t="s">
        <v>8069</v>
      </c>
      <c r="D626" s="45" t="s">
        <v>8070</v>
      </c>
      <c r="E626" s="78" t="s">
        <v>8071</v>
      </c>
      <c r="F626" s="45" t="s">
        <v>8072</v>
      </c>
      <c r="G626" s="46" t="s">
        <v>1358</v>
      </c>
      <c r="H626" s="47" t="s">
        <v>30</v>
      </c>
      <c r="I626" s="118"/>
      <c r="J626" s="155"/>
      <c r="K626" s="155"/>
      <c r="L626" s="155"/>
      <c r="M626" s="155"/>
      <c r="N626" s="155"/>
      <c r="O626" s="155"/>
    </row>
    <row r="627" spans="1:15" ht="198">
      <c r="A627" s="399"/>
      <c r="B627" s="44" t="s">
        <v>1348</v>
      </c>
      <c r="C627" s="45" t="s">
        <v>8073</v>
      </c>
      <c r="D627" s="45" t="s">
        <v>1355</v>
      </c>
      <c r="E627" s="78" t="s">
        <v>8071</v>
      </c>
      <c r="F627" s="45" t="s">
        <v>8074</v>
      </c>
      <c r="G627" s="46" t="s">
        <v>1358</v>
      </c>
      <c r="H627" s="47" t="s">
        <v>24</v>
      </c>
      <c r="I627" s="118"/>
      <c r="J627" s="155"/>
      <c r="K627" s="155"/>
      <c r="L627" s="155"/>
      <c r="M627" s="155"/>
      <c r="N627" s="155"/>
      <c r="O627" s="155"/>
    </row>
    <row r="628" spans="1:15" ht="231">
      <c r="A628" s="399"/>
      <c r="B628" s="44" t="s">
        <v>1348</v>
      </c>
      <c r="C628" s="45" t="s">
        <v>8075</v>
      </c>
      <c r="D628" s="45" t="s">
        <v>1360</v>
      </c>
      <c r="E628" s="78" t="s">
        <v>8071</v>
      </c>
      <c r="F628" s="45" t="s">
        <v>8076</v>
      </c>
      <c r="G628" s="46" t="s">
        <v>1362</v>
      </c>
      <c r="H628" s="47" t="s">
        <v>24</v>
      </c>
      <c r="I628" s="118"/>
      <c r="J628" s="155"/>
      <c r="K628" s="155"/>
      <c r="L628" s="155"/>
      <c r="M628" s="155"/>
      <c r="N628" s="155"/>
      <c r="O628" s="155"/>
    </row>
    <row r="629" spans="1:15" ht="346.5">
      <c r="A629" s="399"/>
      <c r="B629" s="44" t="s">
        <v>1348</v>
      </c>
      <c r="C629" s="45" t="s">
        <v>8077</v>
      </c>
      <c r="D629" s="45" t="s">
        <v>1364</v>
      </c>
      <c r="E629" s="78" t="s">
        <v>8071</v>
      </c>
      <c r="F629" s="45" t="s">
        <v>8078</v>
      </c>
      <c r="G629" s="46" t="s">
        <v>1366</v>
      </c>
      <c r="H629" s="47" t="s">
        <v>30</v>
      </c>
      <c r="I629" s="118"/>
      <c r="J629" s="155"/>
      <c r="K629" s="155"/>
      <c r="L629" s="155"/>
      <c r="M629" s="155"/>
      <c r="N629" s="155"/>
      <c r="O629" s="155"/>
    </row>
    <row r="630" spans="1:15" ht="409.5">
      <c r="A630" s="399"/>
      <c r="B630" s="44" t="s">
        <v>1348</v>
      </c>
      <c r="C630" s="45" t="s">
        <v>8079</v>
      </c>
      <c r="D630" s="45" t="s">
        <v>1368</v>
      </c>
      <c r="E630" s="78" t="s">
        <v>8071</v>
      </c>
      <c r="F630" s="45" t="s">
        <v>8080</v>
      </c>
      <c r="G630" s="46" t="s">
        <v>1370</v>
      </c>
      <c r="H630" s="47" t="s">
        <v>24</v>
      </c>
      <c r="I630" s="118"/>
      <c r="J630" s="155"/>
      <c r="K630" s="155"/>
      <c r="L630" s="155"/>
      <c r="M630" s="155"/>
      <c r="N630" s="155"/>
      <c r="O630" s="155"/>
    </row>
    <row r="631" spans="1:15" ht="181.5">
      <c r="A631" s="399"/>
      <c r="B631" s="44" t="s">
        <v>1348</v>
      </c>
      <c r="C631" s="45" t="s">
        <v>8081</v>
      </c>
      <c r="D631" s="59" t="s">
        <v>1372</v>
      </c>
      <c r="E631" s="78" t="s">
        <v>8071</v>
      </c>
      <c r="F631" s="45" t="s">
        <v>8082</v>
      </c>
      <c r="G631" s="46" t="s">
        <v>1374</v>
      </c>
      <c r="H631" s="47" t="s">
        <v>36</v>
      </c>
      <c r="I631" s="118"/>
      <c r="J631" s="155"/>
      <c r="K631" s="155"/>
      <c r="L631" s="155"/>
      <c r="M631" s="155"/>
      <c r="N631" s="155"/>
      <c r="O631" s="155"/>
    </row>
    <row r="632" spans="1:15" ht="214.5">
      <c r="A632" s="399"/>
      <c r="B632" s="44" t="s">
        <v>1348</v>
      </c>
      <c r="C632" s="45" t="s">
        <v>8083</v>
      </c>
      <c r="D632" s="45" t="s">
        <v>8084</v>
      </c>
      <c r="E632" s="78" t="s">
        <v>8067</v>
      </c>
      <c r="F632" s="45" t="s">
        <v>8085</v>
      </c>
      <c r="G632" s="46" t="s">
        <v>1378</v>
      </c>
      <c r="H632" s="47" t="s">
        <v>41</v>
      </c>
      <c r="I632" s="118"/>
      <c r="J632" s="155"/>
      <c r="K632" s="155"/>
      <c r="L632" s="155"/>
      <c r="M632" s="155"/>
      <c r="N632" s="155"/>
      <c r="O632" s="155"/>
    </row>
    <row r="633" spans="1:15" ht="214.5">
      <c r="A633" s="399"/>
      <c r="B633" s="44" t="s">
        <v>1348</v>
      </c>
      <c r="C633" s="45" t="s">
        <v>8086</v>
      </c>
      <c r="D633" s="45" t="s">
        <v>1376</v>
      </c>
      <c r="E633" s="78" t="s">
        <v>8067</v>
      </c>
      <c r="F633" s="45" t="s">
        <v>8087</v>
      </c>
      <c r="G633" s="46" t="s">
        <v>1378</v>
      </c>
      <c r="H633" s="47" t="s">
        <v>30</v>
      </c>
      <c r="I633" s="118"/>
      <c r="J633" s="155"/>
      <c r="K633" s="155"/>
      <c r="L633" s="155"/>
      <c r="M633" s="155"/>
      <c r="N633" s="155"/>
      <c r="O633" s="155"/>
    </row>
    <row r="634" spans="1:15" ht="247.5">
      <c r="A634" s="399"/>
      <c r="B634" s="44" t="s">
        <v>1348</v>
      </c>
      <c r="C634" s="45" t="s">
        <v>8088</v>
      </c>
      <c r="D634" s="45" t="s">
        <v>1380</v>
      </c>
      <c r="E634" s="78" t="s">
        <v>8067</v>
      </c>
      <c r="F634" s="45" t="s">
        <v>8089</v>
      </c>
      <c r="G634" s="46" t="s">
        <v>1382</v>
      </c>
      <c r="H634" s="47" t="s">
        <v>36</v>
      </c>
      <c r="I634" s="118"/>
      <c r="J634" s="155"/>
      <c r="K634" s="155"/>
      <c r="L634" s="155"/>
      <c r="M634" s="155"/>
      <c r="N634" s="155"/>
      <c r="O634" s="155"/>
    </row>
    <row r="635" spans="1:15" ht="132">
      <c r="A635" s="399"/>
      <c r="B635" s="44" t="s">
        <v>1348</v>
      </c>
      <c r="C635" s="45" t="s">
        <v>8090</v>
      </c>
      <c r="D635" s="45" t="s">
        <v>1384</v>
      </c>
      <c r="E635" s="78" t="s">
        <v>8067</v>
      </c>
      <c r="F635" s="45" t="s">
        <v>8091</v>
      </c>
      <c r="G635" s="46" t="s">
        <v>1386</v>
      </c>
      <c r="H635" s="47" t="s">
        <v>36</v>
      </c>
      <c r="I635" s="118"/>
      <c r="J635" s="155"/>
      <c r="K635" s="155"/>
      <c r="L635" s="155"/>
      <c r="M635" s="155"/>
      <c r="N635" s="155"/>
      <c r="O635" s="155"/>
    </row>
    <row r="636" spans="1:15" ht="132">
      <c r="A636" s="399"/>
      <c r="B636" s="44" t="s">
        <v>1348</v>
      </c>
      <c r="C636" s="45" t="s">
        <v>8092</v>
      </c>
      <c r="D636" s="45" t="s">
        <v>1388</v>
      </c>
      <c r="E636" s="78" t="s">
        <v>8067</v>
      </c>
      <c r="F636" s="45" t="s">
        <v>8093</v>
      </c>
      <c r="G636" s="46" t="s">
        <v>1390</v>
      </c>
      <c r="H636" s="47" t="s">
        <v>36</v>
      </c>
      <c r="I636" s="118"/>
      <c r="J636" s="155"/>
      <c r="K636" s="155"/>
      <c r="L636" s="155"/>
      <c r="M636" s="155"/>
      <c r="N636" s="155"/>
      <c r="O636" s="155"/>
    </row>
    <row r="637" spans="1:15" ht="198">
      <c r="A637" s="399"/>
      <c r="B637" s="44" t="s">
        <v>1348</v>
      </c>
      <c r="C637" s="45" t="s">
        <v>8094</v>
      </c>
      <c r="D637" s="45" t="s">
        <v>1392</v>
      </c>
      <c r="E637" s="78" t="s">
        <v>8067</v>
      </c>
      <c r="F637" s="45" t="s">
        <v>8095</v>
      </c>
      <c r="G637" s="46" t="s">
        <v>1394</v>
      </c>
      <c r="H637" s="47" t="s">
        <v>36</v>
      </c>
      <c r="I637" s="118"/>
      <c r="J637" s="155"/>
      <c r="K637" s="155"/>
      <c r="L637" s="155"/>
      <c r="M637" s="155"/>
      <c r="N637" s="155"/>
      <c r="O637" s="155"/>
    </row>
    <row r="638" spans="1:15" ht="409.5">
      <c r="A638" s="399"/>
      <c r="B638" s="44" t="s">
        <v>1348</v>
      </c>
      <c r="C638" s="45" t="s">
        <v>8096</v>
      </c>
      <c r="D638" s="45" t="s">
        <v>1396</v>
      </c>
      <c r="E638" s="78" t="s">
        <v>8067</v>
      </c>
      <c r="F638" s="45" t="s">
        <v>8097</v>
      </c>
      <c r="G638" s="46" t="s">
        <v>1398</v>
      </c>
      <c r="H638" s="47" t="s">
        <v>30</v>
      </c>
      <c r="I638" s="118"/>
      <c r="J638" s="155"/>
      <c r="K638" s="155"/>
      <c r="L638" s="155"/>
      <c r="M638" s="155"/>
      <c r="N638" s="155"/>
      <c r="O638" s="155"/>
    </row>
    <row r="639" spans="1:15" ht="409.5">
      <c r="A639" s="399"/>
      <c r="B639" s="44" t="s">
        <v>1348</v>
      </c>
      <c r="C639" s="45" t="s">
        <v>8098</v>
      </c>
      <c r="D639" s="45" t="s">
        <v>1400</v>
      </c>
      <c r="E639" s="78" t="s">
        <v>8067</v>
      </c>
      <c r="F639" s="45" t="s">
        <v>8099</v>
      </c>
      <c r="G639" s="46" t="s">
        <v>1402</v>
      </c>
      <c r="H639" s="47" t="s">
        <v>24</v>
      </c>
      <c r="I639" s="118"/>
      <c r="J639" s="155"/>
      <c r="K639" s="155"/>
      <c r="L639" s="155"/>
      <c r="M639" s="155"/>
      <c r="N639" s="155"/>
      <c r="O639" s="155"/>
    </row>
    <row r="640" spans="1:15" ht="409.5">
      <c r="A640" s="399"/>
      <c r="B640" s="44" t="s">
        <v>1348</v>
      </c>
      <c r="C640" s="45" t="s">
        <v>8100</v>
      </c>
      <c r="D640" s="45" t="s">
        <v>1404</v>
      </c>
      <c r="E640" s="78" t="s">
        <v>8067</v>
      </c>
      <c r="F640" s="45" t="s">
        <v>8101</v>
      </c>
      <c r="G640" s="46" t="s">
        <v>1406</v>
      </c>
      <c r="H640" s="47" t="s">
        <v>36</v>
      </c>
      <c r="I640" s="118"/>
      <c r="J640" s="155"/>
      <c r="K640" s="155"/>
      <c r="L640" s="155"/>
      <c r="M640" s="155"/>
      <c r="N640" s="155"/>
      <c r="O640" s="155"/>
    </row>
    <row r="641" spans="1:15" ht="165">
      <c r="A641" s="399"/>
      <c r="B641" s="44" t="s">
        <v>1348</v>
      </c>
      <c r="C641" s="45" t="s">
        <v>8102</v>
      </c>
      <c r="D641" s="45" t="s">
        <v>1408</v>
      </c>
      <c r="E641" s="78" t="s">
        <v>8067</v>
      </c>
      <c r="F641" s="45" t="s">
        <v>8103</v>
      </c>
      <c r="G641" s="46" t="s">
        <v>1410</v>
      </c>
      <c r="H641" s="47" t="s">
        <v>24</v>
      </c>
      <c r="I641" s="118"/>
      <c r="J641" s="155"/>
      <c r="K641" s="155"/>
      <c r="L641" s="155"/>
      <c r="M641" s="155"/>
      <c r="N641" s="155"/>
      <c r="O641" s="155"/>
    </row>
    <row r="642" spans="1:15" ht="181.5">
      <c r="A642" s="399"/>
      <c r="B642" s="44" t="s">
        <v>1348</v>
      </c>
      <c r="C642" s="45" t="s">
        <v>8104</v>
      </c>
      <c r="D642" s="45" t="s">
        <v>1412</v>
      </c>
      <c r="E642" s="78" t="s">
        <v>8067</v>
      </c>
      <c r="F642" s="45" t="s">
        <v>8105</v>
      </c>
      <c r="G642" s="46" t="s">
        <v>1410</v>
      </c>
      <c r="H642" s="47" t="s">
        <v>24</v>
      </c>
      <c r="I642" s="118"/>
      <c r="J642" s="155"/>
      <c r="K642" s="155"/>
      <c r="L642" s="155"/>
      <c r="M642" s="155"/>
      <c r="N642" s="155"/>
      <c r="O642" s="155"/>
    </row>
    <row r="643" spans="1:15" ht="165">
      <c r="A643" s="399"/>
      <c r="B643" s="44" t="s">
        <v>1348</v>
      </c>
      <c r="C643" s="45" t="s">
        <v>8106</v>
      </c>
      <c r="D643" s="45" t="s">
        <v>8107</v>
      </c>
      <c r="E643" s="78" t="s">
        <v>8067</v>
      </c>
      <c r="F643" s="45" t="s">
        <v>8108</v>
      </c>
      <c r="G643" s="46" t="s">
        <v>1410</v>
      </c>
      <c r="H643" s="47" t="s">
        <v>24</v>
      </c>
      <c r="I643" s="118"/>
      <c r="J643" s="155"/>
      <c r="K643" s="155"/>
      <c r="L643" s="155"/>
      <c r="M643" s="155"/>
      <c r="N643" s="155"/>
      <c r="O643" s="155"/>
    </row>
    <row r="644" spans="1:15" ht="247.5">
      <c r="A644" s="399"/>
      <c r="B644" s="44" t="s">
        <v>1348</v>
      </c>
      <c r="C644" s="45" t="s">
        <v>8109</v>
      </c>
      <c r="D644" s="45" t="s">
        <v>1416</v>
      </c>
      <c r="E644" s="78" t="s">
        <v>8067</v>
      </c>
      <c r="F644" s="45" t="s">
        <v>8110</v>
      </c>
      <c r="G644" s="46" t="s">
        <v>1418</v>
      </c>
      <c r="H644" s="47" t="s">
        <v>41</v>
      </c>
      <c r="I644" s="118"/>
      <c r="J644" s="155"/>
      <c r="K644" s="155"/>
      <c r="L644" s="155"/>
      <c r="M644" s="155"/>
      <c r="N644" s="155"/>
      <c r="O644" s="155"/>
    </row>
    <row r="645" spans="1:15" ht="247.5">
      <c r="A645" s="399"/>
      <c r="B645" s="44" t="s">
        <v>1348</v>
      </c>
      <c r="C645" s="45" t="s">
        <v>8111</v>
      </c>
      <c r="D645" s="45" t="s">
        <v>8112</v>
      </c>
      <c r="E645" s="78" t="s">
        <v>8067</v>
      </c>
      <c r="F645" s="45" t="s">
        <v>8113</v>
      </c>
      <c r="G645" s="46" t="s">
        <v>8114</v>
      </c>
      <c r="H645" s="47" t="s">
        <v>24</v>
      </c>
      <c r="I645" s="118"/>
      <c r="J645" s="155"/>
      <c r="K645" s="155"/>
      <c r="L645" s="155"/>
      <c r="M645" s="155"/>
      <c r="N645" s="155"/>
      <c r="O645" s="155"/>
    </row>
    <row r="646" spans="1:15" ht="280.5">
      <c r="A646" s="399"/>
      <c r="B646" s="56" t="s">
        <v>1348</v>
      </c>
      <c r="C646" s="53" t="s">
        <v>8115</v>
      </c>
      <c r="D646" s="53" t="s">
        <v>1420</v>
      </c>
      <c r="E646" s="73" t="s">
        <v>8067</v>
      </c>
      <c r="F646" s="53" t="s">
        <v>8116</v>
      </c>
      <c r="G646" s="60" t="s">
        <v>1422</v>
      </c>
      <c r="H646" s="49" t="s">
        <v>24</v>
      </c>
      <c r="I646" s="114"/>
      <c r="J646" s="155"/>
      <c r="K646" s="155"/>
      <c r="L646" s="155"/>
      <c r="M646" s="155"/>
      <c r="N646" s="155"/>
      <c r="O646" s="155"/>
    </row>
    <row r="647" spans="1:15" ht="379.5">
      <c r="A647" s="399"/>
      <c r="B647" s="56" t="s">
        <v>1348</v>
      </c>
      <c r="C647" s="45" t="s">
        <v>8117</v>
      </c>
      <c r="D647" s="45" t="s">
        <v>1424</v>
      </c>
      <c r="E647" s="78" t="s">
        <v>8067</v>
      </c>
      <c r="F647" s="45" t="s">
        <v>8118</v>
      </c>
      <c r="G647" s="46" t="s">
        <v>1426</v>
      </c>
      <c r="H647" s="47" t="s">
        <v>24</v>
      </c>
      <c r="I647" s="118"/>
      <c r="J647" s="155"/>
      <c r="K647" s="155"/>
      <c r="L647" s="155"/>
      <c r="M647" s="155"/>
      <c r="N647" s="155"/>
      <c r="O647" s="155"/>
    </row>
    <row r="648" spans="1:15" ht="297">
      <c r="A648" s="399"/>
      <c r="B648" s="56" t="s">
        <v>1348</v>
      </c>
      <c r="C648" s="53" t="s">
        <v>8119</v>
      </c>
      <c r="D648" s="53" t="s">
        <v>1428</v>
      </c>
      <c r="E648" s="73" t="s">
        <v>8067</v>
      </c>
      <c r="F648" s="45" t="s">
        <v>8120</v>
      </c>
      <c r="G648" s="46" t="s">
        <v>1430</v>
      </c>
      <c r="H648" s="49" t="s">
        <v>41</v>
      </c>
      <c r="I648" s="114"/>
      <c r="J648" s="155"/>
      <c r="K648" s="155"/>
      <c r="L648" s="155"/>
      <c r="M648" s="155"/>
      <c r="N648" s="155"/>
      <c r="O648" s="155"/>
    </row>
    <row r="649" spans="1:15" ht="313.5">
      <c r="A649" s="399"/>
      <c r="B649" s="44" t="s">
        <v>1348</v>
      </c>
      <c r="C649" s="45" t="s">
        <v>8121</v>
      </c>
      <c r="D649" s="45" t="s">
        <v>8122</v>
      </c>
      <c r="E649" s="78" t="s">
        <v>8067</v>
      </c>
      <c r="F649" s="45" t="s">
        <v>8123</v>
      </c>
      <c r="G649" s="46" t="s">
        <v>8124</v>
      </c>
      <c r="H649" s="47" t="s">
        <v>24</v>
      </c>
      <c r="I649" s="118"/>
      <c r="J649" s="155"/>
      <c r="K649" s="155"/>
      <c r="L649" s="155"/>
      <c r="M649" s="155"/>
      <c r="N649" s="155"/>
      <c r="O649" s="155"/>
    </row>
    <row r="650" spans="1:15" ht="409.5">
      <c r="A650" s="399"/>
      <c r="B650" s="44" t="s">
        <v>1348</v>
      </c>
      <c r="C650" s="45" t="s">
        <v>8125</v>
      </c>
      <c r="D650" s="45" t="s">
        <v>1432</v>
      </c>
      <c r="E650" s="78" t="s">
        <v>8067</v>
      </c>
      <c r="F650" s="45" t="s">
        <v>8126</v>
      </c>
      <c r="G650" s="46" t="s">
        <v>1434</v>
      </c>
      <c r="H650" s="47" t="s">
        <v>24</v>
      </c>
      <c r="I650" s="118"/>
      <c r="J650" s="155"/>
      <c r="K650" s="155"/>
      <c r="L650" s="155"/>
      <c r="M650" s="155"/>
      <c r="N650" s="155"/>
      <c r="O650" s="155"/>
    </row>
    <row r="651" spans="1:15" ht="181.5">
      <c r="A651" s="399"/>
      <c r="B651" s="44" t="s">
        <v>1348</v>
      </c>
      <c r="C651" s="45" t="s">
        <v>8127</v>
      </c>
      <c r="D651" s="45" t="s">
        <v>1436</v>
      </c>
      <c r="E651" s="78" t="s">
        <v>8067</v>
      </c>
      <c r="F651" s="45" t="s">
        <v>8128</v>
      </c>
      <c r="G651" s="46" t="s">
        <v>1438</v>
      </c>
      <c r="H651" s="47" t="s">
        <v>36</v>
      </c>
      <c r="I651" s="118"/>
      <c r="J651" s="155"/>
      <c r="K651" s="155"/>
      <c r="L651" s="155"/>
      <c r="M651" s="155"/>
      <c r="N651" s="155"/>
      <c r="O651" s="155"/>
    </row>
    <row r="652" spans="1:15" ht="330">
      <c r="A652" s="399"/>
      <c r="B652" s="56" t="s">
        <v>1439</v>
      </c>
      <c r="C652" s="53" t="s">
        <v>8129</v>
      </c>
      <c r="D652" s="53" t="s">
        <v>1441</v>
      </c>
      <c r="E652" s="73" t="s">
        <v>8067</v>
      </c>
      <c r="F652" s="45" t="s">
        <v>8130</v>
      </c>
      <c r="G652" s="60" t="s">
        <v>1443</v>
      </c>
      <c r="H652" s="49" t="s">
        <v>30</v>
      </c>
      <c r="I652" s="114"/>
      <c r="J652" s="155"/>
      <c r="K652" s="155"/>
      <c r="L652" s="155"/>
      <c r="M652" s="155"/>
      <c r="N652" s="155"/>
      <c r="O652" s="155"/>
    </row>
    <row r="653" spans="1:15" ht="214.5">
      <c r="A653" s="399"/>
      <c r="B653" s="50" t="s">
        <v>1439</v>
      </c>
      <c r="C653" s="45" t="s">
        <v>8131</v>
      </c>
      <c r="D653" s="45" t="s">
        <v>1445</v>
      </c>
      <c r="E653" s="78" t="s">
        <v>8067</v>
      </c>
      <c r="F653" s="45" t="s">
        <v>8132</v>
      </c>
      <c r="G653" s="46" t="s">
        <v>1446</v>
      </c>
      <c r="H653" s="47" t="s">
        <v>41</v>
      </c>
      <c r="I653" s="118"/>
      <c r="J653" s="155"/>
      <c r="K653" s="155"/>
      <c r="L653" s="155"/>
      <c r="M653" s="155"/>
      <c r="N653" s="155"/>
      <c r="O653" s="155"/>
    </row>
    <row r="654" spans="1:15" ht="214.5">
      <c r="A654" s="399"/>
      <c r="B654" s="50" t="s">
        <v>1439</v>
      </c>
      <c r="C654" s="45" t="s">
        <v>8131</v>
      </c>
      <c r="D654" s="45" t="s">
        <v>1445</v>
      </c>
      <c r="E654" s="78" t="s">
        <v>8067</v>
      </c>
      <c r="F654" s="45" t="s">
        <v>8133</v>
      </c>
      <c r="G654" s="46" t="s">
        <v>1450</v>
      </c>
      <c r="H654" s="47" t="s">
        <v>41</v>
      </c>
      <c r="I654" s="118"/>
      <c r="J654" s="155"/>
      <c r="K654" s="155"/>
      <c r="L654" s="155"/>
      <c r="M654" s="155"/>
      <c r="N654" s="155"/>
      <c r="O654" s="155"/>
    </row>
    <row r="655" spans="1:15" ht="409.5">
      <c r="A655" s="399"/>
      <c r="B655" s="51" t="s">
        <v>1439</v>
      </c>
      <c r="C655" s="53" t="s">
        <v>8134</v>
      </c>
      <c r="D655" s="53" t="s">
        <v>8135</v>
      </c>
      <c r="E655" s="73" t="s">
        <v>8067</v>
      </c>
      <c r="F655" s="45" t="s">
        <v>8136</v>
      </c>
      <c r="G655" s="60" t="s">
        <v>8137</v>
      </c>
      <c r="H655" s="49" t="s">
        <v>62</v>
      </c>
      <c r="I655" s="118"/>
      <c r="J655" s="155"/>
      <c r="K655" s="155"/>
      <c r="L655" s="155"/>
      <c r="M655" s="155"/>
      <c r="N655" s="155"/>
      <c r="O655" s="155"/>
    </row>
    <row r="656" spans="1:15" ht="363">
      <c r="A656" s="399"/>
      <c r="B656" s="50" t="s">
        <v>1439</v>
      </c>
      <c r="C656" s="45" t="s">
        <v>8138</v>
      </c>
      <c r="D656" s="45" t="s">
        <v>1452</v>
      </c>
      <c r="E656" s="78" t="s">
        <v>8067</v>
      </c>
      <c r="F656" s="45" t="s">
        <v>8139</v>
      </c>
      <c r="G656" s="46" t="s">
        <v>1454</v>
      </c>
      <c r="H656" s="47" t="s">
        <v>41</v>
      </c>
      <c r="I656" s="118"/>
      <c r="J656" s="155"/>
      <c r="K656" s="155"/>
      <c r="L656" s="155"/>
      <c r="M656" s="155"/>
      <c r="N656" s="155"/>
      <c r="O656" s="155"/>
    </row>
    <row r="657" spans="1:15" ht="363">
      <c r="A657" s="399"/>
      <c r="B657" s="50" t="s">
        <v>1439</v>
      </c>
      <c r="C657" s="45" t="s">
        <v>8140</v>
      </c>
      <c r="D657" s="45" t="s">
        <v>1456</v>
      </c>
      <c r="E657" s="78" t="s">
        <v>8067</v>
      </c>
      <c r="F657" s="45" t="s">
        <v>8141</v>
      </c>
      <c r="G657" s="46" t="s">
        <v>1458</v>
      </c>
      <c r="H657" s="47" t="s">
        <v>41</v>
      </c>
      <c r="I657" s="118"/>
      <c r="J657" s="155"/>
      <c r="K657" s="155"/>
      <c r="L657" s="155"/>
      <c r="M657" s="155"/>
      <c r="N657" s="155"/>
      <c r="O657" s="155"/>
    </row>
    <row r="658" spans="1:15" ht="396">
      <c r="A658" s="399"/>
      <c r="B658" s="50" t="s">
        <v>1439</v>
      </c>
      <c r="C658" s="45" t="s">
        <v>8142</v>
      </c>
      <c r="D658" s="45" t="s">
        <v>8143</v>
      </c>
      <c r="E658" s="78" t="s">
        <v>8040</v>
      </c>
      <c r="F658" s="45" t="s">
        <v>8144</v>
      </c>
      <c r="G658" s="46" t="s">
        <v>1462</v>
      </c>
      <c r="H658" s="47" t="s">
        <v>41</v>
      </c>
      <c r="I658" s="118"/>
      <c r="J658" s="155"/>
      <c r="K658" s="155"/>
      <c r="L658" s="155"/>
      <c r="M658" s="155"/>
      <c r="N658" s="155"/>
      <c r="O658" s="155"/>
    </row>
    <row r="659" spans="1:15" ht="396">
      <c r="A659" s="399"/>
      <c r="B659" s="50" t="s">
        <v>1439</v>
      </c>
      <c r="C659" s="45" t="s">
        <v>8145</v>
      </c>
      <c r="D659" s="45" t="s">
        <v>1464</v>
      </c>
      <c r="E659" s="78" t="s">
        <v>8040</v>
      </c>
      <c r="F659" s="45" t="s">
        <v>8146</v>
      </c>
      <c r="G659" s="46" t="s">
        <v>1466</v>
      </c>
      <c r="H659" s="47" t="s">
        <v>36</v>
      </c>
      <c r="I659" s="118"/>
      <c r="J659" s="155"/>
      <c r="K659" s="155"/>
      <c r="L659" s="155"/>
      <c r="M659" s="155"/>
      <c r="N659" s="155"/>
      <c r="O659" s="155"/>
    </row>
    <row r="660" spans="1:15" ht="409.5">
      <c r="A660" s="399"/>
      <c r="B660" s="50" t="s">
        <v>1439</v>
      </c>
      <c r="C660" s="45" t="s">
        <v>8147</v>
      </c>
      <c r="D660" s="45" t="s">
        <v>1468</v>
      </c>
      <c r="E660" s="78" t="s">
        <v>8040</v>
      </c>
      <c r="F660" s="45" t="s">
        <v>8148</v>
      </c>
      <c r="G660" s="46" t="s">
        <v>1466</v>
      </c>
      <c r="H660" s="47" t="s">
        <v>36</v>
      </c>
      <c r="I660" s="118"/>
      <c r="J660" s="155"/>
      <c r="K660" s="155"/>
      <c r="L660" s="155"/>
      <c r="M660" s="155"/>
      <c r="N660" s="155"/>
      <c r="O660" s="155"/>
    </row>
    <row r="661" spans="1:15" ht="346.5">
      <c r="A661" s="77"/>
      <c r="B661" s="50" t="s">
        <v>1439</v>
      </c>
      <c r="C661" s="45" t="s">
        <v>8149</v>
      </c>
      <c r="D661" s="78" t="s">
        <v>1471</v>
      </c>
      <c r="E661" s="78" t="s">
        <v>8040</v>
      </c>
      <c r="F661" s="45" t="s">
        <v>8150</v>
      </c>
      <c r="G661" s="46" t="s">
        <v>1472</v>
      </c>
      <c r="H661" s="47" t="s">
        <v>41</v>
      </c>
      <c r="I661" s="118"/>
      <c r="J661" s="155"/>
      <c r="K661" s="155"/>
      <c r="L661" s="155"/>
      <c r="M661" s="155"/>
      <c r="N661" s="155"/>
      <c r="O661" s="155"/>
    </row>
    <row r="662" spans="1:15" ht="231">
      <c r="A662" s="77"/>
      <c r="B662" s="50" t="s">
        <v>1439</v>
      </c>
      <c r="C662" s="45" t="s">
        <v>8151</v>
      </c>
      <c r="D662" s="78" t="s">
        <v>1474</v>
      </c>
      <c r="E662" s="78" t="s">
        <v>8040</v>
      </c>
      <c r="F662" s="45" t="s">
        <v>8152</v>
      </c>
      <c r="G662" s="46" t="s">
        <v>1476</v>
      </c>
      <c r="H662" s="49" t="s">
        <v>41</v>
      </c>
      <c r="I662" s="118"/>
      <c r="J662" s="155"/>
      <c r="K662" s="155"/>
      <c r="L662" s="155"/>
      <c r="M662" s="155"/>
      <c r="N662" s="155"/>
      <c r="O662" s="155"/>
    </row>
    <row r="663" spans="1:15" ht="66">
      <c r="A663" s="396" t="s">
        <v>1484</v>
      </c>
      <c r="B663" s="44" t="s">
        <v>1485</v>
      </c>
      <c r="C663" s="45" t="s">
        <v>8153</v>
      </c>
      <c r="D663" s="78" t="s">
        <v>1487</v>
      </c>
      <c r="E663" s="78" t="s">
        <v>5909</v>
      </c>
      <c r="F663" s="45" t="s">
        <v>8154</v>
      </c>
      <c r="G663" s="46" t="s">
        <v>1489</v>
      </c>
      <c r="H663" s="47" t="s">
        <v>24</v>
      </c>
      <c r="I663" s="118"/>
      <c r="J663" s="155"/>
      <c r="K663" s="155"/>
      <c r="L663" s="155"/>
      <c r="M663" s="155"/>
      <c r="N663" s="155"/>
      <c r="O663" s="155"/>
    </row>
    <row r="664" spans="1:15" ht="82.5">
      <c r="A664" s="397"/>
      <c r="B664" s="44" t="s">
        <v>1485</v>
      </c>
      <c r="C664" s="45" t="s">
        <v>8155</v>
      </c>
      <c r="D664" s="78" t="s">
        <v>1491</v>
      </c>
      <c r="E664" s="78" t="s">
        <v>5909</v>
      </c>
      <c r="F664" s="45" t="s">
        <v>8156</v>
      </c>
      <c r="G664" s="46" t="s">
        <v>1493</v>
      </c>
      <c r="H664" s="47" t="s">
        <v>24</v>
      </c>
      <c r="I664" s="118"/>
      <c r="J664" s="155"/>
      <c r="K664" s="155"/>
      <c r="L664" s="155"/>
      <c r="M664" s="155"/>
      <c r="N664" s="155"/>
      <c r="O664" s="155"/>
    </row>
    <row r="665" spans="1:15" ht="132">
      <c r="A665" s="397"/>
      <c r="B665" s="44" t="s">
        <v>1485</v>
      </c>
      <c r="C665" s="45" t="s">
        <v>8157</v>
      </c>
      <c r="D665" s="78" t="s">
        <v>1495</v>
      </c>
      <c r="E665" s="78" t="s">
        <v>5909</v>
      </c>
      <c r="F665" s="45" t="s">
        <v>8158</v>
      </c>
      <c r="G665" s="46" t="s">
        <v>1497</v>
      </c>
      <c r="H665" s="47" t="s">
        <v>24</v>
      </c>
      <c r="I665" s="118"/>
      <c r="J665" s="155"/>
      <c r="K665" s="155"/>
      <c r="L665" s="155"/>
      <c r="M665" s="155"/>
      <c r="N665" s="155"/>
      <c r="O665" s="155"/>
    </row>
    <row r="666" spans="1:15" ht="82.5">
      <c r="A666" s="397"/>
      <c r="B666" s="44" t="s">
        <v>1485</v>
      </c>
      <c r="C666" s="45" t="s">
        <v>8159</v>
      </c>
      <c r="D666" s="78" t="s">
        <v>1499</v>
      </c>
      <c r="E666" s="78" t="s">
        <v>5909</v>
      </c>
      <c r="F666" s="45" t="s">
        <v>8160</v>
      </c>
      <c r="G666" s="46" t="s">
        <v>1501</v>
      </c>
      <c r="H666" s="47" t="s">
        <v>24</v>
      </c>
      <c r="I666" s="118"/>
      <c r="J666" s="155"/>
      <c r="K666" s="155"/>
      <c r="L666" s="155"/>
      <c r="M666" s="155"/>
      <c r="N666" s="155"/>
      <c r="O666" s="155"/>
    </row>
    <row r="667" spans="1:15" ht="82.5">
      <c r="A667" s="397"/>
      <c r="B667" s="44" t="s">
        <v>1485</v>
      </c>
      <c r="C667" s="45" t="s">
        <v>8161</v>
      </c>
      <c r="D667" s="78" t="s">
        <v>1503</v>
      </c>
      <c r="E667" s="78" t="s">
        <v>5909</v>
      </c>
      <c r="F667" s="45" t="s">
        <v>8162</v>
      </c>
      <c r="G667" s="46" t="s">
        <v>1505</v>
      </c>
      <c r="H667" s="47" t="s">
        <v>24</v>
      </c>
      <c r="I667" s="118"/>
      <c r="J667" s="155"/>
      <c r="K667" s="155"/>
      <c r="L667" s="155"/>
      <c r="M667" s="155"/>
      <c r="N667" s="155"/>
      <c r="O667" s="155"/>
    </row>
    <row r="668" spans="1:15" ht="82.5">
      <c r="A668" s="397"/>
      <c r="B668" s="44" t="s">
        <v>1485</v>
      </c>
      <c r="C668" s="45" t="s">
        <v>8163</v>
      </c>
      <c r="D668" s="78" t="s">
        <v>1507</v>
      </c>
      <c r="E668" s="78" t="s">
        <v>5909</v>
      </c>
      <c r="F668" s="45" t="s">
        <v>8164</v>
      </c>
      <c r="G668" s="46" t="s">
        <v>1509</v>
      </c>
      <c r="H668" s="47" t="s">
        <v>24</v>
      </c>
      <c r="I668" s="118"/>
      <c r="J668" s="155"/>
      <c r="K668" s="155"/>
      <c r="L668" s="155"/>
      <c r="M668" s="155"/>
      <c r="N668" s="155"/>
      <c r="O668" s="155"/>
    </row>
    <row r="669" spans="1:15" ht="165">
      <c r="A669" s="397"/>
      <c r="B669" s="44" t="s">
        <v>1485</v>
      </c>
      <c r="C669" s="45" t="s">
        <v>8165</v>
      </c>
      <c r="D669" s="78" t="s">
        <v>1511</v>
      </c>
      <c r="E669" s="78" t="s">
        <v>5909</v>
      </c>
      <c r="F669" s="45" t="s">
        <v>1512</v>
      </c>
      <c r="G669" s="46" t="s">
        <v>1513</v>
      </c>
      <c r="H669" s="47" t="s">
        <v>24</v>
      </c>
      <c r="I669" s="118"/>
      <c r="J669" s="155"/>
      <c r="K669" s="155"/>
      <c r="L669" s="155"/>
      <c r="M669" s="155"/>
      <c r="N669" s="155"/>
      <c r="O669" s="155"/>
    </row>
    <row r="670" spans="1:15" ht="297">
      <c r="A670" s="397"/>
      <c r="B670" s="44" t="s">
        <v>1485</v>
      </c>
      <c r="C670" s="45" t="s">
        <v>8166</v>
      </c>
      <c r="D670" s="78" t="s">
        <v>1515</v>
      </c>
      <c r="E670" s="78" t="s">
        <v>5909</v>
      </c>
      <c r="F670" s="45" t="s">
        <v>8167</v>
      </c>
      <c r="G670" s="46" t="s">
        <v>1517</v>
      </c>
      <c r="H670" s="47" t="s">
        <v>24</v>
      </c>
      <c r="I670" s="118"/>
      <c r="J670" s="155"/>
      <c r="K670" s="155"/>
      <c r="L670" s="155"/>
      <c r="M670" s="155"/>
      <c r="N670" s="155"/>
      <c r="O670" s="155"/>
    </row>
    <row r="671" spans="1:15" ht="297">
      <c r="A671" s="397"/>
      <c r="B671" s="44" t="s">
        <v>1485</v>
      </c>
      <c r="C671" s="45" t="s">
        <v>8168</v>
      </c>
      <c r="D671" s="78" t="s">
        <v>1519</v>
      </c>
      <c r="E671" s="78" t="s">
        <v>5909</v>
      </c>
      <c r="F671" s="45" t="s">
        <v>8169</v>
      </c>
      <c r="G671" s="46" t="s">
        <v>1517</v>
      </c>
      <c r="H671" s="47" t="s">
        <v>24</v>
      </c>
      <c r="I671" s="118"/>
      <c r="J671" s="155"/>
      <c r="K671" s="155"/>
      <c r="L671" s="155"/>
      <c r="M671" s="155"/>
      <c r="N671" s="155"/>
      <c r="O671" s="155"/>
    </row>
    <row r="672" spans="1:15" ht="297">
      <c r="A672" s="397"/>
      <c r="B672" s="44" t="s">
        <v>1485</v>
      </c>
      <c r="C672" s="45" t="s">
        <v>8170</v>
      </c>
      <c r="D672" s="78" t="s">
        <v>8171</v>
      </c>
      <c r="E672" s="78" t="s">
        <v>5909</v>
      </c>
      <c r="F672" s="45" t="s">
        <v>8172</v>
      </c>
      <c r="G672" s="46" t="s">
        <v>1517</v>
      </c>
      <c r="H672" s="47" t="s">
        <v>30</v>
      </c>
      <c r="I672" s="118"/>
      <c r="J672" s="155"/>
      <c r="K672" s="155"/>
      <c r="L672" s="155"/>
      <c r="M672" s="155"/>
      <c r="N672" s="155"/>
      <c r="O672" s="155"/>
    </row>
    <row r="673" spans="1:15" ht="297">
      <c r="A673" s="397"/>
      <c r="B673" s="44" t="s">
        <v>1485</v>
      </c>
      <c r="C673" s="45" t="s">
        <v>8173</v>
      </c>
      <c r="D673" s="78" t="s">
        <v>1522</v>
      </c>
      <c r="E673" s="78" t="s">
        <v>5909</v>
      </c>
      <c r="F673" s="45" t="s">
        <v>8174</v>
      </c>
      <c r="G673" s="46" t="s">
        <v>1517</v>
      </c>
      <c r="H673" s="47" t="s">
        <v>36</v>
      </c>
      <c r="I673" s="118"/>
      <c r="J673" s="155"/>
      <c r="K673" s="155"/>
      <c r="L673" s="155"/>
      <c r="M673" s="155"/>
      <c r="N673" s="155"/>
      <c r="O673" s="155"/>
    </row>
    <row r="674" spans="1:15" ht="363">
      <c r="A674" s="397"/>
      <c r="B674" s="44" t="s">
        <v>1485</v>
      </c>
      <c r="C674" s="45" t="s">
        <v>8175</v>
      </c>
      <c r="D674" s="78" t="s">
        <v>1525</v>
      </c>
      <c r="E674" s="78" t="s">
        <v>5909</v>
      </c>
      <c r="F674" s="45" t="s">
        <v>8176</v>
      </c>
      <c r="G674" s="46" t="s">
        <v>1526</v>
      </c>
      <c r="H674" s="47" t="s">
        <v>24</v>
      </c>
      <c r="I674" s="118"/>
      <c r="J674" s="155"/>
      <c r="K674" s="155"/>
      <c r="L674" s="155"/>
      <c r="M674" s="155"/>
      <c r="N674" s="155"/>
      <c r="O674" s="155"/>
    </row>
    <row r="675" spans="1:15" ht="363">
      <c r="A675" s="397"/>
      <c r="B675" s="44" t="s">
        <v>1485</v>
      </c>
      <c r="C675" s="45" t="s">
        <v>8177</v>
      </c>
      <c r="D675" s="78" t="s">
        <v>1525</v>
      </c>
      <c r="E675" s="78" t="s">
        <v>5909</v>
      </c>
      <c r="F675" s="45" t="s">
        <v>8178</v>
      </c>
      <c r="G675" s="46" t="s">
        <v>1528</v>
      </c>
      <c r="H675" s="47" t="s">
        <v>24</v>
      </c>
      <c r="I675" s="118"/>
      <c r="J675" s="155"/>
      <c r="K675" s="155"/>
      <c r="L675" s="155"/>
      <c r="M675" s="155"/>
      <c r="N675" s="155"/>
      <c r="O675" s="155"/>
    </row>
    <row r="676" spans="1:15" ht="363">
      <c r="A676" s="397"/>
      <c r="B676" s="44" t="s">
        <v>1485</v>
      </c>
      <c r="C676" s="45" t="s">
        <v>8179</v>
      </c>
      <c r="D676" s="78" t="s">
        <v>1525</v>
      </c>
      <c r="E676" s="78" t="s">
        <v>5909</v>
      </c>
      <c r="F676" s="45" t="s">
        <v>8180</v>
      </c>
      <c r="G676" s="46" t="s">
        <v>1530</v>
      </c>
      <c r="H676" s="47" t="s">
        <v>24</v>
      </c>
      <c r="I676" s="118"/>
      <c r="J676" s="155"/>
      <c r="K676" s="155"/>
      <c r="L676" s="155"/>
      <c r="M676" s="155"/>
      <c r="N676" s="155"/>
      <c r="O676" s="155"/>
    </row>
    <row r="677" spans="1:15" ht="379.5">
      <c r="A677" s="397"/>
      <c r="B677" s="44" t="s">
        <v>1485</v>
      </c>
      <c r="C677" s="45" t="s">
        <v>8181</v>
      </c>
      <c r="D677" s="78" t="s">
        <v>1532</v>
      </c>
      <c r="E677" s="78" t="s">
        <v>5909</v>
      </c>
      <c r="F677" s="45" t="s">
        <v>8182</v>
      </c>
      <c r="G677" s="46" t="s">
        <v>1533</v>
      </c>
      <c r="H677" s="47" t="s">
        <v>24</v>
      </c>
      <c r="I677" s="118"/>
      <c r="J677" s="155"/>
      <c r="K677" s="155"/>
      <c r="L677" s="155"/>
      <c r="M677" s="155"/>
      <c r="N677" s="155"/>
      <c r="O677" s="155"/>
    </row>
    <row r="678" spans="1:15" ht="297">
      <c r="A678" s="397"/>
      <c r="B678" s="44" t="s">
        <v>1485</v>
      </c>
      <c r="C678" s="45" t="s">
        <v>8183</v>
      </c>
      <c r="D678" s="78" t="s">
        <v>1535</v>
      </c>
      <c r="E678" s="78" t="s">
        <v>5909</v>
      </c>
      <c r="F678" s="45" t="s">
        <v>8184</v>
      </c>
      <c r="G678" s="46" t="s">
        <v>1537</v>
      </c>
      <c r="H678" s="47" t="s">
        <v>24</v>
      </c>
      <c r="I678" s="118"/>
      <c r="J678" s="155"/>
      <c r="K678" s="155"/>
      <c r="L678" s="155"/>
      <c r="M678" s="155"/>
      <c r="N678" s="155"/>
      <c r="O678" s="155"/>
    </row>
    <row r="679" spans="1:15" ht="247.5">
      <c r="A679" s="397"/>
      <c r="B679" s="44" t="s">
        <v>1485</v>
      </c>
      <c r="C679" s="45" t="s">
        <v>8185</v>
      </c>
      <c r="D679" s="78" t="s">
        <v>1539</v>
      </c>
      <c r="E679" s="78" t="s">
        <v>5909</v>
      </c>
      <c r="F679" s="45" t="s">
        <v>8186</v>
      </c>
      <c r="G679" s="46" t="s">
        <v>1541</v>
      </c>
      <c r="H679" s="47" t="s">
        <v>36</v>
      </c>
      <c r="I679" s="118"/>
      <c r="J679" s="155"/>
      <c r="K679" s="155"/>
      <c r="L679" s="155"/>
      <c r="M679" s="155"/>
      <c r="N679" s="155"/>
      <c r="O679" s="155"/>
    </row>
    <row r="680" spans="1:15" ht="297">
      <c r="A680" s="397"/>
      <c r="B680" s="44" t="s">
        <v>1485</v>
      </c>
      <c r="C680" s="45" t="s">
        <v>8187</v>
      </c>
      <c r="D680" s="78" t="s">
        <v>8188</v>
      </c>
      <c r="E680" s="78" t="s">
        <v>5909</v>
      </c>
      <c r="F680" s="45" t="s">
        <v>8189</v>
      </c>
      <c r="G680" s="46" t="s">
        <v>1545</v>
      </c>
      <c r="H680" s="47" t="s">
        <v>24</v>
      </c>
      <c r="I680" s="118"/>
      <c r="J680" s="155"/>
      <c r="K680" s="155"/>
      <c r="L680" s="155"/>
      <c r="M680" s="155"/>
      <c r="N680" s="155"/>
      <c r="O680" s="155"/>
    </row>
    <row r="681" spans="1:15" ht="313.5">
      <c r="A681" s="397"/>
      <c r="B681" s="44" t="s">
        <v>1485</v>
      </c>
      <c r="C681" s="45" t="s">
        <v>8190</v>
      </c>
      <c r="D681" s="78" t="s">
        <v>1543</v>
      </c>
      <c r="E681" s="78" t="s">
        <v>5909</v>
      </c>
      <c r="F681" s="45" t="s">
        <v>8191</v>
      </c>
      <c r="G681" s="46" t="s">
        <v>1545</v>
      </c>
      <c r="H681" s="47" t="s">
        <v>41</v>
      </c>
      <c r="I681" s="118"/>
      <c r="J681" s="155"/>
      <c r="K681" s="155"/>
      <c r="L681" s="155"/>
      <c r="M681" s="155"/>
      <c r="N681" s="155"/>
      <c r="O681" s="155"/>
    </row>
    <row r="682" spans="1:15" ht="313.5">
      <c r="A682" s="397"/>
      <c r="B682" s="44" t="s">
        <v>1485</v>
      </c>
      <c r="C682" s="45" t="s">
        <v>8192</v>
      </c>
      <c r="D682" s="78" t="s">
        <v>1547</v>
      </c>
      <c r="E682" s="78" t="s">
        <v>5909</v>
      </c>
      <c r="F682" s="45" t="s">
        <v>8193</v>
      </c>
      <c r="G682" s="46" t="s">
        <v>1545</v>
      </c>
      <c r="H682" s="47" t="s">
        <v>24</v>
      </c>
      <c r="I682" s="118"/>
      <c r="J682" s="155"/>
      <c r="K682" s="155"/>
      <c r="L682" s="155"/>
      <c r="M682" s="155"/>
      <c r="N682" s="155"/>
      <c r="O682" s="155"/>
    </row>
    <row r="683" spans="1:15" ht="379.5">
      <c r="A683" s="397"/>
      <c r="B683" s="44" t="s">
        <v>1485</v>
      </c>
      <c r="C683" s="45" t="s">
        <v>8194</v>
      </c>
      <c r="D683" s="78" t="s">
        <v>1550</v>
      </c>
      <c r="E683" s="78" t="s">
        <v>5909</v>
      </c>
      <c r="F683" s="45" t="s">
        <v>8195</v>
      </c>
      <c r="G683" s="46" t="s">
        <v>1545</v>
      </c>
      <c r="H683" s="47" t="s">
        <v>24</v>
      </c>
      <c r="I683" s="118"/>
      <c r="J683" s="155"/>
      <c r="K683" s="155"/>
      <c r="L683" s="155"/>
      <c r="M683" s="155"/>
      <c r="N683" s="155"/>
      <c r="O683" s="155"/>
    </row>
    <row r="684" spans="1:15" ht="379.5">
      <c r="A684" s="397"/>
      <c r="B684" s="44" t="s">
        <v>1485</v>
      </c>
      <c r="C684" s="45" t="s">
        <v>8196</v>
      </c>
      <c r="D684" s="78" t="s">
        <v>1550</v>
      </c>
      <c r="E684" s="78" t="s">
        <v>5909</v>
      </c>
      <c r="F684" s="45" t="s">
        <v>8197</v>
      </c>
      <c r="G684" s="46" t="s">
        <v>1545</v>
      </c>
      <c r="H684" s="47" t="s">
        <v>24</v>
      </c>
      <c r="I684" s="118"/>
      <c r="J684" s="155"/>
      <c r="K684" s="155"/>
      <c r="L684" s="155"/>
      <c r="M684" s="155"/>
      <c r="N684" s="155"/>
      <c r="O684" s="155"/>
    </row>
    <row r="685" spans="1:15" ht="379.5">
      <c r="A685" s="397"/>
      <c r="B685" s="44" t="s">
        <v>1485</v>
      </c>
      <c r="C685" s="45" t="s">
        <v>8198</v>
      </c>
      <c r="D685" s="78" t="s">
        <v>1550</v>
      </c>
      <c r="E685" s="78" t="s">
        <v>5909</v>
      </c>
      <c r="F685" s="45" t="s">
        <v>8199</v>
      </c>
      <c r="G685" s="46" t="s">
        <v>1545</v>
      </c>
      <c r="H685" s="47" t="s">
        <v>24</v>
      </c>
      <c r="I685" s="118"/>
      <c r="J685" s="155"/>
      <c r="K685" s="155"/>
      <c r="L685" s="155"/>
      <c r="M685" s="155"/>
      <c r="N685" s="155"/>
      <c r="O685" s="155"/>
    </row>
    <row r="686" spans="1:15" ht="379.5">
      <c r="A686" s="397"/>
      <c r="B686" s="44" t="s">
        <v>1485</v>
      </c>
      <c r="C686" s="45" t="s">
        <v>8200</v>
      </c>
      <c r="D686" s="78" t="s">
        <v>1550</v>
      </c>
      <c r="E686" s="78" t="s">
        <v>5909</v>
      </c>
      <c r="F686" s="45" t="s">
        <v>8201</v>
      </c>
      <c r="G686" s="46" t="s">
        <v>1555</v>
      </c>
      <c r="H686" s="47" t="s">
        <v>24</v>
      </c>
      <c r="I686" s="118"/>
      <c r="J686" s="155"/>
      <c r="K686" s="155"/>
      <c r="L686" s="155"/>
      <c r="M686" s="155"/>
      <c r="N686" s="155"/>
      <c r="O686" s="155"/>
    </row>
    <row r="687" spans="1:15" ht="297">
      <c r="A687" s="397"/>
      <c r="B687" s="44" t="s">
        <v>1485</v>
      </c>
      <c r="C687" s="45" t="s">
        <v>8202</v>
      </c>
      <c r="D687" s="78" t="s">
        <v>1557</v>
      </c>
      <c r="E687" s="78" t="s">
        <v>5909</v>
      </c>
      <c r="F687" s="45" t="s">
        <v>8203</v>
      </c>
      <c r="G687" s="46" t="s">
        <v>1545</v>
      </c>
      <c r="H687" s="47" t="s">
        <v>30</v>
      </c>
      <c r="I687" s="118"/>
      <c r="J687" s="155"/>
      <c r="K687" s="155"/>
      <c r="L687" s="155"/>
      <c r="M687" s="155"/>
      <c r="N687" s="155"/>
      <c r="O687" s="155"/>
    </row>
    <row r="688" spans="1:15" ht="280.5">
      <c r="A688" s="397"/>
      <c r="B688" s="44" t="s">
        <v>1485</v>
      </c>
      <c r="C688" s="45" t="s">
        <v>8204</v>
      </c>
      <c r="D688" s="78" t="s">
        <v>1559</v>
      </c>
      <c r="E688" s="78" t="s">
        <v>5909</v>
      </c>
      <c r="F688" s="45" t="s">
        <v>8205</v>
      </c>
      <c r="G688" s="46" t="s">
        <v>1541</v>
      </c>
      <c r="H688" s="47" t="s">
        <v>36</v>
      </c>
      <c r="I688" s="118"/>
      <c r="J688" s="155"/>
      <c r="K688" s="155"/>
      <c r="L688" s="155"/>
      <c r="M688" s="155"/>
      <c r="N688" s="155"/>
      <c r="O688" s="155"/>
    </row>
    <row r="689" spans="1:15" ht="297">
      <c r="A689" s="397"/>
      <c r="B689" s="44" t="s">
        <v>1485</v>
      </c>
      <c r="C689" s="45" t="s">
        <v>8206</v>
      </c>
      <c r="D689" s="78" t="s">
        <v>1562</v>
      </c>
      <c r="E689" s="78" t="s">
        <v>5909</v>
      </c>
      <c r="F689" s="45" t="s">
        <v>8207</v>
      </c>
      <c r="G689" s="46" t="s">
        <v>1563</v>
      </c>
      <c r="H689" s="47" t="s">
        <v>24</v>
      </c>
      <c r="I689" s="118"/>
      <c r="J689" s="155"/>
      <c r="K689" s="155"/>
      <c r="L689" s="155"/>
      <c r="M689" s="155"/>
      <c r="N689" s="155"/>
      <c r="O689" s="155"/>
    </row>
    <row r="690" spans="1:15" ht="313.5">
      <c r="A690" s="397"/>
      <c r="B690" s="44" t="s">
        <v>1485</v>
      </c>
      <c r="C690" s="45" t="s">
        <v>8208</v>
      </c>
      <c r="D690" s="78" t="s">
        <v>1565</v>
      </c>
      <c r="E690" s="78" t="s">
        <v>5909</v>
      </c>
      <c r="F690" s="45" t="s">
        <v>8209</v>
      </c>
      <c r="G690" s="46" t="s">
        <v>1563</v>
      </c>
      <c r="H690" s="47" t="s">
        <v>24</v>
      </c>
      <c r="I690" s="118"/>
      <c r="J690" s="155"/>
      <c r="K690" s="155"/>
      <c r="L690" s="155"/>
      <c r="M690" s="155"/>
      <c r="N690" s="155"/>
      <c r="O690" s="155"/>
    </row>
    <row r="691" spans="1:15" ht="297">
      <c r="A691" s="397"/>
      <c r="B691" s="44" t="s">
        <v>1485</v>
      </c>
      <c r="C691" s="45" t="s">
        <v>8210</v>
      </c>
      <c r="D691" s="78" t="s">
        <v>8211</v>
      </c>
      <c r="E691" s="78" t="s">
        <v>5909</v>
      </c>
      <c r="F691" s="45" t="s">
        <v>8212</v>
      </c>
      <c r="G691" s="46" t="s">
        <v>1563</v>
      </c>
      <c r="H691" s="47" t="s">
        <v>24</v>
      </c>
      <c r="I691" s="118"/>
      <c r="J691" s="155"/>
      <c r="K691" s="155"/>
      <c r="L691" s="155"/>
      <c r="M691" s="155"/>
      <c r="N691" s="155"/>
      <c r="O691" s="155"/>
    </row>
    <row r="692" spans="1:15" ht="363">
      <c r="A692" s="397"/>
      <c r="B692" s="44" t="s">
        <v>1485</v>
      </c>
      <c r="C692" s="45" t="s">
        <v>8213</v>
      </c>
      <c r="D692" s="78" t="s">
        <v>1568</v>
      </c>
      <c r="E692" s="78" t="s">
        <v>5909</v>
      </c>
      <c r="F692" s="45" t="s">
        <v>8214</v>
      </c>
      <c r="G692" s="46" t="s">
        <v>1563</v>
      </c>
      <c r="H692" s="47" t="s">
        <v>24</v>
      </c>
      <c r="I692" s="118"/>
      <c r="J692" s="155"/>
      <c r="K692" s="155"/>
      <c r="L692" s="155"/>
      <c r="M692" s="155"/>
      <c r="N692" s="155"/>
      <c r="O692" s="155"/>
    </row>
    <row r="693" spans="1:15" ht="363">
      <c r="A693" s="397"/>
      <c r="B693" s="44" t="s">
        <v>1485</v>
      </c>
      <c r="C693" s="45" t="s">
        <v>8215</v>
      </c>
      <c r="D693" s="78" t="s">
        <v>1570</v>
      </c>
      <c r="E693" s="78" t="s">
        <v>5909</v>
      </c>
      <c r="F693" s="45" t="s">
        <v>8216</v>
      </c>
      <c r="G693" s="46" t="s">
        <v>1563</v>
      </c>
      <c r="H693" s="47" t="s">
        <v>24</v>
      </c>
      <c r="I693" s="118"/>
      <c r="J693" s="155"/>
      <c r="K693" s="155"/>
      <c r="L693" s="155"/>
      <c r="M693" s="155"/>
      <c r="N693" s="155"/>
      <c r="O693" s="155"/>
    </row>
    <row r="694" spans="1:15" ht="363">
      <c r="A694" s="397"/>
      <c r="B694" s="44" t="s">
        <v>1485</v>
      </c>
      <c r="C694" s="45" t="s">
        <v>8217</v>
      </c>
      <c r="D694" s="78" t="s">
        <v>1573</v>
      </c>
      <c r="E694" s="78" t="s">
        <v>5909</v>
      </c>
      <c r="F694" s="45" t="s">
        <v>8218</v>
      </c>
      <c r="G694" s="46" t="s">
        <v>1575</v>
      </c>
      <c r="H694" s="47" t="s">
        <v>24</v>
      </c>
      <c r="I694" s="118"/>
      <c r="J694" s="155"/>
      <c r="K694" s="155"/>
      <c r="L694" s="155"/>
      <c r="M694" s="155"/>
      <c r="N694" s="155"/>
      <c r="O694" s="155"/>
    </row>
    <row r="695" spans="1:15" ht="363">
      <c r="A695" s="397"/>
      <c r="B695" s="44" t="s">
        <v>1485</v>
      </c>
      <c r="C695" s="45" t="s">
        <v>8219</v>
      </c>
      <c r="D695" s="78" t="s">
        <v>1577</v>
      </c>
      <c r="E695" s="78" t="s">
        <v>5909</v>
      </c>
      <c r="F695" s="45" t="s">
        <v>8220</v>
      </c>
      <c r="G695" s="46" t="s">
        <v>1579</v>
      </c>
      <c r="H695" s="47" t="s">
        <v>24</v>
      </c>
      <c r="I695" s="118"/>
      <c r="J695" s="155"/>
      <c r="K695" s="155"/>
      <c r="L695" s="155"/>
      <c r="M695" s="155"/>
      <c r="N695" s="155"/>
      <c r="O695" s="155"/>
    </row>
    <row r="696" spans="1:15" ht="297">
      <c r="A696" s="397"/>
      <c r="B696" s="44" t="s">
        <v>1485</v>
      </c>
      <c r="C696" s="45" t="s">
        <v>8221</v>
      </c>
      <c r="D696" s="78" t="s">
        <v>1581</v>
      </c>
      <c r="E696" s="78" t="s">
        <v>5909</v>
      </c>
      <c r="F696" s="45" t="s">
        <v>8222</v>
      </c>
      <c r="G696" s="46" t="s">
        <v>1563</v>
      </c>
      <c r="H696" s="47" t="s">
        <v>30</v>
      </c>
      <c r="I696" s="118"/>
      <c r="J696" s="155"/>
      <c r="K696" s="155"/>
      <c r="L696" s="155"/>
      <c r="M696" s="155"/>
      <c r="N696" s="155"/>
      <c r="O696" s="155"/>
    </row>
    <row r="697" spans="1:15" ht="313.5">
      <c r="A697" s="397"/>
      <c r="B697" s="44" t="s">
        <v>1485</v>
      </c>
      <c r="C697" s="45" t="s">
        <v>8223</v>
      </c>
      <c r="D697" s="78" t="s">
        <v>1584</v>
      </c>
      <c r="E697" s="78" t="s">
        <v>5909</v>
      </c>
      <c r="F697" s="45" t="s">
        <v>8224</v>
      </c>
      <c r="G697" s="46" t="s">
        <v>1579</v>
      </c>
      <c r="H697" s="47" t="s">
        <v>41</v>
      </c>
      <c r="I697" s="118"/>
      <c r="J697" s="155"/>
      <c r="K697" s="155"/>
      <c r="L697" s="155"/>
      <c r="M697" s="155"/>
      <c r="N697" s="155"/>
      <c r="O697" s="155"/>
    </row>
    <row r="698" spans="1:15" ht="181.5">
      <c r="A698" s="397"/>
      <c r="B698" s="44" t="s">
        <v>1485</v>
      </c>
      <c r="C698" s="45" t="s">
        <v>8225</v>
      </c>
      <c r="D698" s="78" t="s">
        <v>1587</v>
      </c>
      <c r="E698" s="78" t="s">
        <v>5909</v>
      </c>
      <c r="F698" s="45" t="s">
        <v>8226</v>
      </c>
      <c r="G698" s="46" t="s">
        <v>1589</v>
      </c>
      <c r="H698" s="47" t="s">
        <v>36</v>
      </c>
      <c r="I698" s="118"/>
      <c r="J698" s="155"/>
      <c r="K698" s="155"/>
      <c r="L698" s="155"/>
      <c r="M698" s="155"/>
      <c r="N698" s="155"/>
      <c r="O698" s="155"/>
    </row>
    <row r="699" spans="1:15" ht="198">
      <c r="A699" s="397"/>
      <c r="B699" s="44" t="s">
        <v>1485</v>
      </c>
      <c r="C699" s="45" t="s">
        <v>8227</v>
      </c>
      <c r="D699" s="78" t="s">
        <v>1591</v>
      </c>
      <c r="E699" s="78" t="s">
        <v>5909</v>
      </c>
      <c r="F699" s="45" t="s">
        <v>8228</v>
      </c>
      <c r="G699" s="46" t="s">
        <v>1589</v>
      </c>
      <c r="H699" s="47" t="s">
        <v>62</v>
      </c>
      <c r="I699" s="118"/>
      <c r="J699" s="155"/>
      <c r="K699" s="155"/>
      <c r="L699" s="155"/>
      <c r="M699" s="155"/>
      <c r="N699" s="155"/>
      <c r="O699" s="155"/>
    </row>
    <row r="700" spans="1:15" ht="247.5">
      <c r="A700" s="397"/>
      <c r="B700" s="44" t="s">
        <v>1485</v>
      </c>
      <c r="C700" s="45" t="s">
        <v>8229</v>
      </c>
      <c r="D700" s="78" t="s">
        <v>1594</v>
      </c>
      <c r="E700" s="78" t="s">
        <v>5909</v>
      </c>
      <c r="F700" s="45" t="s">
        <v>8230</v>
      </c>
      <c r="G700" s="46" t="s">
        <v>1541</v>
      </c>
      <c r="H700" s="47" t="s">
        <v>36</v>
      </c>
      <c r="I700" s="118"/>
      <c r="J700" s="155"/>
      <c r="K700" s="155"/>
      <c r="L700" s="155"/>
      <c r="M700" s="155"/>
      <c r="N700" s="155"/>
      <c r="O700" s="155"/>
    </row>
    <row r="701" spans="1:15" ht="99">
      <c r="A701" s="397"/>
      <c r="B701" s="44" t="s">
        <v>1485</v>
      </c>
      <c r="C701" s="45" t="s">
        <v>8231</v>
      </c>
      <c r="D701" s="78" t="s">
        <v>1597</v>
      </c>
      <c r="E701" s="78" t="s">
        <v>5909</v>
      </c>
      <c r="F701" s="45" t="s">
        <v>1598</v>
      </c>
      <c r="G701" s="46" t="s">
        <v>1599</v>
      </c>
      <c r="H701" s="47" t="s">
        <v>24</v>
      </c>
      <c r="I701" s="118"/>
      <c r="J701" s="155"/>
      <c r="K701" s="155"/>
      <c r="L701" s="155"/>
      <c r="M701" s="155"/>
      <c r="N701" s="155"/>
      <c r="O701" s="155"/>
    </row>
    <row r="702" spans="1:15" ht="297">
      <c r="A702" s="397"/>
      <c r="B702" s="44" t="s">
        <v>1485</v>
      </c>
      <c r="C702" s="45" t="s">
        <v>8232</v>
      </c>
      <c r="D702" s="78" t="s">
        <v>8233</v>
      </c>
      <c r="E702" s="78" t="s">
        <v>5909</v>
      </c>
      <c r="F702" s="45" t="s">
        <v>8234</v>
      </c>
      <c r="G702" s="46" t="s">
        <v>1602</v>
      </c>
      <c r="H702" s="47" t="s">
        <v>41</v>
      </c>
      <c r="I702" s="118"/>
      <c r="J702" s="155"/>
      <c r="K702" s="155"/>
      <c r="L702" s="155"/>
      <c r="M702" s="155"/>
      <c r="N702" s="155"/>
      <c r="O702" s="155"/>
    </row>
    <row r="703" spans="1:15" ht="313.5">
      <c r="A703" s="397"/>
      <c r="B703" s="44" t="s">
        <v>1485</v>
      </c>
      <c r="C703" s="45" t="s">
        <v>8235</v>
      </c>
      <c r="D703" s="78" t="s">
        <v>1600</v>
      </c>
      <c r="E703" s="78" t="s">
        <v>5909</v>
      </c>
      <c r="F703" s="45" t="s">
        <v>8236</v>
      </c>
      <c r="G703" s="46" t="s">
        <v>1602</v>
      </c>
      <c r="H703" s="47" t="s">
        <v>24</v>
      </c>
      <c r="I703" s="118"/>
      <c r="J703" s="155"/>
      <c r="K703" s="155"/>
      <c r="L703" s="155"/>
      <c r="M703" s="155"/>
      <c r="N703" s="155"/>
      <c r="O703" s="155"/>
    </row>
    <row r="704" spans="1:15" ht="313.5">
      <c r="A704" s="397"/>
      <c r="B704" s="44" t="s">
        <v>1485</v>
      </c>
      <c r="C704" s="45" t="s">
        <v>8237</v>
      </c>
      <c r="D704" s="78" t="s">
        <v>1604</v>
      </c>
      <c r="E704" s="78" t="s">
        <v>5909</v>
      </c>
      <c r="F704" s="45" t="s">
        <v>8238</v>
      </c>
      <c r="G704" s="46" t="s">
        <v>1602</v>
      </c>
      <c r="H704" s="47" t="s">
        <v>24</v>
      </c>
      <c r="I704" s="118"/>
      <c r="J704" s="155"/>
      <c r="K704" s="155"/>
      <c r="L704" s="155"/>
      <c r="M704" s="155"/>
      <c r="N704" s="155"/>
      <c r="O704" s="155"/>
    </row>
    <row r="705" spans="1:15" ht="297">
      <c r="A705" s="397"/>
      <c r="B705" s="44" t="s">
        <v>1485</v>
      </c>
      <c r="C705" s="45" t="s">
        <v>8239</v>
      </c>
      <c r="D705" s="78" t="s">
        <v>1607</v>
      </c>
      <c r="E705" s="78" t="s">
        <v>5909</v>
      </c>
      <c r="F705" s="45" t="s">
        <v>8240</v>
      </c>
      <c r="G705" s="46" t="s">
        <v>1602</v>
      </c>
      <c r="H705" s="47" t="s">
        <v>30</v>
      </c>
      <c r="I705" s="118"/>
      <c r="J705" s="155"/>
      <c r="K705" s="155"/>
      <c r="L705" s="155"/>
      <c r="M705" s="155"/>
      <c r="N705" s="155"/>
      <c r="O705" s="155"/>
    </row>
    <row r="706" spans="1:15" ht="363">
      <c r="A706" s="397"/>
      <c r="B706" s="44" t="s">
        <v>1485</v>
      </c>
      <c r="C706" s="45" t="s">
        <v>8241</v>
      </c>
      <c r="D706" s="78" t="s">
        <v>1610</v>
      </c>
      <c r="E706" s="78" t="s">
        <v>5909</v>
      </c>
      <c r="F706" s="45" t="s">
        <v>8242</v>
      </c>
      <c r="G706" s="46" t="s">
        <v>1602</v>
      </c>
      <c r="H706" s="47" t="s">
        <v>24</v>
      </c>
      <c r="I706" s="118"/>
      <c r="J706" s="155"/>
      <c r="K706" s="155"/>
      <c r="L706" s="155"/>
      <c r="M706" s="155"/>
      <c r="N706" s="155"/>
      <c r="O706" s="155"/>
    </row>
    <row r="707" spans="1:15" ht="363">
      <c r="A707" s="397"/>
      <c r="B707" s="44" t="s">
        <v>1485</v>
      </c>
      <c r="C707" s="45" t="s">
        <v>8243</v>
      </c>
      <c r="D707" s="78" t="s">
        <v>1613</v>
      </c>
      <c r="E707" s="78" t="s">
        <v>5909</v>
      </c>
      <c r="F707" s="45" t="s">
        <v>8244</v>
      </c>
      <c r="G707" s="46" t="s">
        <v>1602</v>
      </c>
      <c r="H707" s="47" t="s">
        <v>24</v>
      </c>
      <c r="I707" s="118"/>
      <c r="J707" s="155"/>
      <c r="K707" s="155"/>
      <c r="L707" s="155"/>
      <c r="M707" s="155"/>
      <c r="N707" s="155"/>
      <c r="O707" s="155"/>
    </row>
    <row r="708" spans="1:15" ht="363">
      <c r="A708" s="397"/>
      <c r="B708" s="44" t="s">
        <v>1485</v>
      </c>
      <c r="C708" s="45" t="s">
        <v>8245</v>
      </c>
      <c r="D708" s="78" t="s">
        <v>1616</v>
      </c>
      <c r="E708" s="78" t="s">
        <v>5909</v>
      </c>
      <c r="F708" s="45" t="s">
        <v>8246</v>
      </c>
      <c r="G708" s="46" t="s">
        <v>1602</v>
      </c>
      <c r="H708" s="47" t="s">
        <v>24</v>
      </c>
      <c r="I708" s="118"/>
      <c r="J708" s="155"/>
      <c r="K708" s="155"/>
      <c r="L708" s="155"/>
      <c r="M708" s="155"/>
      <c r="N708" s="155"/>
      <c r="O708" s="155"/>
    </row>
    <row r="709" spans="1:15" ht="247.5">
      <c r="A709" s="397"/>
      <c r="B709" s="44" t="s">
        <v>1485</v>
      </c>
      <c r="C709" s="45" t="s">
        <v>8247</v>
      </c>
      <c r="D709" s="78" t="s">
        <v>1619</v>
      </c>
      <c r="E709" s="78" t="s">
        <v>5909</v>
      </c>
      <c r="F709" s="45" t="s">
        <v>8248</v>
      </c>
      <c r="G709" s="46" t="s">
        <v>1621</v>
      </c>
      <c r="H709" s="47" t="s">
        <v>24</v>
      </c>
      <c r="I709" s="118"/>
      <c r="J709" s="155"/>
      <c r="K709" s="155"/>
      <c r="L709" s="155"/>
      <c r="M709" s="155"/>
      <c r="N709" s="155"/>
      <c r="O709" s="155"/>
    </row>
    <row r="710" spans="1:15" ht="280.5">
      <c r="A710" s="397"/>
      <c r="B710" s="44" t="s">
        <v>1485</v>
      </c>
      <c r="C710" s="45" t="s">
        <v>8249</v>
      </c>
      <c r="D710" s="78" t="s">
        <v>1633</v>
      </c>
      <c r="E710" s="78" t="s">
        <v>5909</v>
      </c>
      <c r="F710" s="45" t="s">
        <v>8250</v>
      </c>
      <c r="G710" s="46" t="s">
        <v>1541</v>
      </c>
      <c r="H710" s="47" t="s">
        <v>36</v>
      </c>
      <c r="I710" s="118"/>
      <c r="J710" s="155"/>
      <c r="K710" s="155"/>
      <c r="L710" s="155"/>
      <c r="M710" s="155"/>
      <c r="N710" s="155"/>
      <c r="O710" s="155"/>
    </row>
    <row r="711" spans="1:15" ht="264">
      <c r="A711" s="397"/>
      <c r="B711" s="150" t="s">
        <v>1485</v>
      </c>
      <c r="C711" s="57" t="s">
        <v>8251</v>
      </c>
      <c r="D711" s="144" t="s">
        <v>8252</v>
      </c>
      <c r="E711" s="144" t="s">
        <v>5909</v>
      </c>
      <c r="F711" s="57" t="s">
        <v>8253</v>
      </c>
      <c r="G711" s="145" t="s">
        <v>8254</v>
      </c>
      <c r="H711" s="47" t="s">
        <v>24</v>
      </c>
      <c r="I711" s="118"/>
      <c r="J711" s="155"/>
      <c r="K711" s="155"/>
      <c r="L711" s="155"/>
      <c r="M711" s="155"/>
      <c r="N711" s="155"/>
      <c r="O711" s="155"/>
    </row>
    <row r="712" spans="1:15" ht="198">
      <c r="A712" s="397"/>
      <c r="B712" s="150" t="s">
        <v>1485</v>
      </c>
      <c r="C712" s="57" t="s">
        <v>8255</v>
      </c>
      <c r="D712" s="144" t="s">
        <v>8256</v>
      </c>
      <c r="E712" s="144" t="s">
        <v>5909</v>
      </c>
      <c r="F712" s="57" t="s">
        <v>8257</v>
      </c>
      <c r="G712" s="145" t="s">
        <v>8258</v>
      </c>
      <c r="H712" s="47" t="s">
        <v>24</v>
      </c>
      <c r="I712" s="118"/>
      <c r="J712" s="155"/>
      <c r="K712" s="155"/>
      <c r="L712" s="155"/>
      <c r="M712" s="155"/>
      <c r="N712" s="155"/>
      <c r="O712" s="155"/>
    </row>
    <row r="713" spans="1:15" ht="330">
      <c r="A713" s="397"/>
      <c r="B713" s="150" t="s">
        <v>1485</v>
      </c>
      <c r="C713" s="57" t="s">
        <v>8259</v>
      </c>
      <c r="D713" s="144" t="s">
        <v>8260</v>
      </c>
      <c r="E713" s="144" t="s">
        <v>5909</v>
      </c>
      <c r="F713" s="57" t="s">
        <v>8261</v>
      </c>
      <c r="G713" s="145" t="s">
        <v>8262</v>
      </c>
      <c r="H713" s="47" t="s">
        <v>24</v>
      </c>
      <c r="I713" s="118"/>
      <c r="J713" s="155"/>
      <c r="K713" s="155"/>
      <c r="L713" s="155"/>
      <c r="M713" s="155"/>
      <c r="N713" s="155"/>
      <c r="O713" s="155"/>
    </row>
    <row r="714" spans="1:15" ht="313.5">
      <c r="A714" s="397"/>
      <c r="B714" s="150" t="s">
        <v>1485</v>
      </c>
      <c r="C714" s="57" t="s">
        <v>8263</v>
      </c>
      <c r="D714" s="144" t="s">
        <v>8264</v>
      </c>
      <c r="E714" s="144" t="s">
        <v>5909</v>
      </c>
      <c r="F714" s="57" t="s">
        <v>8265</v>
      </c>
      <c r="G714" s="145" t="s">
        <v>8262</v>
      </c>
      <c r="H714" s="47" t="s">
        <v>24</v>
      </c>
      <c r="I714" s="118"/>
      <c r="J714" s="155"/>
      <c r="K714" s="155"/>
      <c r="L714" s="155"/>
      <c r="M714" s="155"/>
      <c r="N714" s="155"/>
      <c r="O714" s="155"/>
    </row>
    <row r="715" spans="1:15" ht="330">
      <c r="A715" s="397"/>
      <c r="B715" s="150" t="s">
        <v>1485</v>
      </c>
      <c r="C715" s="57" t="s">
        <v>8266</v>
      </c>
      <c r="D715" s="144" t="s">
        <v>8267</v>
      </c>
      <c r="E715" s="144" t="s">
        <v>5909</v>
      </c>
      <c r="F715" s="57" t="s">
        <v>8268</v>
      </c>
      <c r="G715" s="145" t="s">
        <v>8262</v>
      </c>
      <c r="H715" s="47"/>
      <c r="I715" s="118"/>
      <c r="J715" s="155"/>
      <c r="K715" s="155"/>
      <c r="L715" s="155"/>
      <c r="M715" s="155"/>
      <c r="N715" s="155"/>
      <c r="O715" s="155"/>
    </row>
    <row r="716" spans="1:15" ht="115.5">
      <c r="A716" s="397"/>
      <c r="B716" s="150" t="s">
        <v>1485</v>
      </c>
      <c r="C716" s="57" t="s">
        <v>8269</v>
      </c>
      <c r="D716" s="144" t="s">
        <v>8270</v>
      </c>
      <c r="E716" s="144" t="s">
        <v>5909</v>
      </c>
      <c r="F716" s="57" t="s">
        <v>8271</v>
      </c>
      <c r="G716" s="145" t="s">
        <v>8272</v>
      </c>
      <c r="H716" s="47"/>
      <c r="I716" s="118"/>
      <c r="J716" s="155"/>
      <c r="K716" s="155"/>
      <c r="L716" s="155"/>
      <c r="M716" s="155"/>
      <c r="N716" s="155"/>
      <c r="O716" s="155"/>
    </row>
    <row r="717" spans="1:15" ht="148.5">
      <c r="A717" s="397"/>
      <c r="B717" s="150" t="s">
        <v>1485</v>
      </c>
      <c r="C717" s="57" t="s">
        <v>8273</v>
      </c>
      <c r="D717" s="144" t="s">
        <v>8274</v>
      </c>
      <c r="E717" s="144" t="s">
        <v>5909</v>
      </c>
      <c r="F717" s="57" t="s">
        <v>8275</v>
      </c>
      <c r="G717" s="145" t="s">
        <v>8272</v>
      </c>
      <c r="H717" s="47"/>
      <c r="I717" s="118"/>
      <c r="J717" s="155"/>
      <c r="K717" s="155"/>
      <c r="L717" s="155"/>
      <c r="M717" s="155"/>
      <c r="N717" s="155"/>
      <c r="O717" s="155"/>
    </row>
    <row r="718" spans="1:15" ht="132">
      <c r="A718" s="397"/>
      <c r="B718" s="150" t="s">
        <v>1485</v>
      </c>
      <c r="C718" s="57" t="s">
        <v>8276</v>
      </c>
      <c r="D718" s="144" t="s">
        <v>8277</v>
      </c>
      <c r="E718" s="144" t="s">
        <v>5909</v>
      </c>
      <c r="F718" s="57" t="s">
        <v>8278</v>
      </c>
      <c r="G718" s="145" t="s">
        <v>8279</v>
      </c>
      <c r="H718" s="47"/>
      <c r="I718" s="118"/>
      <c r="J718" s="155"/>
      <c r="K718" s="155"/>
      <c r="L718" s="155"/>
      <c r="M718" s="155"/>
      <c r="N718" s="155"/>
      <c r="O718" s="155"/>
    </row>
    <row r="719" spans="1:15" ht="132">
      <c r="A719" s="397"/>
      <c r="B719" s="150" t="s">
        <v>1485</v>
      </c>
      <c r="C719" s="57" t="s">
        <v>8280</v>
      </c>
      <c r="D719" s="144" t="s">
        <v>8281</v>
      </c>
      <c r="E719" s="144" t="s">
        <v>5909</v>
      </c>
      <c r="F719" s="57" t="s">
        <v>8282</v>
      </c>
      <c r="G719" s="145" t="s">
        <v>8279</v>
      </c>
      <c r="H719" s="47"/>
      <c r="I719" s="118"/>
      <c r="J719" s="155"/>
      <c r="K719" s="155"/>
      <c r="L719" s="155"/>
      <c r="M719" s="155"/>
      <c r="N719" s="155"/>
      <c r="O719" s="155"/>
    </row>
    <row r="720" spans="1:15" ht="148.5">
      <c r="A720" s="397"/>
      <c r="B720" s="44" t="s">
        <v>1485</v>
      </c>
      <c r="C720" s="45" t="s">
        <v>8283</v>
      </c>
      <c r="D720" s="78" t="s">
        <v>8284</v>
      </c>
      <c r="E720" s="78" t="s">
        <v>5909</v>
      </c>
      <c r="F720" s="45" t="s">
        <v>8285</v>
      </c>
      <c r="G720" s="46" t="s">
        <v>8286</v>
      </c>
      <c r="H720" s="47" t="s">
        <v>41</v>
      </c>
      <c r="I720" s="118"/>
      <c r="J720" s="155"/>
      <c r="K720" s="155"/>
      <c r="L720" s="155"/>
      <c r="M720" s="155"/>
      <c r="N720" s="155"/>
      <c r="O720" s="155"/>
    </row>
    <row r="721" spans="1:15" ht="148.5">
      <c r="A721" s="397"/>
      <c r="B721" s="44" t="s">
        <v>1485</v>
      </c>
      <c r="C721" s="45" t="s">
        <v>8287</v>
      </c>
      <c r="D721" s="78" t="s">
        <v>8288</v>
      </c>
      <c r="E721" s="78" t="s">
        <v>5909</v>
      </c>
      <c r="F721" s="45" t="s">
        <v>8289</v>
      </c>
      <c r="G721" s="46" t="s">
        <v>8290</v>
      </c>
      <c r="H721" s="47" t="s">
        <v>41</v>
      </c>
      <c r="I721" s="118"/>
      <c r="J721" s="155"/>
      <c r="K721" s="155"/>
      <c r="L721" s="155"/>
      <c r="M721" s="155"/>
      <c r="N721" s="155"/>
      <c r="O721" s="155"/>
    </row>
    <row r="722" spans="1:15" ht="148.5">
      <c r="A722" s="397"/>
      <c r="B722" s="44" t="s">
        <v>1485</v>
      </c>
      <c r="C722" s="45" t="s">
        <v>8291</v>
      </c>
      <c r="D722" s="78" t="s">
        <v>8292</v>
      </c>
      <c r="E722" s="78" t="s">
        <v>5909</v>
      </c>
      <c r="F722" s="45" t="s">
        <v>8293</v>
      </c>
      <c r="G722" s="46" t="s">
        <v>8294</v>
      </c>
      <c r="H722" s="47" t="s">
        <v>41</v>
      </c>
      <c r="I722" s="118"/>
      <c r="J722" s="155"/>
      <c r="K722" s="155"/>
      <c r="L722" s="155"/>
      <c r="M722" s="155"/>
      <c r="N722" s="155"/>
      <c r="O722" s="155"/>
    </row>
    <row r="723" spans="1:15" ht="148.5">
      <c r="A723" s="397"/>
      <c r="B723" s="44" t="s">
        <v>1485</v>
      </c>
      <c r="C723" s="45" t="s">
        <v>8295</v>
      </c>
      <c r="D723" s="78" t="s">
        <v>8296</v>
      </c>
      <c r="E723" s="78" t="s">
        <v>5909</v>
      </c>
      <c r="F723" s="45" t="s">
        <v>8297</v>
      </c>
      <c r="G723" s="46" t="s">
        <v>8298</v>
      </c>
      <c r="H723" s="47" t="s">
        <v>41</v>
      </c>
      <c r="I723" s="118"/>
      <c r="J723" s="155"/>
      <c r="K723" s="155"/>
      <c r="L723" s="155"/>
      <c r="M723" s="155"/>
      <c r="N723" s="155"/>
      <c r="O723" s="155"/>
    </row>
    <row r="724" spans="1:15" ht="148.5">
      <c r="A724" s="397"/>
      <c r="B724" s="44" t="s">
        <v>1485</v>
      </c>
      <c r="C724" s="45" t="s">
        <v>8299</v>
      </c>
      <c r="D724" s="78" t="s">
        <v>8300</v>
      </c>
      <c r="E724" s="78" t="s">
        <v>5909</v>
      </c>
      <c r="F724" s="45" t="s">
        <v>8301</v>
      </c>
      <c r="G724" s="46" t="s">
        <v>8302</v>
      </c>
      <c r="H724" s="47" t="s">
        <v>41</v>
      </c>
      <c r="I724" s="118"/>
      <c r="J724" s="155"/>
      <c r="K724" s="155"/>
      <c r="L724" s="155"/>
      <c r="M724" s="155"/>
      <c r="N724" s="155"/>
      <c r="O724" s="155"/>
    </row>
    <row r="725" spans="1:15" ht="148.5">
      <c r="A725" s="397"/>
      <c r="B725" s="44" t="s">
        <v>1485</v>
      </c>
      <c r="C725" s="45" t="s">
        <v>8303</v>
      </c>
      <c r="D725" s="78" t="s">
        <v>8304</v>
      </c>
      <c r="E725" s="78" t="s">
        <v>5909</v>
      </c>
      <c r="F725" s="45" t="s">
        <v>8305</v>
      </c>
      <c r="G725" s="46" t="s">
        <v>8306</v>
      </c>
      <c r="H725" s="47" t="s">
        <v>41</v>
      </c>
      <c r="I725" s="118"/>
      <c r="J725" s="155"/>
      <c r="K725" s="155"/>
      <c r="L725" s="155"/>
      <c r="M725" s="155"/>
      <c r="N725" s="155"/>
      <c r="O725" s="155"/>
    </row>
    <row r="726" spans="1:15" ht="148.5">
      <c r="A726" s="397"/>
      <c r="B726" s="44" t="s">
        <v>1485</v>
      </c>
      <c r="C726" s="45" t="s">
        <v>8307</v>
      </c>
      <c r="D726" s="78" t="s">
        <v>8308</v>
      </c>
      <c r="E726" s="78" t="s">
        <v>5909</v>
      </c>
      <c r="F726" s="45" t="s">
        <v>8309</v>
      </c>
      <c r="G726" s="46" t="s">
        <v>8310</v>
      </c>
      <c r="H726" s="47" t="s">
        <v>41</v>
      </c>
      <c r="I726" s="118"/>
      <c r="J726" s="155"/>
      <c r="K726" s="155"/>
      <c r="L726" s="155"/>
      <c r="M726" s="155"/>
      <c r="N726" s="155"/>
      <c r="O726" s="155"/>
    </row>
    <row r="727" spans="1:15" ht="148.5">
      <c r="A727" s="397"/>
      <c r="B727" s="44" t="s">
        <v>1485</v>
      </c>
      <c r="C727" s="110" t="s">
        <v>8311</v>
      </c>
      <c r="D727" s="78" t="s">
        <v>8312</v>
      </c>
      <c r="E727" s="78" t="s">
        <v>5909</v>
      </c>
      <c r="F727" s="45" t="s">
        <v>8313</v>
      </c>
      <c r="G727" s="46" t="s">
        <v>8314</v>
      </c>
      <c r="H727" s="47" t="s">
        <v>41</v>
      </c>
      <c r="I727" s="118"/>
      <c r="J727" s="155"/>
      <c r="K727" s="155"/>
      <c r="L727" s="155"/>
      <c r="M727" s="155"/>
      <c r="N727" s="155"/>
      <c r="O727" s="155"/>
    </row>
    <row r="728" spans="1:15" ht="330">
      <c r="A728" s="397"/>
      <c r="B728" s="44" t="s">
        <v>1485</v>
      </c>
      <c r="C728" s="110" t="s">
        <v>8315</v>
      </c>
      <c r="D728" s="78" t="s">
        <v>8316</v>
      </c>
      <c r="E728" s="78" t="s">
        <v>5909</v>
      </c>
      <c r="F728" s="45" t="s">
        <v>8317</v>
      </c>
      <c r="G728" s="45" t="s">
        <v>8318</v>
      </c>
      <c r="H728" s="47" t="s">
        <v>41</v>
      </c>
      <c r="I728" s="118"/>
      <c r="J728" s="155"/>
      <c r="K728" s="155"/>
      <c r="L728" s="155"/>
      <c r="M728" s="155"/>
      <c r="N728" s="155"/>
      <c r="O728" s="155"/>
    </row>
    <row r="729" spans="1:15" ht="115.5">
      <c r="A729" s="397"/>
      <c r="B729" s="44" t="s">
        <v>1485</v>
      </c>
      <c r="C729" s="110" t="s">
        <v>8319</v>
      </c>
      <c r="D729" s="78" t="s">
        <v>1729</v>
      </c>
      <c r="E729" s="78" t="s">
        <v>5909</v>
      </c>
      <c r="F729" s="45" t="s">
        <v>1730</v>
      </c>
      <c r="G729" s="45" t="s">
        <v>1731</v>
      </c>
      <c r="H729" s="47" t="s">
        <v>41</v>
      </c>
      <c r="I729" s="118"/>
      <c r="J729" s="155"/>
      <c r="K729" s="155"/>
      <c r="L729" s="155"/>
      <c r="M729" s="155"/>
      <c r="N729" s="155"/>
      <c r="O729" s="155"/>
    </row>
    <row r="730" spans="1:15" ht="181.5">
      <c r="A730" s="397"/>
      <c r="B730" s="44" t="s">
        <v>1485</v>
      </c>
      <c r="C730" s="110" t="s">
        <v>8320</v>
      </c>
      <c r="D730" s="78" t="s">
        <v>1733</v>
      </c>
      <c r="E730" s="78" t="s">
        <v>5909</v>
      </c>
      <c r="F730" s="45" t="s">
        <v>1734</v>
      </c>
      <c r="G730" s="45" t="s">
        <v>1735</v>
      </c>
      <c r="H730" s="47" t="s">
        <v>41</v>
      </c>
      <c r="I730" s="118"/>
      <c r="J730" s="155"/>
      <c r="K730" s="155"/>
      <c r="L730" s="155"/>
      <c r="M730" s="155"/>
      <c r="N730" s="155"/>
      <c r="O730" s="155"/>
    </row>
    <row r="731" spans="1:15" ht="148.5">
      <c r="A731" s="397"/>
      <c r="B731" s="50" t="s">
        <v>1749</v>
      </c>
      <c r="C731" s="45" t="s">
        <v>8321</v>
      </c>
      <c r="D731" s="45" t="s">
        <v>8322</v>
      </c>
      <c r="E731" s="78" t="s">
        <v>5909</v>
      </c>
      <c r="F731" s="45" t="s">
        <v>8323</v>
      </c>
      <c r="G731" s="46" t="s">
        <v>1752</v>
      </c>
      <c r="H731" s="47" t="s">
        <v>24</v>
      </c>
      <c r="I731" s="118"/>
      <c r="J731" s="155"/>
      <c r="K731" s="155"/>
      <c r="L731" s="155"/>
      <c r="M731" s="155"/>
      <c r="N731" s="155"/>
      <c r="O731" s="155"/>
    </row>
    <row r="732" spans="1:15" ht="165">
      <c r="A732" s="397"/>
      <c r="B732" s="50" t="s">
        <v>1749</v>
      </c>
      <c r="C732" s="45" t="s">
        <v>8324</v>
      </c>
      <c r="D732" s="45" t="s">
        <v>1754</v>
      </c>
      <c r="E732" s="78" t="s">
        <v>5909</v>
      </c>
      <c r="F732" s="45" t="s">
        <v>8325</v>
      </c>
      <c r="G732" s="46" t="s">
        <v>1756</v>
      </c>
      <c r="H732" s="47" t="s">
        <v>41</v>
      </c>
      <c r="I732" s="118"/>
      <c r="J732" s="155"/>
      <c r="K732" s="155"/>
      <c r="L732" s="155"/>
      <c r="M732" s="155"/>
      <c r="N732" s="155"/>
      <c r="O732" s="155"/>
    </row>
    <row r="733" spans="1:15" ht="165">
      <c r="A733" s="397"/>
      <c r="B733" s="50" t="s">
        <v>1749</v>
      </c>
      <c r="C733" s="45" t="s">
        <v>8326</v>
      </c>
      <c r="D733" s="45" t="s">
        <v>1758</v>
      </c>
      <c r="E733" s="78" t="s">
        <v>5909</v>
      </c>
      <c r="F733" s="45" t="s">
        <v>8327</v>
      </c>
      <c r="G733" s="46" t="s">
        <v>1760</v>
      </c>
      <c r="H733" s="47" t="s">
        <v>30</v>
      </c>
      <c r="I733" s="118"/>
      <c r="J733" s="155"/>
      <c r="K733" s="155"/>
      <c r="L733" s="155"/>
      <c r="M733" s="155"/>
      <c r="N733" s="155"/>
      <c r="O733" s="155"/>
    </row>
    <row r="734" spans="1:15" ht="165">
      <c r="A734" s="397"/>
      <c r="B734" s="50" t="s">
        <v>1749</v>
      </c>
      <c r="C734" s="45" t="s">
        <v>8328</v>
      </c>
      <c r="D734" s="45" t="s">
        <v>1762</v>
      </c>
      <c r="E734" s="78" t="s">
        <v>5909</v>
      </c>
      <c r="F734" s="45" t="s">
        <v>8329</v>
      </c>
      <c r="G734" s="46" t="s">
        <v>1764</v>
      </c>
      <c r="H734" s="47" t="s">
        <v>24</v>
      </c>
      <c r="I734" s="118"/>
      <c r="J734" s="155"/>
      <c r="K734" s="155"/>
      <c r="L734" s="155"/>
      <c r="M734" s="155"/>
      <c r="N734" s="155"/>
      <c r="O734" s="155"/>
    </row>
    <row r="735" spans="1:15" ht="165">
      <c r="A735" s="397"/>
      <c r="B735" s="50" t="s">
        <v>1749</v>
      </c>
      <c r="C735" s="45" t="s">
        <v>8330</v>
      </c>
      <c r="D735" s="45" t="s">
        <v>1766</v>
      </c>
      <c r="E735" s="78" t="s">
        <v>5909</v>
      </c>
      <c r="F735" s="45" t="s">
        <v>8331</v>
      </c>
      <c r="G735" s="46" t="s">
        <v>1756</v>
      </c>
      <c r="H735" s="47" t="s">
        <v>24</v>
      </c>
      <c r="I735" s="118"/>
      <c r="J735" s="155"/>
      <c r="K735" s="155"/>
      <c r="L735" s="155"/>
      <c r="M735" s="155"/>
      <c r="N735" s="155"/>
      <c r="O735" s="155"/>
    </row>
    <row r="736" spans="1:15" ht="165">
      <c r="A736" s="397"/>
      <c r="B736" s="50" t="s">
        <v>1749</v>
      </c>
      <c r="C736" s="45" t="s">
        <v>8332</v>
      </c>
      <c r="D736" s="45" t="s">
        <v>1769</v>
      </c>
      <c r="E736" s="78" t="s">
        <v>5909</v>
      </c>
      <c r="F736" s="45" t="s">
        <v>8333</v>
      </c>
      <c r="G736" s="46" t="s">
        <v>1771</v>
      </c>
      <c r="H736" s="47" t="s">
        <v>24</v>
      </c>
      <c r="I736" s="118"/>
      <c r="J736" s="155"/>
      <c r="K736" s="155"/>
      <c r="L736" s="155"/>
      <c r="M736" s="155"/>
      <c r="N736" s="155"/>
      <c r="O736" s="155"/>
    </row>
    <row r="737" spans="1:15" ht="165">
      <c r="A737" s="397"/>
      <c r="B737" s="50" t="s">
        <v>1749</v>
      </c>
      <c r="C737" s="45" t="s">
        <v>8334</v>
      </c>
      <c r="D737" s="45" t="s">
        <v>1773</v>
      </c>
      <c r="E737" s="78" t="s">
        <v>5909</v>
      </c>
      <c r="F737" s="45" t="s">
        <v>8335</v>
      </c>
      <c r="G737" s="46" t="s">
        <v>1775</v>
      </c>
      <c r="H737" s="47" t="s">
        <v>24</v>
      </c>
      <c r="I737" s="118"/>
      <c r="J737" s="155"/>
      <c r="K737" s="155"/>
      <c r="L737" s="155"/>
      <c r="M737" s="155"/>
      <c r="N737" s="155"/>
      <c r="O737" s="155"/>
    </row>
    <row r="738" spans="1:15" ht="165">
      <c r="A738" s="397"/>
      <c r="B738" s="50" t="s">
        <v>1749</v>
      </c>
      <c r="C738" s="45" t="s">
        <v>8336</v>
      </c>
      <c r="D738" s="45" t="s">
        <v>1777</v>
      </c>
      <c r="E738" s="78" t="s">
        <v>5909</v>
      </c>
      <c r="F738" s="45" t="s">
        <v>8337</v>
      </c>
      <c r="G738" s="46" t="s">
        <v>1779</v>
      </c>
      <c r="H738" s="47" t="s">
        <v>41</v>
      </c>
      <c r="I738" s="118"/>
      <c r="J738" s="155"/>
      <c r="K738" s="155"/>
      <c r="L738" s="155"/>
      <c r="M738" s="155"/>
      <c r="N738" s="155"/>
      <c r="O738" s="155"/>
    </row>
    <row r="739" spans="1:15" ht="165">
      <c r="A739" s="397"/>
      <c r="B739" s="50" t="s">
        <v>1749</v>
      </c>
      <c r="C739" s="45" t="s">
        <v>8338</v>
      </c>
      <c r="D739" s="45" t="s">
        <v>1781</v>
      </c>
      <c r="E739" s="78" t="s">
        <v>5909</v>
      </c>
      <c r="F739" s="45" t="s">
        <v>8339</v>
      </c>
      <c r="G739" s="46" t="s">
        <v>1783</v>
      </c>
      <c r="H739" s="47" t="s">
        <v>24</v>
      </c>
      <c r="I739" s="118"/>
      <c r="J739" s="155"/>
      <c r="K739" s="155"/>
      <c r="L739" s="155"/>
      <c r="M739" s="155"/>
      <c r="N739" s="155"/>
      <c r="O739" s="155"/>
    </row>
    <row r="740" spans="1:15" ht="181.5">
      <c r="A740" s="397"/>
      <c r="B740" s="50" t="s">
        <v>1749</v>
      </c>
      <c r="C740" s="45" t="s">
        <v>8340</v>
      </c>
      <c r="D740" s="45" t="s">
        <v>1790</v>
      </c>
      <c r="E740" s="78" t="s">
        <v>5909</v>
      </c>
      <c r="F740" s="45" t="s">
        <v>8341</v>
      </c>
      <c r="G740" s="46" t="s">
        <v>1792</v>
      </c>
      <c r="H740" s="47" t="s">
        <v>41</v>
      </c>
      <c r="I740" s="118"/>
      <c r="J740" s="155"/>
      <c r="K740" s="155"/>
      <c r="L740" s="155"/>
      <c r="M740" s="155"/>
      <c r="N740" s="155"/>
      <c r="O740" s="155"/>
    </row>
    <row r="741" spans="1:15" ht="181.5">
      <c r="A741" s="397"/>
      <c r="B741" s="50" t="s">
        <v>1749</v>
      </c>
      <c r="C741" s="45" t="s">
        <v>8342</v>
      </c>
      <c r="D741" s="45" t="s">
        <v>1794</v>
      </c>
      <c r="E741" s="78" t="s">
        <v>5909</v>
      </c>
      <c r="F741" s="45" t="s">
        <v>8343</v>
      </c>
      <c r="G741" s="46" t="s">
        <v>1795</v>
      </c>
      <c r="H741" s="47" t="s">
        <v>24</v>
      </c>
      <c r="I741" s="118"/>
      <c r="J741" s="155"/>
      <c r="K741" s="155"/>
      <c r="L741" s="155"/>
      <c r="M741" s="155"/>
      <c r="N741" s="155"/>
      <c r="O741" s="155"/>
    </row>
    <row r="742" spans="1:15" ht="181.5">
      <c r="A742" s="397"/>
      <c r="B742" s="50" t="s">
        <v>1749</v>
      </c>
      <c r="C742" s="45" t="s">
        <v>8344</v>
      </c>
      <c r="D742" s="45" t="s">
        <v>1797</v>
      </c>
      <c r="E742" s="78" t="s">
        <v>5909</v>
      </c>
      <c r="F742" s="45" t="s">
        <v>8345</v>
      </c>
      <c r="G742" s="46" t="s">
        <v>1799</v>
      </c>
      <c r="H742" s="47" t="s">
        <v>41</v>
      </c>
      <c r="I742" s="118"/>
      <c r="J742" s="155"/>
      <c r="K742" s="155"/>
      <c r="L742" s="155"/>
      <c r="M742" s="155"/>
      <c r="N742" s="155"/>
      <c r="O742" s="155"/>
    </row>
    <row r="743" spans="1:15" ht="181.5">
      <c r="A743" s="397"/>
      <c r="B743" s="50" t="s">
        <v>1749</v>
      </c>
      <c r="C743" s="45" t="s">
        <v>8346</v>
      </c>
      <c r="D743" s="45" t="s">
        <v>1801</v>
      </c>
      <c r="E743" s="78" t="s">
        <v>5909</v>
      </c>
      <c r="F743" s="45" t="s">
        <v>8347</v>
      </c>
      <c r="G743" s="46" t="s">
        <v>1803</v>
      </c>
      <c r="H743" s="47" t="s">
        <v>41</v>
      </c>
      <c r="I743" s="118"/>
      <c r="J743" s="155"/>
      <c r="K743" s="155"/>
      <c r="L743" s="155"/>
      <c r="M743" s="155"/>
      <c r="N743" s="155"/>
      <c r="O743" s="155"/>
    </row>
    <row r="744" spans="1:15" ht="165">
      <c r="A744" s="397"/>
      <c r="B744" s="50" t="s">
        <v>1749</v>
      </c>
      <c r="C744" s="45" t="s">
        <v>8348</v>
      </c>
      <c r="D744" s="45" t="s">
        <v>1805</v>
      </c>
      <c r="E744" s="78" t="s">
        <v>5909</v>
      </c>
      <c r="F744" s="45" t="s">
        <v>8349</v>
      </c>
      <c r="G744" s="46" t="s">
        <v>1807</v>
      </c>
      <c r="H744" s="47" t="s">
        <v>41</v>
      </c>
      <c r="I744" s="118"/>
      <c r="J744" s="155"/>
      <c r="K744" s="155"/>
      <c r="L744" s="155"/>
      <c r="M744" s="155"/>
      <c r="N744" s="155"/>
      <c r="O744" s="155"/>
    </row>
    <row r="745" spans="1:15" ht="165">
      <c r="A745" s="397"/>
      <c r="B745" s="50" t="s">
        <v>1749</v>
      </c>
      <c r="C745" s="45" t="s">
        <v>8350</v>
      </c>
      <c r="D745" s="45" t="s">
        <v>1809</v>
      </c>
      <c r="E745" s="78" t="s">
        <v>5909</v>
      </c>
      <c r="F745" s="45" t="s">
        <v>8351</v>
      </c>
      <c r="G745" s="46" t="s">
        <v>1602</v>
      </c>
      <c r="H745" s="47" t="s">
        <v>30</v>
      </c>
      <c r="I745" s="118"/>
      <c r="J745" s="155"/>
      <c r="K745" s="155"/>
      <c r="L745" s="155"/>
      <c r="M745" s="155"/>
      <c r="N745" s="155"/>
      <c r="O745" s="155"/>
    </row>
    <row r="746" spans="1:15" ht="165">
      <c r="A746" s="397"/>
      <c r="B746" s="50" t="s">
        <v>1749</v>
      </c>
      <c r="C746" s="45" t="s">
        <v>8352</v>
      </c>
      <c r="D746" s="45" t="s">
        <v>1812</v>
      </c>
      <c r="E746" s="78" t="s">
        <v>5909</v>
      </c>
      <c r="F746" s="45" t="s">
        <v>8353</v>
      </c>
      <c r="G746" s="46" t="s">
        <v>1602</v>
      </c>
      <c r="H746" s="47" t="s">
        <v>24</v>
      </c>
      <c r="I746" s="118"/>
      <c r="J746" s="155"/>
      <c r="K746" s="155"/>
      <c r="L746" s="155"/>
      <c r="M746" s="155"/>
      <c r="N746" s="155"/>
      <c r="O746" s="155"/>
    </row>
    <row r="747" spans="1:15" ht="165">
      <c r="A747" s="397"/>
      <c r="B747" s="50" t="s">
        <v>1749</v>
      </c>
      <c r="C747" s="45" t="s">
        <v>8354</v>
      </c>
      <c r="D747" s="45" t="s">
        <v>1815</v>
      </c>
      <c r="E747" s="78" t="s">
        <v>5909</v>
      </c>
      <c r="F747" s="45" t="s">
        <v>8355</v>
      </c>
      <c r="G747" s="46" t="s">
        <v>1602</v>
      </c>
      <c r="H747" s="47" t="s">
        <v>24</v>
      </c>
      <c r="I747" s="118"/>
      <c r="J747" s="155"/>
      <c r="K747" s="155"/>
      <c r="L747" s="155"/>
      <c r="M747" s="155"/>
      <c r="N747" s="155"/>
      <c r="O747" s="155"/>
    </row>
    <row r="748" spans="1:15" ht="82.5">
      <c r="A748" s="397"/>
      <c r="B748" s="50" t="s">
        <v>1749</v>
      </c>
      <c r="C748" s="45" t="s">
        <v>8356</v>
      </c>
      <c r="D748" s="78" t="s">
        <v>1491</v>
      </c>
      <c r="E748" s="78" t="s">
        <v>5909</v>
      </c>
      <c r="F748" s="45" t="s">
        <v>8357</v>
      </c>
      <c r="G748" s="46" t="s">
        <v>1493</v>
      </c>
      <c r="H748" s="47" t="s">
        <v>24</v>
      </c>
      <c r="I748" s="118"/>
      <c r="J748" s="155"/>
      <c r="K748" s="155"/>
      <c r="L748" s="155"/>
      <c r="M748" s="155"/>
      <c r="N748" s="155"/>
      <c r="O748" s="155"/>
    </row>
    <row r="749" spans="1:15" ht="132">
      <c r="A749" s="397"/>
      <c r="B749" s="50" t="s">
        <v>1749</v>
      </c>
      <c r="C749" s="45" t="s">
        <v>8358</v>
      </c>
      <c r="D749" s="78" t="s">
        <v>1863</v>
      </c>
      <c r="E749" s="78" t="s">
        <v>5909</v>
      </c>
      <c r="F749" s="45" t="s">
        <v>8359</v>
      </c>
      <c r="G749" s="46" t="s">
        <v>1497</v>
      </c>
      <c r="H749" s="47" t="s">
        <v>24</v>
      </c>
      <c r="I749" s="118"/>
      <c r="J749" s="155"/>
      <c r="K749" s="155"/>
      <c r="L749" s="155"/>
      <c r="M749" s="155"/>
      <c r="N749" s="155"/>
      <c r="O749" s="155"/>
    </row>
    <row r="750" spans="1:15" ht="82.5">
      <c r="A750" s="397"/>
      <c r="B750" s="50" t="s">
        <v>1749</v>
      </c>
      <c r="C750" s="45" t="s">
        <v>8360</v>
      </c>
      <c r="D750" s="78" t="s">
        <v>1865</v>
      </c>
      <c r="E750" s="78" t="s">
        <v>5909</v>
      </c>
      <c r="F750" s="45" t="s">
        <v>8361</v>
      </c>
      <c r="G750" s="46" t="s">
        <v>1867</v>
      </c>
      <c r="H750" s="47" t="s">
        <v>24</v>
      </c>
      <c r="I750" s="118"/>
      <c r="J750" s="155"/>
      <c r="K750" s="155"/>
      <c r="L750" s="155"/>
      <c r="M750" s="155"/>
      <c r="N750" s="155"/>
      <c r="O750" s="155"/>
    </row>
    <row r="751" spans="1:15" ht="82.5">
      <c r="A751" s="397"/>
      <c r="B751" s="50" t="s">
        <v>1749</v>
      </c>
      <c r="C751" s="45" t="s">
        <v>8362</v>
      </c>
      <c r="D751" s="78" t="s">
        <v>1869</v>
      </c>
      <c r="E751" s="78" t="s">
        <v>5909</v>
      </c>
      <c r="F751" s="45" t="s">
        <v>8363</v>
      </c>
      <c r="G751" s="46" t="s">
        <v>1505</v>
      </c>
      <c r="H751" s="47" t="s">
        <v>24</v>
      </c>
      <c r="I751" s="118"/>
      <c r="J751" s="155"/>
      <c r="K751" s="155"/>
      <c r="L751" s="155"/>
      <c r="M751" s="155"/>
      <c r="N751" s="155"/>
      <c r="O751" s="155"/>
    </row>
    <row r="752" spans="1:15" ht="165">
      <c r="A752" s="397"/>
      <c r="B752" s="50" t="s">
        <v>1749</v>
      </c>
      <c r="C752" s="45" t="s">
        <v>8364</v>
      </c>
      <c r="D752" s="78" t="s">
        <v>1871</v>
      </c>
      <c r="E752" s="78" t="s">
        <v>5909</v>
      </c>
      <c r="F752" s="45" t="s">
        <v>8365</v>
      </c>
      <c r="G752" s="46" t="s">
        <v>1872</v>
      </c>
      <c r="H752" s="47" t="s">
        <v>36</v>
      </c>
      <c r="I752" s="118"/>
      <c r="J752" s="155"/>
      <c r="K752" s="155"/>
      <c r="L752" s="155"/>
      <c r="M752" s="155"/>
      <c r="N752" s="155"/>
      <c r="O752" s="155"/>
    </row>
    <row r="753" spans="1:15" ht="264">
      <c r="A753" s="397"/>
      <c r="B753" s="50" t="s">
        <v>1749</v>
      </c>
      <c r="C753" s="45" t="s">
        <v>8366</v>
      </c>
      <c r="D753" s="45" t="s">
        <v>8367</v>
      </c>
      <c r="E753" s="78" t="s">
        <v>5909</v>
      </c>
      <c r="F753" s="45" t="s">
        <v>8368</v>
      </c>
      <c r="G753" s="46" t="s">
        <v>1876</v>
      </c>
      <c r="H753" s="47" t="s">
        <v>24</v>
      </c>
      <c r="I753" s="118"/>
      <c r="J753" s="155"/>
      <c r="K753" s="155"/>
      <c r="L753" s="155"/>
      <c r="M753" s="155"/>
      <c r="N753" s="155"/>
      <c r="O753" s="155"/>
    </row>
    <row r="754" spans="1:15" ht="264">
      <c r="A754" s="397"/>
      <c r="B754" s="50" t="s">
        <v>1749</v>
      </c>
      <c r="C754" s="45" t="s">
        <v>8369</v>
      </c>
      <c r="D754" s="45" t="s">
        <v>8370</v>
      </c>
      <c r="E754" s="78" t="s">
        <v>5909</v>
      </c>
      <c r="F754" s="45" t="s">
        <v>8371</v>
      </c>
      <c r="G754" s="46" t="s">
        <v>1880</v>
      </c>
      <c r="H754" s="47" t="s">
        <v>30</v>
      </c>
      <c r="I754" s="118"/>
      <c r="J754" s="155"/>
      <c r="K754" s="155"/>
      <c r="L754" s="155"/>
      <c r="M754" s="155"/>
      <c r="N754" s="155"/>
      <c r="O754" s="155"/>
    </row>
    <row r="755" spans="1:15" ht="264">
      <c r="A755" s="397"/>
      <c r="B755" s="50" t="s">
        <v>1749</v>
      </c>
      <c r="C755" s="45" t="s">
        <v>8372</v>
      </c>
      <c r="D755" s="45" t="s">
        <v>8373</v>
      </c>
      <c r="E755" s="78" t="s">
        <v>5909</v>
      </c>
      <c r="F755" s="45" t="s">
        <v>8374</v>
      </c>
      <c r="G755" s="46" t="s">
        <v>1880</v>
      </c>
      <c r="H755" s="47" t="s">
        <v>41</v>
      </c>
      <c r="I755" s="118"/>
      <c r="J755" s="155"/>
      <c r="K755" s="155"/>
      <c r="L755" s="155"/>
      <c r="M755" s="155"/>
      <c r="N755" s="155"/>
      <c r="O755" s="155"/>
    </row>
    <row r="756" spans="1:15" ht="264">
      <c r="A756" s="397"/>
      <c r="B756" s="50" t="s">
        <v>1749</v>
      </c>
      <c r="C756" s="45" t="s">
        <v>8375</v>
      </c>
      <c r="D756" s="53" t="s">
        <v>8376</v>
      </c>
      <c r="E756" s="78" t="s">
        <v>5909</v>
      </c>
      <c r="F756" s="45" t="s">
        <v>8377</v>
      </c>
      <c r="G756" s="46" t="s">
        <v>1880</v>
      </c>
      <c r="H756" s="47" t="s">
        <v>24</v>
      </c>
      <c r="I756" s="118"/>
      <c r="J756" s="155"/>
      <c r="K756" s="155"/>
      <c r="L756" s="155"/>
      <c r="M756" s="155"/>
      <c r="N756" s="155"/>
      <c r="O756" s="155"/>
    </row>
    <row r="757" spans="1:15" ht="264">
      <c r="A757" s="397"/>
      <c r="B757" s="50" t="s">
        <v>1749</v>
      </c>
      <c r="C757" s="45" t="s">
        <v>8378</v>
      </c>
      <c r="D757" s="45" t="s">
        <v>8379</v>
      </c>
      <c r="E757" s="78" t="s">
        <v>5909</v>
      </c>
      <c r="F757" s="45" t="s">
        <v>8380</v>
      </c>
      <c r="G757" s="46" t="s">
        <v>1880</v>
      </c>
      <c r="H757" s="47" t="s">
        <v>24</v>
      </c>
      <c r="I757" s="118"/>
      <c r="J757" s="155"/>
      <c r="K757" s="155"/>
      <c r="L757" s="155"/>
      <c r="M757" s="155"/>
      <c r="N757" s="155"/>
      <c r="O757" s="155"/>
    </row>
    <row r="758" spans="1:15" ht="165">
      <c r="A758" s="397"/>
      <c r="B758" s="51" t="s">
        <v>1749</v>
      </c>
      <c r="C758" s="45" t="s">
        <v>8381</v>
      </c>
      <c r="D758" s="78" t="s">
        <v>1888</v>
      </c>
      <c r="E758" s="78" t="s">
        <v>5909</v>
      </c>
      <c r="F758" s="45" t="s">
        <v>8382</v>
      </c>
      <c r="G758" s="46" t="s">
        <v>1890</v>
      </c>
      <c r="H758" s="47" t="s">
        <v>24</v>
      </c>
      <c r="I758" s="118"/>
      <c r="J758" s="155"/>
      <c r="K758" s="155"/>
      <c r="L758" s="155"/>
      <c r="M758" s="155"/>
      <c r="N758" s="155"/>
      <c r="O758" s="155"/>
    </row>
    <row r="759" spans="1:15" ht="198">
      <c r="A759" s="397"/>
      <c r="B759" s="50" t="s">
        <v>1749</v>
      </c>
      <c r="C759" s="45" t="s">
        <v>8383</v>
      </c>
      <c r="D759" s="78" t="s">
        <v>8384</v>
      </c>
      <c r="E759" s="78" t="s">
        <v>5909</v>
      </c>
      <c r="F759" s="45" t="s">
        <v>8385</v>
      </c>
      <c r="G759" s="46" t="s">
        <v>1894</v>
      </c>
      <c r="H759" s="47" t="s">
        <v>24</v>
      </c>
      <c r="I759" s="118"/>
      <c r="J759" s="155"/>
      <c r="K759" s="155"/>
      <c r="L759" s="155"/>
      <c r="M759" s="155"/>
      <c r="N759" s="155"/>
      <c r="O759" s="155"/>
    </row>
    <row r="760" spans="1:15" ht="198">
      <c r="A760" s="397"/>
      <c r="B760" s="50" t="s">
        <v>1749</v>
      </c>
      <c r="C760" s="45" t="s">
        <v>8386</v>
      </c>
      <c r="D760" s="73" t="s">
        <v>8387</v>
      </c>
      <c r="E760" s="78" t="s">
        <v>5909</v>
      </c>
      <c r="F760" s="45" t="s">
        <v>8388</v>
      </c>
      <c r="G760" s="46" t="s">
        <v>8389</v>
      </c>
      <c r="H760" s="47" t="s">
        <v>24</v>
      </c>
      <c r="I760" s="118"/>
      <c r="J760" s="155"/>
      <c r="K760" s="155"/>
      <c r="L760" s="155"/>
      <c r="M760" s="155"/>
      <c r="N760" s="155"/>
      <c r="O760" s="155"/>
    </row>
    <row r="761" spans="1:15" ht="99">
      <c r="A761" s="398"/>
      <c r="B761" s="50" t="s">
        <v>1749</v>
      </c>
      <c r="C761" s="45" t="s">
        <v>8390</v>
      </c>
      <c r="D761" s="73" t="s">
        <v>1896</v>
      </c>
      <c r="E761" s="78" t="s">
        <v>5909</v>
      </c>
      <c r="F761" s="45" t="s">
        <v>8391</v>
      </c>
      <c r="G761" s="46" t="s">
        <v>1898</v>
      </c>
      <c r="H761" s="47" t="s">
        <v>24</v>
      </c>
      <c r="I761" s="118"/>
      <c r="J761" s="155"/>
      <c r="K761" s="155"/>
      <c r="L761" s="155"/>
      <c r="M761" s="155"/>
      <c r="N761" s="155"/>
      <c r="O761" s="155"/>
    </row>
    <row r="762" spans="1:15" ht="99">
      <c r="A762" s="396" t="s">
        <v>1902</v>
      </c>
      <c r="B762" s="44" t="s">
        <v>1903</v>
      </c>
      <c r="C762" s="45" t="s">
        <v>8392</v>
      </c>
      <c r="D762" s="78" t="s">
        <v>8393</v>
      </c>
      <c r="E762" s="78" t="s">
        <v>5909</v>
      </c>
      <c r="F762" s="45" t="s">
        <v>8394</v>
      </c>
      <c r="G762" s="46" t="s">
        <v>1907</v>
      </c>
      <c r="H762" s="47" t="s">
        <v>24</v>
      </c>
      <c r="I762" s="118"/>
      <c r="J762" s="155"/>
      <c r="K762" s="155"/>
      <c r="L762" s="155"/>
      <c r="M762" s="155"/>
      <c r="N762" s="155"/>
      <c r="O762" s="155"/>
    </row>
    <row r="763" spans="1:15" ht="82.5">
      <c r="A763" s="397"/>
      <c r="B763" s="44" t="s">
        <v>1903</v>
      </c>
      <c r="C763" s="45" t="s">
        <v>8395</v>
      </c>
      <c r="D763" s="78" t="s">
        <v>1491</v>
      </c>
      <c r="E763" s="78" t="s">
        <v>5909</v>
      </c>
      <c r="F763" s="45" t="s">
        <v>8396</v>
      </c>
      <c r="G763" s="46" t="s">
        <v>1493</v>
      </c>
      <c r="H763" s="47" t="s">
        <v>24</v>
      </c>
      <c r="I763" s="118"/>
      <c r="J763" s="155"/>
      <c r="K763" s="155"/>
      <c r="L763" s="155"/>
      <c r="M763" s="155"/>
      <c r="N763" s="155"/>
      <c r="O763" s="155"/>
    </row>
    <row r="764" spans="1:15" ht="132">
      <c r="A764" s="397"/>
      <c r="B764" s="44" t="s">
        <v>1903</v>
      </c>
      <c r="C764" s="45" t="s">
        <v>8397</v>
      </c>
      <c r="D764" s="78" t="s">
        <v>8398</v>
      </c>
      <c r="E764" s="78" t="s">
        <v>5909</v>
      </c>
      <c r="F764" s="45" t="s">
        <v>8399</v>
      </c>
      <c r="G764" s="46" t="s">
        <v>1497</v>
      </c>
      <c r="H764" s="47" t="s">
        <v>24</v>
      </c>
      <c r="I764" s="118"/>
      <c r="J764" s="155"/>
      <c r="K764" s="155"/>
      <c r="L764" s="155"/>
      <c r="M764" s="155"/>
      <c r="N764" s="155"/>
      <c r="O764" s="155"/>
    </row>
    <row r="765" spans="1:15" ht="82.5">
      <c r="A765" s="397"/>
      <c r="B765" s="44" t="s">
        <v>1903</v>
      </c>
      <c r="C765" s="45" t="s">
        <v>8400</v>
      </c>
      <c r="D765" s="78" t="s">
        <v>8401</v>
      </c>
      <c r="E765" s="78" t="s">
        <v>5909</v>
      </c>
      <c r="F765" s="45" t="s">
        <v>8402</v>
      </c>
      <c r="G765" s="46" t="s">
        <v>1916</v>
      </c>
      <c r="H765" s="47" t="s">
        <v>24</v>
      </c>
      <c r="I765" s="118"/>
      <c r="J765" s="155"/>
      <c r="K765" s="155"/>
      <c r="L765" s="155"/>
      <c r="M765" s="155"/>
      <c r="N765" s="155"/>
      <c r="O765" s="155"/>
    </row>
    <row r="766" spans="1:15" ht="82.5">
      <c r="A766" s="397"/>
      <c r="B766" s="44" t="s">
        <v>1903</v>
      </c>
      <c r="C766" s="45" t="s">
        <v>8403</v>
      </c>
      <c r="D766" s="78" t="s">
        <v>8404</v>
      </c>
      <c r="E766" s="78" t="s">
        <v>5909</v>
      </c>
      <c r="F766" s="45" t="s">
        <v>8405</v>
      </c>
      <c r="G766" s="46" t="s">
        <v>1505</v>
      </c>
      <c r="H766" s="47" t="s">
        <v>24</v>
      </c>
      <c r="I766" s="118"/>
      <c r="J766" s="155"/>
      <c r="K766" s="155"/>
      <c r="L766" s="155"/>
      <c r="M766" s="155"/>
      <c r="N766" s="155"/>
      <c r="O766" s="155"/>
    </row>
    <row r="767" spans="1:15" ht="82.5">
      <c r="A767" s="397"/>
      <c r="B767" s="44" t="s">
        <v>1903</v>
      </c>
      <c r="C767" s="45" t="s">
        <v>8406</v>
      </c>
      <c r="D767" s="78" t="s">
        <v>8407</v>
      </c>
      <c r="E767" s="78" t="s">
        <v>5909</v>
      </c>
      <c r="F767" s="45" t="s">
        <v>8408</v>
      </c>
      <c r="G767" s="46" t="s">
        <v>1921</v>
      </c>
      <c r="H767" s="47" t="s">
        <v>24</v>
      </c>
      <c r="I767" s="118"/>
      <c r="J767" s="155"/>
      <c r="K767" s="155"/>
      <c r="L767" s="155"/>
      <c r="M767" s="155"/>
      <c r="N767" s="155"/>
      <c r="O767" s="155"/>
    </row>
    <row r="768" spans="1:15" ht="264">
      <c r="A768" s="397"/>
      <c r="B768" s="44" t="s">
        <v>1903</v>
      </c>
      <c r="C768" s="45" t="s">
        <v>8409</v>
      </c>
      <c r="D768" s="78" t="s">
        <v>8410</v>
      </c>
      <c r="E768" s="78" t="s">
        <v>5909</v>
      </c>
      <c r="F768" s="45" t="s">
        <v>8411</v>
      </c>
      <c r="G768" s="46" t="s">
        <v>1933</v>
      </c>
      <c r="H768" s="47" t="s">
        <v>30</v>
      </c>
      <c r="I768" s="118"/>
      <c r="J768" s="155"/>
      <c r="K768" s="155"/>
      <c r="L768" s="155"/>
      <c r="M768" s="155"/>
      <c r="N768" s="155"/>
      <c r="O768" s="155"/>
    </row>
    <row r="769" spans="1:15" ht="264">
      <c r="A769" s="397"/>
      <c r="B769" s="44" t="s">
        <v>1903</v>
      </c>
      <c r="C769" s="45" t="s">
        <v>8412</v>
      </c>
      <c r="D769" s="78" t="s">
        <v>8413</v>
      </c>
      <c r="E769" s="78" t="s">
        <v>5909</v>
      </c>
      <c r="F769" s="45" t="s">
        <v>8414</v>
      </c>
      <c r="G769" s="46" t="s">
        <v>1937</v>
      </c>
      <c r="H769" s="47" t="s">
        <v>30</v>
      </c>
      <c r="I769" s="118"/>
      <c r="J769" s="155"/>
      <c r="K769" s="155"/>
      <c r="L769" s="155"/>
      <c r="M769" s="155"/>
      <c r="N769" s="155"/>
      <c r="O769" s="155"/>
    </row>
    <row r="770" spans="1:15" ht="409.5">
      <c r="A770" s="397"/>
      <c r="B770" s="44" t="s">
        <v>1903</v>
      </c>
      <c r="C770" s="45" t="s">
        <v>8415</v>
      </c>
      <c r="D770" s="78" t="s">
        <v>8416</v>
      </c>
      <c r="E770" s="78" t="s">
        <v>5909</v>
      </c>
      <c r="F770" s="45" t="s">
        <v>8417</v>
      </c>
      <c r="G770" s="46" t="s">
        <v>1941</v>
      </c>
      <c r="H770" s="47" t="s">
        <v>41</v>
      </c>
      <c r="I770" s="118"/>
      <c r="J770" s="155"/>
      <c r="K770" s="155"/>
      <c r="L770" s="155"/>
      <c r="M770" s="155"/>
      <c r="N770" s="155"/>
      <c r="O770" s="155"/>
    </row>
    <row r="771" spans="1:15" ht="99">
      <c r="A771" s="397"/>
      <c r="B771" s="44" t="s">
        <v>1903</v>
      </c>
      <c r="C771" s="45" t="s">
        <v>8418</v>
      </c>
      <c r="D771" s="78" t="s">
        <v>8419</v>
      </c>
      <c r="E771" s="78" t="s">
        <v>5909</v>
      </c>
      <c r="F771" s="45" t="s">
        <v>8420</v>
      </c>
      <c r="G771" s="46" t="s">
        <v>1945</v>
      </c>
      <c r="H771" s="47" t="s">
        <v>41</v>
      </c>
      <c r="I771" s="118"/>
      <c r="J771" s="155"/>
      <c r="K771" s="155"/>
      <c r="L771" s="155"/>
      <c r="M771" s="155"/>
      <c r="N771" s="155"/>
      <c r="O771" s="155"/>
    </row>
    <row r="772" spans="1:15" ht="82.5">
      <c r="A772" s="397"/>
      <c r="B772" s="44" t="s">
        <v>1903</v>
      </c>
      <c r="C772" s="45" t="s">
        <v>8421</v>
      </c>
      <c r="D772" s="78" t="s">
        <v>8422</v>
      </c>
      <c r="E772" s="78" t="s">
        <v>5909</v>
      </c>
      <c r="F772" s="45" t="s">
        <v>8423</v>
      </c>
      <c r="G772" s="46" t="s">
        <v>1949</v>
      </c>
      <c r="H772" s="47" t="s">
        <v>30</v>
      </c>
      <c r="I772" s="118"/>
      <c r="J772" s="155"/>
      <c r="K772" s="155"/>
      <c r="L772" s="155"/>
      <c r="M772" s="155"/>
      <c r="N772" s="155"/>
      <c r="O772" s="155"/>
    </row>
    <row r="773" spans="1:15" ht="115.5">
      <c r="A773" s="397"/>
      <c r="B773" s="44" t="s">
        <v>1903</v>
      </c>
      <c r="C773" s="45" t="s">
        <v>8424</v>
      </c>
      <c r="D773" s="78" t="s">
        <v>8425</v>
      </c>
      <c r="E773" s="78" t="s">
        <v>5909</v>
      </c>
      <c r="F773" s="45" t="s">
        <v>8426</v>
      </c>
      <c r="G773" s="46" t="s">
        <v>1952</v>
      </c>
      <c r="H773" s="47" t="s">
        <v>24</v>
      </c>
      <c r="I773" s="118"/>
      <c r="J773" s="155"/>
      <c r="K773" s="155"/>
      <c r="L773" s="155"/>
      <c r="M773" s="155"/>
      <c r="N773" s="155"/>
      <c r="O773" s="155"/>
    </row>
    <row r="774" spans="1:15" ht="330">
      <c r="A774" s="397"/>
      <c r="B774" s="44" t="s">
        <v>1903</v>
      </c>
      <c r="C774" s="45" t="s">
        <v>8427</v>
      </c>
      <c r="D774" s="78" t="s">
        <v>8428</v>
      </c>
      <c r="E774" s="78" t="s">
        <v>5909</v>
      </c>
      <c r="F774" s="45" t="s">
        <v>8429</v>
      </c>
      <c r="G774" s="46" t="s">
        <v>1956</v>
      </c>
      <c r="H774" s="47" t="s">
        <v>24</v>
      </c>
      <c r="I774" s="118"/>
      <c r="J774" s="155"/>
      <c r="K774" s="155"/>
      <c r="L774" s="155"/>
      <c r="M774" s="155"/>
      <c r="N774" s="155"/>
      <c r="O774" s="155"/>
    </row>
    <row r="775" spans="1:15" ht="330">
      <c r="A775" s="397"/>
      <c r="B775" s="44" t="s">
        <v>1903</v>
      </c>
      <c r="C775" s="45" t="s">
        <v>8430</v>
      </c>
      <c r="D775" s="78" t="s">
        <v>8431</v>
      </c>
      <c r="E775" s="78" t="s">
        <v>5909</v>
      </c>
      <c r="F775" s="45" t="s">
        <v>8432</v>
      </c>
      <c r="G775" s="46" t="s">
        <v>1960</v>
      </c>
      <c r="H775" s="47" t="s">
        <v>24</v>
      </c>
      <c r="I775" s="118"/>
      <c r="J775" s="155"/>
      <c r="K775" s="155"/>
      <c r="L775" s="155"/>
      <c r="M775" s="155"/>
      <c r="N775" s="155"/>
      <c r="O775" s="155"/>
    </row>
    <row r="776" spans="1:15" ht="330">
      <c r="A776" s="397"/>
      <c r="B776" s="44" t="s">
        <v>1903</v>
      </c>
      <c r="C776" s="45" t="s">
        <v>8433</v>
      </c>
      <c r="D776" s="78" t="s">
        <v>8434</v>
      </c>
      <c r="E776" s="78" t="s">
        <v>5909</v>
      </c>
      <c r="F776" s="45" t="s">
        <v>8435</v>
      </c>
      <c r="G776" s="46" t="s">
        <v>1964</v>
      </c>
      <c r="H776" s="47" t="s">
        <v>24</v>
      </c>
      <c r="I776" s="118"/>
      <c r="J776" s="155"/>
      <c r="K776" s="155"/>
      <c r="L776" s="155"/>
      <c r="M776" s="155"/>
      <c r="N776" s="155"/>
      <c r="O776" s="155"/>
    </row>
    <row r="777" spans="1:15" ht="409.5">
      <c r="A777" s="397"/>
      <c r="B777" s="44" t="s">
        <v>1903</v>
      </c>
      <c r="C777" s="45" t="s">
        <v>8436</v>
      </c>
      <c r="D777" s="78" t="s">
        <v>8437</v>
      </c>
      <c r="E777" s="78" t="s">
        <v>5909</v>
      </c>
      <c r="F777" s="45" t="s">
        <v>8438</v>
      </c>
      <c r="G777" s="46" t="s">
        <v>1967</v>
      </c>
      <c r="H777" s="47" t="s">
        <v>41</v>
      </c>
      <c r="I777" s="118"/>
      <c r="J777" s="155"/>
      <c r="K777" s="155"/>
      <c r="L777" s="155"/>
      <c r="M777" s="155"/>
      <c r="N777" s="155"/>
      <c r="O777" s="155"/>
    </row>
    <row r="778" spans="1:15" ht="409.5">
      <c r="A778" s="397"/>
      <c r="B778" s="44" t="s">
        <v>1903</v>
      </c>
      <c r="C778" s="45" t="s">
        <v>8439</v>
      </c>
      <c r="D778" s="78" t="s">
        <v>8440</v>
      </c>
      <c r="E778" s="78" t="s">
        <v>5909</v>
      </c>
      <c r="F778" s="45" t="s">
        <v>8441</v>
      </c>
      <c r="G778" s="46" t="s">
        <v>8442</v>
      </c>
      <c r="H778" s="47" t="s">
        <v>36</v>
      </c>
      <c r="I778" s="118"/>
      <c r="J778" s="155"/>
      <c r="K778" s="155"/>
      <c r="L778" s="155"/>
      <c r="M778" s="155"/>
      <c r="N778" s="155"/>
      <c r="O778" s="155"/>
    </row>
    <row r="779" spans="1:15" ht="409.5">
      <c r="A779" s="397"/>
      <c r="B779" s="44" t="s">
        <v>1903</v>
      </c>
      <c r="C779" s="45" t="s">
        <v>8443</v>
      </c>
      <c r="D779" s="78" t="s">
        <v>8444</v>
      </c>
      <c r="E779" s="78" t="s">
        <v>5909</v>
      </c>
      <c r="F779" s="45" t="s">
        <v>8445</v>
      </c>
      <c r="G779" s="46" t="s">
        <v>8446</v>
      </c>
      <c r="H779" s="47" t="s">
        <v>36</v>
      </c>
      <c r="I779" s="118"/>
      <c r="J779" s="155"/>
      <c r="K779" s="155"/>
      <c r="L779" s="155"/>
      <c r="M779" s="155"/>
      <c r="N779" s="155"/>
      <c r="O779" s="155"/>
    </row>
    <row r="780" spans="1:15" ht="396">
      <c r="A780" s="397"/>
      <c r="B780" s="44" t="s">
        <v>1903</v>
      </c>
      <c r="C780" s="45" t="s">
        <v>8447</v>
      </c>
      <c r="D780" s="78" t="s">
        <v>8448</v>
      </c>
      <c r="E780" s="78" t="s">
        <v>5909</v>
      </c>
      <c r="F780" s="45" t="s">
        <v>8449</v>
      </c>
      <c r="G780" s="46" t="s">
        <v>8450</v>
      </c>
      <c r="H780" s="47" t="s">
        <v>41</v>
      </c>
      <c r="I780" s="118"/>
      <c r="J780" s="155"/>
      <c r="K780" s="155"/>
      <c r="L780" s="155"/>
      <c r="M780" s="155"/>
      <c r="N780" s="155"/>
      <c r="O780" s="155"/>
    </row>
    <row r="781" spans="1:15" ht="379.5">
      <c r="A781" s="397"/>
      <c r="B781" s="44" t="s">
        <v>1903</v>
      </c>
      <c r="C781" s="45" t="s">
        <v>8451</v>
      </c>
      <c r="D781" s="78" t="s">
        <v>8452</v>
      </c>
      <c r="E781" s="78" t="s">
        <v>5909</v>
      </c>
      <c r="F781" s="45" t="s">
        <v>8453</v>
      </c>
      <c r="G781" s="46" t="s">
        <v>8454</v>
      </c>
      <c r="H781" s="47" t="s">
        <v>36</v>
      </c>
      <c r="I781" s="118"/>
      <c r="J781" s="155"/>
      <c r="K781" s="155"/>
      <c r="L781" s="155"/>
      <c r="M781" s="155"/>
      <c r="N781" s="155"/>
      <c r="O781" s="155"/>
    </row>
    <row r="782" spans="1:15" ht="82.5">
      <c r="A782" s="397"/>
      <c r="B782" s="51" t="s">
        <v>1979</v>
      </c>
      <c r="C782" s="45" t="s">
        <v>8455</v>
      </c>
      <c r="D782" s="45" t="s">
        <v>8456</v>
      </c>
      <c r="E782" s="78" t="s">
        <v>8457</v>
      </c>
      <c r="F782" s="45" t="s">
        <v>8458</v>
      </c>
      <c r="G782" s="46" t="s">
        <v>1983</v>
      </c>
      <c r="H782" s="47" t="s">
        <v>24</v>
      </c>
      <c r="I782" s="118"/>
      <c r="J782" s="155"/>
      <c r="K782" s="155"/>
      <c r="L782" s="155"/>
      <c r="M782" s="155"/>
      <c r="N782" s="155"/>
      <c r="O782" s="155"/>
    </row>
    <row r="783" spans="1:15" ht="198">
      <c r="A783" s="397"/>
      <c r="B783" s="51" t="s">
        <v>1979</v>
      </c>
      <c r="C783" s="45" t="s">
        <v>8459</v>
      </c>
      <c r="D783" s="45" t="s">
        <v>8460</v>
      </c>
      <c r="E783" s="78" t="s">
        <v>5909</v>
      </c>
      <c r="F783" s="45" t="s">
        <v>8461</v>
      </c>
      <c r="G783" s="46" t="s">
        <v>1985</v>
      </c>
      <c r="H783" s="47" t="s">
        <v>41</v>
      </c>
      <c r="I783" s="118"/>
      <c r="J783" s="155"/>
      <c r="K783" s="155"/>
      <c r="L783" s="155"/>
      <c r="M783" s="155"/>
      <c r="N783" s="155"/>
      <c r="O783" s="155"/>
    </row>
    <row r="784" spans="1:15" ht="99">
      <c r="A784" s="397"/>
      <c r="B784" s="50" t="s">
        <v>1979</v>
      </c>
      <c r="C784" s="45" t="s">
        <v>8462</v>
      </c>
      <c r="D784" s="45" t="s">
        <v>8463</v>
      </c>
      <c r="E784" s="78" t="s">
        <v>5909</v>
      </c>
      <c r="F784" s="45" t="s">
        <v>8464</v>
      </c>
      <c r="G784" s="46" t="s">
        <v>1989</v>
      </c>
      <c r="H784" s="47" t="s">
        <v>24</v>
      </c>
      <c r="I784" s="118"/>
      <c r="J784" s="155"/>
      <c r="K784" s="155"/>
      <c r="L784" s="155"/>
      <c r="M784" s="155"/>
      <c r="N784" s="155"/>
      <c r="O784" s="155"/>
    </row>
    <row r="785" spans="1:15" ht="280.5">
      <c r="A785" s="397"/>
      <c r="B785" s="44" t="s">
        <v>1990</v>
      </c>
      <c r="C785" s="45" t="s">
        <v>8465</v>
      </c>
      <c r="D785" s="45" t="s">
        <v>8466</v>
      </c>
      <c r="E785" s="78" t="s">
        <v>5909</v>
      </c>
      <c r="F785" s="45" t="s">
        <v>8467</v>
      </c>
      <c r="G785" s="46" t="s">
        <v>2004</v>
      </c>
      <c r="H785" s="47" t="s">
        <v>41</v>
      </c>
      <c r="I785" s="118"/>
      <c r="J785" s="155"/>
      <c r="K785" s="155"/>
      <c r="L785" s="155"/>
      <c r="M785" s="155"/>
      <c r="N785" s="155"/>
      <c r="O785" s="155"/>
    </row>
    <row r="786" spans="1:15" ht="280.5">
      <c r="A786" s="397"/>
      <c r="B786" s="44" t="s">
        <v>1990</v>
      </c>
      <c r="C786" s="45" t="s">
        <v>8468</v>
      </c>
      <c r="D786" s="45" t="s">
        <v>8469</v>
      </c>
      <c r="E786" s="78" t="s">
        <v>5909</v>
      </c>
      <c r="F786" s="45" t="s">
        <v>8470</v>
      </c>
      <c r="G786" s="46" t="s">
        <v>2004</v>
      </c>
      <c r="H786" s="47" t="s">
        <v>41</v>
      </c>
      <c r="I786" s="118"/>
      <c r="J786" s="155"/>
      <c r="K786" s="155"/>
      <c r="L786" s="155"/>
      <c r="M786" s="155"/>
      <c r="N786" s="155"/>
      <c r="O786" s="155"/>
    </row>
    <row r="787" spans="1:15" ht="115.5">
      <c r="A787" s="397"/>
      <c r="B787" s="44" t="s">
        <v>1990</v>
      </c>
      <c r="C787" s="45" t="s">
        <v>8471</v>
      </c>
      <c r="D787" s="45" t="s">
        <v>1994</v>
      </c>
      <c r="E787" s="78" t="s">
        <v>5909</v>
      </c>
      <c r="F787" s="45" t="s">
        <v>8472</v>
      </c>
      <c r="G787" s="46" t="s">
        <v>1996</v>
      </c>
      <c r="H787" s="47" t="s">
        <v>24</v>
      </c>
      <c r="I787" s="118"/>
      <c r="J787" s="155"/>
      <c r="K787" s="155"/>
      <c r="L787" s="155"/>
      <c r="M787" s="155"/>
      <c r="N787" s="155"/>
      <c r="O787" s="155"/>
    </row>
    <row r="788" spans="1:15" ht="264">
      <c r="A788" s="397"/>
      <c r="B788" s="44" t="s">
        <v>1990</v>
      </c>
      <c r="C788" s="45" t="s">
        <v>8473</v>
      </c>
      <c r="D788" s="45" t="s">
        <v>1998</v>
      </c>
      <c r="E788" s="78" t="s">
        <v>5909</v>
      </c>
      <c r="F788" s="45" t="s">
        <v>8474</v>
      </c>
      <c r="G788" s="46" t="s">
        <v>2000</v>
      </c>
      <c r="H788" s="47" t="s">
        <v>41</v>
      </c>
      <c r="I788" s="118"/>
      <c r="J788" s="155"/>
      <c r="K788" s="155"/>
      <c r="L788" s="155"/>
      <c r="M788" s="155"/>
      <c r="N788" s="155"/>
      <c r="O788" s="155"/>
    </row>
    <row r="789" spans="1:15" ht="313.5">
      <c r="A789" s="397"/>
      <c r="B789" s="44" t="s">
        <v>1990</v>
      </c>
      <c r="C789" s="45" t="s">
        <v>8475</v>
      </c>
      <c r="D789" s="45" t="s">
        <v>2002</v>
      </c>
      <c r="E789" s="78" t="s">
        <v>5909</v>
      </c>
      <c r="F789" s="45" t="s">
        <v>8476</v>
      </c>
      <c r="G789" s="46" t="s">
        <v>2004</v>
      </c>
      <c r="H789" s="47" t="s">
        <v>24</v>
      </c>
      <c r="I789" s="118"/>
      <c r="J789" s="155"/>
      <c r="K789" s="155"/>
      <c r="L789" s="155"/>
      <c r="M789" s="155"/>
      <c r="N789" s="155"/>
      <c r="O789" s="155"/>
    </row>
    <row r="790" spans="1:15" ht="297">
      <c r="A790" s="397"/>
      <c r="B790" s="44" t="s">
        <v>1990</v>
      </c>
      <c r="C790" s="45" t="s">
        <v>8477</v>
      </c>
      <c r="D790" s="45" t="s">
        <v>2006</v>
      </c>
      <c r="E790" s="78" t="s">
        <v>5909</v>
      </c>
      <c r="F790" s="45" t="s">
        <v>8478</v>
      </c>
      <c r="G790" s="46" t="s">
        <v>8479</v>
      </c>
      <c r="H790" s="47" t="s">
        <v>41</v>
      </c>
      <c r="I790" s="118"/>
      <c r="J790" s="155"/>
      <c r="K790" s="155"/>
      <c r="L790" s="155"/>
      <c r="M790" s="155"/>
      <c r="N790" s="155"/>
      <c r="O790" s="155"/>
    </row>
    <row r="791" spans="1:15" ht="297">
      <c r="A791" s="397"/>
      <c r="B791" s="44" t="s">
        <v>1990</v>
      </c>
      <c r="C791" s="45" t="s">
        <v>8480</v>
      </c>
      <c r="D791" s="45" t="s">
        <v>2010</v>
      </c>
      <c r="E791" s="78" t="s">
        <v>5909</v>
      </c>
      <c r="F791" s="45" t="s">
        <v>8481</v>
      </c>
      <c r="G791" s="46" t="s">
        <v>2004</v>
      </c>
      <c r="H791" s="47" t="s">
        <v>24</v>
      </c>
      <c r="I791" s="118"/>
      <c r="J791" s="155"/>
      <c r="K791" s="155"/>
      <c r="L791" s="155"/>
      <c r="M791" s="155"/>
      <c r="N791" s="155"/>
      <c r="O791" s="155"/>
    </row>
    <row r="792" spans="1:15" ht="297">
      <c r="A792" s="397"/>
      <c r="B792" s="44" t="s">
        <v>1990</v>
      </c>
      <c r="C792" s="45" t="s">
        <v>8482</v>
      </c>
      <c r="D792" s="45" t="s">
        <v>2013</v>
      </c>
      <c r="E792" s="78" t="s">
        <v>5909</v>
      </c>
      <c r="F792" s="45" t="s">
        <v>8483</v>
      </c>
      <c r="G792" s="46" t="s">
        <v>2014</v>
      </c>
      <c r="H792" s="47" t="s">
        <v>24</v>
      </c>
      <c r="I792" s="118"/>
      <c r="J792" s="155"/>
      <c r="K792" s="155"/>
      <c r="L792" s="155"/>
      <c r="M792" s="155"/>
      <c r="N792" s="155"/>
      <c r="O792" s="155"/>
    </row>
    <row r="793" spans="1:15" ht="297">
      <c r="A793" s="397"/>
      <c r="B793" s="44" t="s">
        <v>1990</v>
      </c>
      <c r="C793" s="45" t="s">
        <v>8484</v>
      </c>
      <c r="D793" s="45" t="s">
        <v>2016</v>
      </c>
      <c r="E793" s="78" t="s">
        <v>5909</v>
      </c>
      <c r="F793" s="45" t="s">
        <v>8485</v>
      </c>
      <c r="G793" s="46" t="s">
        <v>2004</v>
      </c>
      <c r="H793" s="47" t="s">
        <v>41</v>
      </c>
      <c r="I793" s="118"/>
      <c r="J793" s="155"/>
      <c r="K793" s="155"/>
      <c r="L793" s="155"/>
      <c r="M793" s="155"/>
      <c r="N793" s="155"/>
      <c r="O793" s="155"/>
    </row>
    <row r="794" spans="1:15" ht="82.5">
      <c r="A794" s="397"/>
      <c r="B794" s="44" t="s">
        <v>1990</v>
      </c>
      <c r="C794" s="45" t="s">
        <v>8486</v>
      </c>
      <c r="D794" s="45" t="s">
        <v>2019</v>
      </c>
      <c r="E794" s="78" t="s">
        <v>5909</v>
      </c>
      <c r="F794" s="45" t="s">
        <v>8487</v>
      </c>
      <c r="G794" s="46" t="s">
        <v>2021</v>
      </c>
      <c r="H794" s="47" t="s">
        <v>36</v>
      </c>
      <c r="I794" s="118"/>
      <c r="J794" s="155"/>
      <c r="K794" s="155"/>
      <c r="L794" s="155"/>
      <c r="M794" s="155"/>
      <c r="N794" s="155"/>
      <c r="O794" s="155"/>
    </row>
    <row r="795" spans="1:15" ht="247.5">
      <c r="A795" s="397"/>
      <c r="B795" s="44" t="s">
        <v>1990</v>
      </c>
      <c r="C795" s="45" t="s">
        <v>8488</v>
      </c>
      <c r="D795" s="45" t="s">
        <v>2023</v>
      </c>
      <c r="E795" s="78" t="s">
        <v>5909</v>
      </c>
      <c r="F795" s="45" t="s">
        <v>8489</v>
      </c>
      <c r="G795" s="46" t="s">
        <v>2004</v>
      </c>
      <c r="H795" s="47" t="s">
        <v>24</v>
      </c>
      <c r="I795" s="118"/>
      <c r="J795" s="155"/>
      <c r="K795" s="155"/>
      <c r="L795" s="155"/>
      <c r="M795" s="155"/>
      <c r="N795" s="155"/>
      <c r="O795" s="155"/>
    </row>
    <row r="796" spans="1:15" ht="330">
      <c r="A796" s="397"/>
      <c r="B796" s="56" t="s">
        <v>1990</v>
      </c>
      <c r="C796" s="53" t="s">
        <v>8490</v>
      </c>
      <c r="D796" s="53" t="s">
        <v>2026</v>
      </c>
      <c r="E796" s="73" t="s">
        <v>5909</v>
      </c>
      <c r="F796" s="60" t="s">
        <v>8491</v>
      </c>
      <c r="G796" s="60" t="s">
        <v>2027</v>
      </c>
      <c r="H796" s="49" t="s">
        <v>41</v>
      </c>
      <c r="I796" s="118"/>
      <c r="J796" s="155"/>
      <c r="K796" s="155"/>
      <c r="L796" s="155"/>
      <c r="M796" s="155"/>
      <c r="N796" s="155"/>
      <c r="O796" s="155"/>
    </row>
    <row r="797" spans="1:15" ht="280.5">
      <c r="A797" s="397"/>
      <c r="B797" s="44" t="s">
        <v>1990</v>
      </c>
      <c r="C797" s="45" t="s">
        <v>8492</v>
      </c>
      <c r="D797" s="45" t="s">
        <v>2029</v>
      </c>
      <c r="E797" s="78" t="s">
        <v>5909</v>
      </c>
      <c r="F797" s="45" t="s">
        <v>8493</v>
      </c>
      <c r="G797" s="46" t="s">
        <v>2031</v>
      </c>
      <c r="H797" s="47" t="s">
        <v>24</v>
      </c>
      <c r="I797" s="118"/>
      <c r="J797" s="155"/>
      <c r="K797" s="155"/>
      <c r="L797" s="155"/>
      <c r="M797" s="155"/>
      <c r="N797" s="155"/>
      <c r="O797" s="155"/>
    </row>
    <row r="798" spans="1:15" ht="82.5">
      <c r="A798" s="397"/>
      <c r="B798" s="44" t="s">
        <v>1990</v>
      </c>
      <c r="C798" s="45" t="s">
        <v>8494</v>
      </c>
      <c r="D798" s="45" t="s">
        <v>2033</v>
      </c>
      <c r="E798" s="78" t="s">
        <v>5909</v>
      </c>
      <c r="F798" s="45" t="s">
        <v>8495</v>
      </c>
      <c r="G798" s="46" t="s">
        <v>2035</v>
      </c>
      <c r="H798" s="47" t="s">
        <v>36</v>
      </c>
      <c r="I798" s="118"/>
      <c r="J798" s="155"/>
      <c r="K798" s="155"/>
      <c r="L798" s="155"/>
      <c r="M798" s="155"/>
      <c r="N798" s="155"/>
      <c r="O798" s="155"/>
    </row>
    <row r="799" spans="1:15" ht="264">
      <c r="A799" s="397"/>
      <c r="B799" s="44" t="s">
        <v>1990</v>
      </c>
      <c r="C799" s="45" t="s">
        <v>8496</v>
      </c>
      <c r="D799" s="45" t="s">
        <v>2037</v>
      </c>
      <c r="E799" s="78" t="s">
        <v>5909</v>
      </c>
      <c r="F799" s="45" t="s">
        <v>8497</v>
      </c>
      <c r="G799" s="46" t="s">
        <v>2004</v>
      </c>
      <c r="H799" s="47" t="s">
        <v>41</v>
      </c>
      <c r="I799" s="118"/>
      <c r="J799" s="155"/>
      <c r="K799" s="155"/>
      <c r="L799" s="155"/>
      <c r="M799" s="155"/>
      <c r="N799" s="155"/>
      <c r="O799" s="155"/>
    </row>
    <row r="800" spans="1:15" ht="264">
      <c r="A800" s="397"/>
      <c r="B800" s="44" t="s">
        <v>1990</v>
      </c>
      <c r="C800" s="45" t="s">
        <v>8498</v>
      </c>
      <c r="D800" s="45" t="s">
        <v>2040</v>
      </c>
      <c r="E800" s="78" t="s">
        <v>5909</v>
      </c>
      <c r="F800" s="45" t="s">
        <v>8499</v>
      </c>
      <c r="G800" s="46" t="s">
        <v>2004</v>
      </c>
      <c r="H800" s="47" t="s">
        <v>24</v>
      </c>
      <c r="I800" s="118"/>
      <c r="J800" s="155"/>
      <c r="K800" s="155"/>
      <c r="L800" s="155"/>
      <c r="M800" s="155"/>
      <c r="N800" s="155"/>
      <c r="O800" s="155"/>
    </row>
    <row r="801" spans="1:15" ht="247.5">
      <c r="A801" s="397"/>
      <c r="B801" s="44" t="s">
        <v>1990</v>
      </c>
      <c r="C801" s="45" t="s">
        <v>8500</v>
      </c>
      <c r="D801" s="45" t="s">
        <v>2042</v>
      </c>
      <c r="E801" s="78" t="s">
        <v>5909</v>
      </c>
      <c r="F801" s="45" t="s">
        <v>8501</v>
      </c>
      <c r="G801" s="46" t="s">
        <v>2004</v>
      </c>
      <c r="H801" s="47" t="s">
        <v>24</v>
      </c>
      <c r="I801" s="118"/>
      <c r="J801" s="155"/>
      <c r="K801" s="155"/>
      <c r="L801" s="155"/>
      <c r="M801" s="155"/>
      <c r="N801" s="155"/>
      <c r="O801" s="155"/>
    </row>
    <row r="802" spans="1:15" ht="297">
      <c r="A802" s="397"/>
      <c r="B802" s="44" t="s">
        <v>1990</v>
      </c>
      <c r="C802" s="45" t="s">
        <v>8502</v>
      </c>
      <c r="D802" s="45" t="s">
        <v>2045</v>
      </c>
      <c r="E802" s="78" t="s">
        <v>5909</v>
      </c>
      <c r="F802" s="45" t="s">
        <v>8503</v>
      </c>
      <c r="G802" s="46" t="s">
        <v>2031</v>
      </c>
      <c r="H802" s="47" t="s">
        <v>41</v>
      </c>
      <c r="I802" s="118"/>
      <c r="J802" s="155"/>
      <c r="K802" s="155"/>
      <c r="L802" s="155"/>
      <c r="M802" s="155"/>
      <c r="N802" s="155"/>
      <c r="O802" s="155"/>
    </row>
    <row r="803" spans="1:15" ht="82.5">
      <c r="A803" s="397"/>
      <c r="B803" s="44" t="s">
        <v>1990</v>
      </c>
      <c r="C803" s="45" t="s">
        <v>8504</v>
      </c>
      <c r="D803" s="45" t="s">
        <v>2047</v>
      </c>
      <c r="E803" s="78" t="s">
        <v>5909</v>
      </c>
      <c r="F803" s="45" t="s">
        <v>8505</v>
      </c>
      <c r="G803" s="46" t="s">
        <v>2035</v>
      </c>
      <c r="H803" s="47" t="s">
        <v>36</v>
      </c>
      <c r="I803" s="118"/>
      <c r="J803" s="155"/>
      <c r="K803" s="155"/>
      <c r="L803" s="155"/>
      <c r="M803" s="155"/>
      <c r="N803" s="155"/>
      <c r="O803" s="155"/>
    </row>
    <row r="804" spans="1:15" ht="280.5">
      <c r="A804" s="397"/>
      <c r="B804" s="44" t="s">
        <v>1990</v>
      </c>
      <c r="C804" s="45" t="s">
        <v>8506</v>
      </c>
      <c r="D804" s="45" t="s">
        <v>2050</v>
      </c>
      <c r="E804" s="78" t="s">
        <v>5909</v>
      </c>
      <c r="F804" s="45" t="s">
        <v>8507</v>
      </c>
      <c r="G804" s="46" t="s">
        <v>2004</v>
      </c>
      <c r="H804" s="47" t="s">
        <v>24</v>
      </c>
      <c r="I804" s="118"/>
      <c r="J804" s="155"/>
      <c r="K804" s="155"/>
      <c r="L804" s="155"/>
      <c r="M804" s="155"/>
      <c r="N804" s="155"/>
      <c r="O804" s="155"/>
    </row>
    <row r="805" spans="1:15" ht="280.5">
      <c r="A805" s="397"/>
      <c r="B805" s="44" t="s">
        <v>1990</v>
      </c>
      <c r="C805" s="45" t="s">
        <v>8508</v>
      </c>
      <c r="D805" s="45" t="s">
        <v>2053</v>
      </c>
      <c r="E805" s="78" t="s">
        <v>5909</v>
      </c>
      <c r="F805" s="45" t="s">
        <v>8509</v>
      </c>
      <c r="G805" s="46" t="s">
        <v>2004</v>
      </c>
      <c r="H805" s="47" t="s">
        <v>41</v>
      </c>
      <c r="I805" s="118"/>
      <c r="J805" s="155"/>
      <c r="K805" s="155"/>
      <c r="L805" s="155"/>
      <c r="M805" s="155"/>
      <c r="N805" s="155"/>
      <c r="O805" s="155"/>
    </row>
    <row r="806" spans="1:15" ht="264">
      <c r="A806" s="397"/>
      <c r="B806" s="56" t="s">
        <v>1990</v>
      </c>
      <c r="C806" s="53" t="s">
        <v>8510</v>
      </c>
      <c r="D806" s="45" t="s">
        <v>2056</v>
      </c>
      <c r="E806" s="73" t="s">
        <v>5909</v>
      </c>
      <c r="F806" s="46" t="s">
        <v>8511</v>
      </c>
      <c r="G806" s="60" t="s">
        <v>2004</v>
      </c>
      <c r="H806" s="49" t="s">
        <v>41</v>
      </c>
      <c r="I806" s="114"/>
      <c r="J806" s="155"/>
      <c r="K806" s="155"/>
      <c r="L806" s="155"/>
      <c r="M806" s="155"/>
      <c r="N806" s="155"/>
      <c r="O806" s="155"/>
    </row>
    <row r="807" spans="1:15" ht="280.5">
      <c r="A807" s="397"/>
      <c r="B807" s="56" t="s">
        <v>1990</v>
      </c>
      <c r="C807" s="53" t="s">
        <v>8512</v>
      </c>
      <c r="D807" s="45" t="s">
        <v>2059</v>
      </c>
      <c r="E807" s="73" t="s">
        <v>5909</v>
      </c>
      <c r="F807" s="60" t="s">
        <v>8513</v>
      </c>
      <c r="G807" s="60" t="s">
        <v>2061</v>
      </c>
      <c r="H807" s="49" t="s">
        <v>24</v>
      </c>
      <c r="I807" s="114"/>
      <c r="J807" s="155"/>
      <c r="K807" s="155"/>
      <c r="L807" s="155"/>
      <c r="M807" s="155"/>
      <c r="N807" s="155"/>
      <c r="O807" s="155"/>
    </row>
    <row r="808" spans="1:15" ht="280.5">
      <c r="A808" s="397"/>
      <c r="B808" s="44" t="s">
        <v>1990</v>
      </c>
      <c r="C808" s="45" t="s">
        <v>8514</v>
      </c>
      <c r="D808" s="45" t="s">
        <v>2063</v>
      </c>
      <c r="E808" s="78" t="s">
        <v>5909</v>
      </c>
      <c r="F808" s="45" t="s">
        <v>8515</v>
      </c>
      <c r="G808" s="46" t="s">
        <v>2004</v>
      </c>
      <c r="H808" s="47" t="s">
        <v>24</v>
      </c>
      <c r="I808" s="118"/>
      <c r="J808" s="155"/>
      <c r="K808" s="155"/>
      <c r="L808" s="155"/>
      <c r="M808" s="155"/>
      <c r="N808" s="155"/>
      <c r="O808" s="155"/>
    </row>
    <row r="809" spans="1:15" ht="264">
      <c r="A809" s="397"/>
      <c r="B809" s="44" t="s">
        <v>1990</v>
      </c>
      <c r="C809" s="45" t="s">
        <v>8516</v>
      </c>
      <c r="D809" s="45" t="s">
        <v>2066</v>
      </c>
      <c r="E809" s="78" t="s">
        <v>5909</v>
      </c>
      <c r="F809" s="59" t="s">
        <v>8517</v>
      </c>
      <c r="G809" s="46" t="s">
        <v>2004</v>
      </c>
      <c r="H809" s="47" t="s">
        <v>41</v>
      </c>
      <c r="I809" s="118"/>
      <c r="J809" s="155"/>
      <c r="K809" s="155"/>
      <c r="L809" s="155"/>
      <c r="M809" s="155"/>
      <c r="N809" s="155"/>
      <c r="O809" s="155"/>
    </row>
    <row r="810" spans="1:15" ht="280.5">
      <c r="A810" s="397"/>
      <c r="B810" s="44" t="s">
        <v>1990</v>
      </c>
      <c r="C810" s="45" t="s">
        <v>8518</v>
      </c>
      <c r="D810" s="53" t="s">
        <v>2069</v>
      </c>
      <c r="E810" s="78" t="s">
        <v>5909</v>
      </c>
      <c r="F810" s="45" t="s">
        <v>8519</v>
      </c>
      <c r="G810" s="46" t="s">
        <v>2004</v>
      </c>
      <c r="H810" s="47" t="s">
        <v>24</v>
      </c>
      <c r="I810" s="118"/>
      <c r="J810" s="155"/>
      <c r="K810" s="155"/>
      <c r="L810" s="155"/>
      <c r="M810" s="155"/>
      <c r="N810" s="155"/>
      <c r="O810" s="155"/>
    </row>
    <row r="811" spans="1:15" ht="82.5">
      <c r="A811" s="397"/>
      <c r="B811" s="44" t="s">
        <v>1990</v>
      </c>
      <c r="C811" s="45" t="s">
        <v>8520</v>
      </c>
      <c r="D811" s="45" t="s">
        <v>2072</v>
      </c>
      <c r="E811" s="78" t="s">
        <v>5909</v>
      </c>
      <c r="F811" s="45" t="s">
        <v>8521</v>
      </c>
      <c r="G811" s="46" t="s">
        <v>2074</v>
      </c>
      <c r="H811" s="47" t="s">
        <v>41</v>
      </c>
      <c r="I811" s="118"/>
      <c r="J811" s="155"/>
      <c r="K811" s="155"/>
      <c r="L811" s="155"/>
      <c r="M811" s="155"/>
      <c r="N811" s="155"/>
      <c r="O811" s="155"/>
    </row>
    <row r="812" spans="1:15" ht="280.5">
      <c r="A812" s="397"/>
      <c r="B812" s="44" t="s">
        <v>1990</v>
      </c>
      <c r="C812" s="45" t="s">
        <v>8522</v>
      </c>
      <c r="D812" s="45" t="s">
        <v>2076</v>
      </c>
      <c r="E812" s="78" t="s">
        <v>5909</v>
      </c>
      <c r="F812" s="45" t="s">
        <v>8523</v>
      </c>
      <c r="G812" s="46" t="s">
        <v>2004</v>
      </c>
      <c r="H812" s="47" t="s">
        <v>36</v>
      </c>
      <c r="I812" s="118"/>
      <c r="J812" s="155"/>
      <c r="K812" s="155"/>
      <c r="L812" s="155"/>
      <c r="M812" s="155"/>
      <c r="N812" s="155"/>
      <c r="O812" s="155"/>
    </row>
    <row r="813" spans="1:15" ht="280.5">
      <c r="A813" s="397"/>
      <c r="B813" s="56" t="s">
        <v>1990</v>
      </c>
      <c r="C813" s="53" t="s">
        <v>8524</v>
      </c>
      <c r="D813" s="53" t="s">
        <v>2079</v>
      </c>
      <c r="E813" s="73" t="s">
        <v>5909</v>
      </c>
      <c r="F813" s="46" t="s">
        <v>8525</v>
      </c>
      <c r="G813" s="60" t="s">
        <v>2004</v>
      </c>
      <c r="H813" s="47" t="s">
        <v>41</v>
      </c>
      <c r="I813" s="118"/>
      <c r="J813" s="155"/>
      <c r="K813" s="155"/>
      <c r="L813" s="155"/>
      <c r="M813" s="155"/>
      <c r="N813" s="155"/>
      <c r="O813" s="155"/>
    </row>
    <row r="814" spans="1:15" ht="280.5">
      <c r="A814" s="397"/>
      <c r="B814" s="56" t="s">
        <v>1990</v>
      </c>
      <c r="C814" s="53" t="s">
        <v>8526</v>
      </c>
      <c r="D814" s="53" t="s">
        <v>2082</v>
      </c>
      <c r="E814" s="73" t="s">
        <v>5909</v>
      </c>
      <c r="F814" s="60" t="s">
        <v>8527</v>
      </c>
      <c r="G814" s="60" t="s">
        <v>2084</v>
      </c>
      <c r="H814" s="47" t="s">
        <v>24</v>
      </c>
      <c r="I814" s="118"/>
      <c r="J814" s="155"/>
      <c r="K814" s="155"/>
      <c r="L814" s="155"/>
      <c r="M814" s="155"/>
      <c r="N814" s="155"/>
      <c r="O814" s="155"/>
    </row>
    <row r="815" spans="1:15" ht="297">
      <c r="A815" s="397"/>
      <c r="B815" s="44" t="s">
        <v>1990</v>
      </c>
      <c r="C815" s="45" t="s">
        <v>8528</v>
      </c>
      <c r="D815" s="45" t="s">
        <v>2086</v>
      </c>
      <c r="E815" s="78" t="s">
        <v>5909</v>
      </c>
      <c r="F815" s="45" t="s">
        <v>8529</v>
      </c>
      <c r="G815" s="46" t="s">
        <v>2004</v>
      </c>
      <c r="H815" s="47" t="s">
        <v>41</v>
      </c>
      <c r="I815" s="118"/>
      <c r="J815" s="155"/>
      <c r="K815" s="155"/>
      <c r="L815" s="155"/>
      <c r="M815" s="155"/>
      <c r="N815" s="155"/>
      <c r="O815" s="155"/>
    </row>
    <row r="816" spans="1:15" ht="280.5">
      <c r="A816" s="397"/>
      <c r="B816" s="44" t="s">
        <v>1990</v>
      </c>
      <c r="C816" s="45" t="s">
        <v>8530</v>
      </c>
      <c r="D816" s="45" t="s">
        <v>2089</v>
      </c>
      <c r="E816" s="78" t="s">
        <v>5909</v>
      </c>
      <c r="F816" s="45" t="s">
        <v>8531</v>
      </c>
      <c r="G816" s="46" t="s">
        <v>2004</v>
      </c>
      <c r="H816" s="47" t="s">
        <v>24</v>
      </c>
      <c r="I816" s="118"/>
      <c r="J816" s="155"/>
      <c r="K816" s="155"/>
      <c r="L816" s="155"/>
      <c r="M816" s="155"/>
      <c r="N816" s="155"/>
      <c r="O816" s="155"/>
    </row>
    <row r="817" spans="1:15" ht="264">
      <c r="A817" s="397"/>
      <c r="B817" s="44" t="s">
        <v>1990</v>
      </c>
      <c r="C817" s="45" t="s">
        <v>8532</v>
      </c>
      <c r="D817" s="45" t="s">
        <v>2092</v>
      </c>
      <c r="E817" s="78" t="s">
        <v>5909</v>
      </c>
      <c r="F817" s="45" t="s">
        <v>8533</v>
      </c>
      <c r="G817" s="46" t="s">
        <v>2004</v>
      </c>
      <c r="H817" s="47" t="s">
        <v>24</v>
      </c>
      <c r="I817" s="118"/>
      <c r="J817" s="155"/>
      <c r="K817" s="155"/>
      <c r="L817" s="155"/>
      <c r="M817" s="155"/>
      <c r="N817" s="155"/>
      <c r="O817" s="155"/>
    </row>
    <row r="818" spans="1:15" ht="264">
      <c r="A818" s="397"/>
      <c r="B818" s="44" t="s">
        <v>1990</v>
      </c>
      <c r="C818" s="45" t="s">
        <v>8534</v>
      </c>
      <c r="D818" s="45" t="s">
        <v>2095</v>
      </c>
      <c r="E818" s="78" t="s">
        <v>5909</v>
      </c>
      <c r="F818" s="45" t="s">
        <v>8535</v>
      </c>
      <c r="G818" s="46" t="s">
        <v>2004</v>
      </c>
      <c r="H818" s="47" t="s">
        <v>41</v>
      </c>
      <c r="I818" s="118"/>
      <c r="J818" s="155"/>
      <c r="K818" s="155"/>
      <c r="L818" s="155"/>
      <c r="M818" s="155"/>
      <c r="N818" s="155"/>
      <c r="O818" s="155"/>
    </row>
    <row r="819" spans="1:15" ht="280.5">
      <c r="A819" s="397"/>
      <c r="B819" s="44" t="s">
        <v>1990</v>
      </c>
      <c r="C819" s="45" t="s">
        <v>8536</v>
      </c>
      <c r="D819" s="45" t="s">
        <v>2097</v>
      </c>
      <c r="E819" s="78" t="s">
        <v>5909</v>
      </c>
      <c r="F819" s="45" t="s">
        <v>8537</v>
      </c>
      <c r="G819" s="46" t="s">
        <v>2004</v>
      </c>
      <c r="H819" s="47" t="s">
        <v>41</v>
      </c>
      <c r="I819" s="118"/>
      <c r="J819" s="155"/>
      <c r="K819" s="155"/>
      <c r="L819" s="155"/>
      <c r="M819" s="155"/>
      <c r="N819" s="155"/>
      <c r="O819" s="155"/>
    </row>
    <row r="820" spans="1:15" ht="264">
      <c r="A820" s="397"/>
      <c r="B820" s="44" t="s">
        <v>1990</v>
      </c>
      <c r="C820" s="45" t="s">
        <v>8538</v>
      </c>
      <c r="D820" s="45" t="s">
        <v>2099</v>
      </c>
      <c r="E820" s="78" t="s">
        <v>5909</v>
      </c>
      <c r="F820" s="45" t="s">
        <v>8539</v>
      </c>
      <c r="G820" s="46" t="s">
        <v>2004</v>
      </c>
      <c r="H820" s="47" t="s">
        <v>24</v>
      </c>
      <c r="I820" s="118"/>
      <c r="J820" s="155"/>
      <c r="K820" s="155"/>
      <c r="L820" s="155"/>
      <c r="M820" s="155"/>
      <c r="N820" s="155"/>
      <c r="O820" s="155"/>
    </row>
    <row r="821" spans="1:15" ht="409.5">
      <c r="A821" s="397"/>
      <c r="B821" s="56" t="s">
        <v>1990</v>
      </c>
      <c r="C821" s="45" t="s">
        <v>8540</v>
      </c>
      <c r="D821" s="45" t="s">
        <v>2101</v>
      </c>
      <c r="E821" s="73" t="s">
        <v>5909</v>
      </c>
      <c r="F821" s="53" t="s">
        <v>8541</v>
      </c>
      <c r="G821" s="60" t="s">
        <v>2103</v>
      </c>
      <c r="H821" s="47" t="s">
        <v>41</v>
      </c>
      <c r="I821" s="118"/>
      <c r="J821" s="155"/>
      <c r="K821" s="155"/>
      <c r="L821" s="155"/>
      <c r="M821" s="155"/>
      <c r="N821" s="155"/>
      <c r="O821" s="155"/>
    </row>
    <row r="822" spans="1:15" ht="280.5">
      <c r="A822" s="397"/>
      <c r="B822" s="44" t="s">
        <v>1990</v>
      </c>
      <c r="C822" s="45" t="s">
        <v>8542</v>
      </c>
      <c r="D822" s="45" t="s">
        <v>8543</v>
      </c>
      <c r="E822" s="78" t="s">
        <v>5909</v>
      </c>
      <c r="F822" s="45" t="s">
        <v>8544</v>
      </c>
      <c r="G822" s="60" t="s">
        <v>2004</v>
      </c>
      <c r="H822" s="47" t="s">
        <v>36</v>
      </c>
      <c r="I822" s="118"/>
      <c r="J822" s="155"/>
      <c r="K822" s="155"/>
      <c r="L822" s="155"/>
      <c r="M822" s="155"/>
      <c r="N822" s="155"/>
      <c r="O822" s="155"/>
    </row>
    <row r="823" spans="1:15" ht="280.5">
      <c r="A823" s="397"/>
      <c r="B823" s="44" t="s">
        <v>1990</v>
      </c>
      <c r="C823" s="45" t="s">
        <v>8545</v>
      </c>
      <c r="D823" s="45" t="s">
        <v>8546</v>
      </c>
      <c r="E823" s="78" t="s">
        <v>5909</v>
      </c>
      <c r="F823" s="45" t="s">
        <v>8547</v>
      </c>
      <c r="G823" s="46" t="s">
        <v>2004</v>
      </c>
      <c r="H823" s="47" t="s">
        <v>36</v>
      </c>
      <c r="I823" s="118"/>
      <c r="J823" s="155"/>
      <c r="K823" s="155"/>
      <c r="L823" s="155"/>
      <c r="M823" s="155"/>
      <c r="N823" s="155"/>
      <c r="O823" s="155"/>
    </row>
    <row r="824" spans="1:15" ht="280.5">
      <c r="A824" s="397"/>
      <c r="B824" s="44" t="s">
        <v>1990</v>
      </c>
      <c r="C824" s="45" t="s">
        <v>8548</v>
      </c>
      <c r="D824" s="45" t="s">
        <v>8549</v>
      </c>
      <c r="E824" s="78" t="s">
        <v>5909</v>
      </c>
      <c r="F824" s="45" t="s">
        <v>8550</v>
      </c>
      <c r="G824" s="46" t="s">
        <v>2004</v>
      </c>
      <c r="H824" s="47" t="s">
        <v>36</v>
      </c>
      <c r="I824" s="118"/>
      <c r="J824" s="155"/>
      <c r="K824" s="155"/>
      <c r="L824" s="155"/>
      <c r="M824" s="155"/>
      <c r="N824" s="155"/>
      <c r="O824" s="155"/>
    </row>
    <row r="825" spans="1:15" ht="280.5">
      <c r="A825" s="397"/>
      <c r="B825" s="44" t="s">
        <v>1990</v>
      </c>
      <c r="C825" s="45" t="s">
        <v>8551</v>
      </c>
      <c r="D825" s="45" t="s">
        <v>8552</v>
      </c>
      <c r="E825" s="78" t="s">
        <v>5909</v>
      </c>
      <c r="F825" s="45" t="s">
        <v>8553</v>
      </c>
      <c r="G825" s="46" t="s">
        <v>2004</v>
      </c>
      <c r="H825" s="47" t="s">
        <v>36</v>
      </c>
      <c r="I825" s="118"/>
      <c r="J825" s="155"/>
      <c r="K825" s="155"/>
      <c r="L825" s="155"/>
      <c r="M825" s="155"/>
      <c r="N825" s="155"/>
      <c r="O825" s="155"/>
    </row>
    <row r="826" spans="1:15" ht="264">
      <c r="A826" s="397"/>
      <c r="B826" s="44" t="s">
        <v>1990</v>
      </c>
      <c r="C826" s="45" t="s">
        <v>8554</v>
      </c>
      <c r="D826" s="45" t="s">
        <v>8555</v>
      </c>
      <c r="E826" s="78" t="s">
        <v>5909</v>
      </c>
      <c r="F826" s="45" t="s">
        <v>8556</v>
      </c>
      <c r="G826" s="46" t="s">
        <v>2004</v>
      </c>
      <c r="H826" s="47" t="s">
        <v>24</v>
      </c>
      <c r="I826" s="118"/>
      <c r="J826" s="155"/>
      <c r="K826" s="155"/>
      <c r="L826" s="155"/>
      <c r="M826" s="155"/>
      <c r="N826" s="155"/>
      <c r="O826" s="155"/>
    </row>
    <row r="827" spans="1:15" ht="264">
      <c r="A827" s="397"/>
      <c r="B827" s="44" t="s">
        <v>1990</v>
      </c>
      <c r="C827" s="45" t="s">
        <v>8557</v>
      </c>
      <c r="D827" s="45" t="s">
        <v>8558</v>
      </c>
      <c r="E827" s="78" t="s">
        <v>5909</v>
      </c>
      <c r="F827" s="45" t="s">
        <v>8559</v>
      </c>
      <c r="G827" s="46" t="s">
        <v>2004</v>
      </c>
      <c r="H827" s="47" t="s">
        <v>41</v>
      </c>
      <c r="I827" s="118"/>
      <c r="J827" s="155"/>
      <c r="K827" s="155"/>
      <c r="L827" s="155"/>
      <c r="M827" s="155"/>
      <c r="N827" s="155"/>
      <c r="O827" s="155"/>
    </row>
    <row r="828" spans="1:15" ht="280.5">
      <c r="A828" s="397"/>
      <c r="B828" s="44" t="s">
        <v>1990</v>
      </c>
      <c r="C828" s="45" t="s">
        <v>8560</v>
      </c>
      <c r="D828" s="45" t="s">
        <v>8561</v>
      </c>
      <c r="E828" s="78" t="s">
        <v>5909</v>
      </c>
      <c r="F828" s="45" t="s">
        <v>8562</v>
      </c>
      <c r="G828" s="46" t="s">
        <v>2004</v>
      </c>
      <c r="H828" s="47" t="s">
        <v>41</v>
      </c>
      <c r="I828" s="118"/>
      <c r="J828" s="155"/>
      <c r="K828" s="155"/>
      <c r="L828" s="155"/>
      <c r="M828" s="155"/>
      <c r="N828" s="155"/>
      <c r="O828" s="155"/>
    </row>
    <row r="829" spans="1:15" ht="264">
      <c r="A829" s="397"/>
      <c r="B829" s="44" t="s">
        <v>1990</v>
      </c>
      <c r="C829" s="45" t="s">
        <v>8563</v>
      </c>
      <c r="D829" s="45" t="s">
        <v>8564</v>
      </c>
      <c r="E829" s="78" t="s">
        <v>5909</v>
      </c>
      <c r="F829" s="45" t="s">
        <v>8565</v>
      </c>
      <c r="G829" s="46" t="s">
        <v>2004</v>
      </c>
      <c r="H829" s="47" t="s">
        <v>24</v>
      </c>
      <c r="I829" s="118"/>
      <c r="J829" s="155"/>
      <c r="K829" s="155"/>
      <c r="L829" s="155"/>
      <c r="M829" s="155"/>
      <c r="N829" s="155"/>
      <c r="O829" s="155"/>
    </row>
    <row r="830" spans="1:15" ht="313.5">
      <c r="A830" s="397"/>
      <c r="B830" s="56" t="s">
        <v>1990</v>
      </c>
      <c r="C830" s="53" t="s">
        <v>8566</v>
      </c>
      <c r="D830" s="45" t="s">
        <v>8567</v>
      </c>
      <c r="E830" s="73" t="s">
        <v>5909</v>
      </c>
      <c r="F830" s="46" t="s">
        <v>8568</v>
      </c>
      <c r="G830" s="60" t="s">
        <v>2004</v>
      </c>
      <c r="H830" s="47" t="s">
        <v>24</v>
      </c>
      <c r="I830" s="118"/>
      <c r="J830" s="155"/>
      <c r="K830" s="155"/>
      <c r="L830" s="155"/>
      <c r="M830" s="155"/>
      <c r="N830" s="155"/>
      <c r="O830" s="155"/>
    </row>
    <row r="831" spans="1:15" ht="264">
      <c r="A831" s="397"/>
      <c r="B831" s="44" t="s">
        <v>1990</v>
      </c>
      <c r="C831" s="45" t="s">
        <v>8569</v>
      </c>
      <c r="D831" s="45" t="s">
        <v>8570</v>
      </c>
      <c r="E831" s="78" t="s">
        <v>5909</v>
      </c>
      <c r="F831" s="45" t="s">
        <v>8571</v>
      </c>
      <c r="G831" s="46" t="s">
        <v>2004</v>
      </c>
      <c r="H831" s="47" t="s">
        <v>24</v>
      </c>
      <c r="I831" s="118"/>
      <c r="J831" s="155"/>
      <c r="K831" s="155"/>
      <c r="L831" s="155"/>
      <c r="M831" s="155"/>
      <c r="N831" s="155"/>
      <c r="O831" s="155"/>
    </row>
    <row r="832" spans="1:15" ht="264">
      <c r="A832" s="397"/>
      <c r="B832" s="44" t="s">
        <v>1990</v>
      </c>
      <c r="C832" s="45" t="s">
        <v>8572</v>
      </c>
      <c r="D832" s="45" t="s">
        <v>8573</v>
      </c>
      <c r="E832" s="78" t="s">
        <v>5909</v>
      </c>
      <c r="F832" s="45" t="s">
        <v>8574</v>
      </c>
      <c r="G832" s="46" t="s">
        <v>2004</v>
      </c>
      <c r="H832" s="47" t="s">
        <v>24</v>
      </c>
      <c r="I832" s="118"/>
      <c r="J832" s="155"/>
      <c r="K832" s="155"/>
      <c r="L832" s="155"/>
      <c r="M832" s="155"/>
      <c r="N832" s="155"/>
      <c r="O832" s="155"/>
    </row>
    <row r="833" spans="1:15" ht="280.5">
      <c r="A833" s="397"/>
      <c r="B833" s="44" t="s">
        <v>1990</v>
      </c>
      <c r="C833" s="45" t="s">
        <v>8575</v>
      </c>
      <c r="D833" s="45" t="s">
        <v>8576</v>
      </c>
      <c r="E833" s="78" t="s">
        <v>5909</v>
      </c>
      <c r="F833" s="45" t="s">
        <v>8577</v>
      </c>
      <c r="G833" s="46" t="s">
        <v>2004</v>
      </c>
      <c r="H833" s="47" t="s">
        <v>24</v>
      </c>
      <c r="I833" s="118"/>
      <c r="J833" s="155"/>
      <c r="K833" s="155"/>
      <c r="L833" s="155"/>
      <c r="M833" s="155"/>
      <c r="N833" s="155"/>
      <c r="O833" s="155"/>
    </row>
    <row r="834" spans="1:15" ht="264">
      <c r="A834" s="397"/>
      <c r="B834" s="44" t="s">
        <v>1990</v>
      </c>
      <c r="C834" s="45" t="s">
        <v>8578</v>
      </c>
      <c r="D834" s="45" t="s">
        <v>8579</v>
      </c>
      <c r="E834" s="78" t="s">
        <v>5909</v>
      </c>
      <c r="F834" s="45" t="s">
        <v>8580</v>
      </c>
      <c r="G834" s="46" t="s">
        <v>2004</v>
      </c>
      <c r="H834" s="47" t="s">
        <v>24</v>
      </c>
      <c r="I834" s="118"/>
      <c r="J834" s="155"/>
      <c r="K834" s="155"/>
      <c r="L834" s="155"/>
      <c r="M834" s="155"/>
      <c r="N834" s="155"/>
      <c r="O834" s="155"/>
    </row>
    <row r="835" spans="1:15" ht="264">
      <c r="A835" s="397"/>
      <c r="B835" s="56" t="s">
        <v>1990</v>
      </c>
      <c r="C835" s="53" t="s">
        <v>8581</v>
      </c>
      <c r="D835" s="45" t="s">
        <v>8582</v>
      </c>
      <c r="E835" s="73" t="s">
        <v>5909</v>
      </c>
      <c r="F835" s="60" t="s">
        <v>8583</v>
      </c>
      <c r="G835" s="60" t="s">
        <v>2061</v>
      </c>
      <c r="H835" s="47" t="s">
        <v>24</v>
      </c>
      <c r="I835" s="118"/>
      <c r="J835" s="155"/>
      <c r="K835" s="155"/>
      <c r="L835" s="155"/>
      <c r="M835" s="155"/>
      <c r="N835" s="155"/>
      <c r="O835" s="155"/>
    </row>
    <row r="836" spans="1:15" ht="297">
      <c r="A836" s="397"/>
      <c r="B836" s="50" t="s">
        <v>2114</v>
      </c>
      <c r="C836" s="45" t="s">
        <v>8584</v>
      </c>
      <c r="D836" s="45" t="s">
        <v>2116</v>
      </c>
      <c r="E836" s="78" t="s">
        <v>5909</v>
      </c>
      <c r="F836" s="45" t="s">
        <v>8585</v>
      </c>
      <c r="G836" s="46" t="s">
        <v>2004</v>
      </c>
      <c r="H836" s="47" t="s">
        <v>24</v>
      </c>
      <c r="I836" s="118"/>
      <c r="J836" s="155"/>
      <c r="K836" s="155"/>
      <c r="L836" s="155"/>
      <c r="M836" s="155"/>
      <c r="N836" s="155"/>
      <c r="O836" s="155"/>
    </row>
    <row r="837" spans="1:15" ht="280.5">
      <c r="A837" s="397"/>
      <c r="B837" s="50" t="s">
        <v>2114</v>
      </c>
      <c r="C837" s="45" t="s">
        <v>8586</v>
      </c>
      <c r="D837" s="45" t="s">
        <v>2119</v>
      </c>
      <c r="E837" s="78" t="s">
        <v>5909</v>
      </c>
      <c r="F837" s="45" t="s">
        <v>8587</v>
      </c>
      <c r="G837" s="46" t="s">
        <v>2004</v>
      </c>
      <c r="H837" s="47" t="s">
        <v>24</v>
      </c>
      <c r="I837" s="118"/>
      <c r="J837" s="155"/>
      <c r="K837" s="155"/>
      <c r="L837" s="155"/>
      <c r="M837" s="155"/>
      <c r="N837" s="155"/>
      <c r="O837" s="155"/>
    </row>
    <row r="838" spans="1:15" ht="297">
      <c r="A838" s="397"/>
      <c r="B838" s="51" t="s">
        <v>2114</v>
      </c>
      <c r="C838" s="53" t="s">
        <v>8588</v>
      </c>
      <c r="D838" s="45" t="s">
        <v>2122</v>
      </c>
      <c r="E838" s="73" t="s">
        <v>5909</v>
      </c>
      <c r="F838" s="46" t="s">
        <v>8589</v>
      </c>
      <c r="G838" s="60" t="s">
        <v>2124</v>
      </c>
      <c r="H838" s="47" t="s">
        <v>24</v>
      </c>
      <c r="I838" s="118"/>
      <c r="J838" s="155"/>
      <c r="K838" s="155"/>
      <c r="L838" s="155"/>
      <c r="M838" s="155"/>
      <c r="N838" s="155"/>
      <c r="O838" s="155"/>
    </row>
    <row r="839" spans="1:15" ht="313.5">
      <c r="A839" s="397"/>
      <c r="B839" s="50" t="s">
        <v>2114</v>
      </c>
      <c r="C839" s="45" t="s">
        <v>8590</v>
      </c>
      <c r="D839" s="45" t="s">
        <v>2126</v>
      </c>
      <c r="E839" s="78" t="s">
        <v>5909</v>
      </c>
      <c r="F839" s="45" t="s">
        <v>8591</v>
      </c>
      <c r="G839" s="60" t="s">
        <v>2128</v>
      </c>
      <c r="H839" s="47" t="s">
        <v>24</v>
      </c>
      <c r="I839" s="118"/>
      <c r="J839" s="155"/>
      <c r="K839" s="155"/>
      <c r="L839" s="155"/>
      <c r="M839" s="155"/>
      <c r="N839" s="155"/>
      <c r="O839" s="155"/>
    </row>
    <row r="840" spans="1:15" ht="313.5">
      <c r="A840" s="397"/>
      <c r="B840" s="51" t="s">
        <v>2114</v>
      </c>
      <c r="C840" s="53" t="s">
        <v>8592</v>
      </c>
      <c r="D840" s="45" t="s">
        <v>8593</v>
      </c>
      <c r="E840" s="73" t="s">
        <v>5909</v>
      </c>
      <c r="F840" s="46" t="s">
        <v>8594</v>
      </c>
      <c r="G840" s="60" t="s">
        <v>2132</v>
      </c>
      <c r="H840" s="47" t="s">
        <v>24</v>
      </c>
      <c r="I840" s="118"/>
      <c r="J840" s="155"/>
      <c r="K840" s="155"/>
      <c r="L840" s="155"/>
      <c r="M840" s="155"/>
      <c r="N840" s="155"/>
      <c r="O840" s="155"/>
    </row>
    <row r="841" spans="1:15" ht="297">
      <c r="A841" s="397"/>
      <c r="B841" s="50" t="s">
        <v>2114</v>
      </c>
      <c r="C841" s="45" t="s">
        <v>8595</v>
      </c>
      <c r="D841" s="45" t="s">
        <v>8596</v>
      </c>
      <c r="E841" s="78" t="s">
        <v>5909</v>
      </c>
      <c r="F841" s="45" t="s">
        <v>8597</v>
      </c>
      <c r="G841" s="60" t="s">
        <v>2132</v>
      </c>
      <c r="H841" s="47" t="s">
        <v>36</v>
      </c>
      <c r="I841" s="118"/>
      <c r="J841" s="155"/>
      <c r="K841" s="155"/>
      <c r="L841" s="155"/>
      <c r="M841" s="155"/>
      <c r="N841" s="155"/>
      <c r="O841" s="155"/>
    </row>
    <row r="842" spans="1:15" ht="313.5">
      <c r="A842" s="397"/>
      <c r="B842" s="50" t="s">
        <v>2114</v>
      </c>
      <c r="C842" s="45" t="s">
        <v>8598</v>
      </c>
      <c r="D842" s="45" t="s">
        <v>2130</v>
      </c>
      <c r="E842" s="78" t="s">
        <v>5909</v>
      </c>
      <c r="F842" s="45" t="s">
        <v>8599</v>
      </c>
      <c r="G842" s="60" t="s">
        <v>2132</v>
      </c>
      <c r="H842" s="47" t="s">
        <v>24</v>
      </c>
      <c r="I842" s="118"/>
      <c r="J842" s="155"/>
      <c r="K842" s="155"/>
      <c r="L842" s="155"/>
      <c r="M842" s="155"/>
      <c r="N842" s="155"/>
      <c r="O842" s="155"/>
    </row>
    <row r="843" spans="1:15" ht="297">
      <c r="A843" s="397"/>
      <c r="B843" s="50" t="s">
        <v>2114</v>
      </c>
      <c r="C843" s="45" t="s">
        <v>8600</v>
      </c>
      <c r="D843" s="45" t="s">
        <v>2134</v>
      </c>
      <c r="E843" s="78" t="s">
        <v>5909</v>
      </c>
      <c r="F843" s="45" t="s">
        <v>8601</v>
      </c>
      <c r="G843" s="60" t="s">
        <v>2132</v>
      </c>
      <c r="H843" s="47" t="s">
        <v>24</v>
      </c>
      <c r="I843" s="118"/>
      <c r="J843" s="155"/>
      <c r="K843" s="155"/>
      <c r="L843" s="155"/>
      <c r="M843" s="155"/>
      <c r="N843" s="155"/>
      <c r="O843" s="155"/>
    </row>
    <row r="844" spans="1:15" ht="313.5">
      <c r="A844" s="397"/>
      <c r="B844" s="50" t="s">
        <v>2114</v>
      </c>
      <c r="C844" s="45" t="s">
        <v>8602</v>
      </c>
      <c r="D844" s="45" t="s">
        <v>2137</v>
      </c>
      <c r="E844" s="78" t="s">
        <v>5909</v>
      </c>
      <c r="F844" s="45" t="s">
        <v>8603</v>
      </c>
      <c r="G844" s="60" t="s">
        <v>2132</v>
      </c>
      <c r="H844" s="47" t="s">
        <v>24</v>
      </c>
      <c r="I844" s="118"/>
      <c r="J844" s="155"/>
      <c r="K844" s="155"/>
      <c r="L844" s="155"/>
      <c r="M844" s="155"/>
      <c r="N844" s="155"/>
      <c r="O844" s="155"/>
    </row>
    <row r="845" spans="1:15" ht="313.5">
      <c r="A845" s="397"/>
      <c r="B845" s="50" t="s">
        <v>2114</v>
      </c>
      <c r="C845" s="45" t="s">
        <v>8604</v>
      </c>
      <c r="D845" s="45" t="s">
        <v>2140</v>
      </c>
      <c r="E845" s="78" t="s">
        <v>5909</v>
      </c>
      <c r="F845" s="45" t="s">
        <v>8605</v>
      </c>
      <c r="G845" s="60" t="s">
        <v>2132</v>
      </c>
      <c r="H845" s="47" t="s">
        <v>24</v>
      </c>
      <c r="I845" s="118"/>
      <c r="J845" s="155"/>
      <c r="K845" s="155"/>
      <c r="L845" s="155"/>
      <c r="M845" s="155"/>
      <c r="N845" s="155"/>
      <c r="O845" s="155"/>
    </row>
    <row r="846" spans="1:15" ht="297">
      <c r="A846" s="397"/>
      <c r="B846" s="50" t="s">
        <v>2114</v>
      </c>
      <c r="C846" s="45" t="s">
        <v>8606</v>
      </c>
      <c r="D846" s="45" t="s">
        <v>2143</v>
      </c>
      <c r="E846" s="78" t="s">
        <v>5909</v>
      </c>
      <c r="F846" s="45" t="s">
        <v>8607</v>
      </c>
      <c r="G846" s="60" t="s">
        <v>2132</v>
      </c>
      <c r="H846" s="47" t="s">
        <v>24</v>
      </c>
      <c r="I846" s="118"/>
      <c r="J846" s="155"/>
      <c r="K846" s="155"/>
      <c r="L846" s="155"/>
      <c r="M846" s="155"/>
      <c r="N846" s="155"/>
      <c r="O846" s="155"/>
    </row>
    <row r="847" spans="1:15" ht="297">
      <c r="A847" s="397"/>
      <c r="B847" s="50" t="s">
        <v>2114</v>
      </c>
      <c r="C847" s="45" t="s">
        <v>8608</v>
      </c>
      <c r="D847" s="45" t="s">
        <v>2145</v>
      </c>
      <c r="E847" s="78" t="s">
        <v>5909</v>
      </c>
      <c r="F847" s="45" t="s">
        <v>8609</v>
      </c>
      <c r="G847" s="60" t="s">
        <v>2132</v>
      </c>
      <c r="H847" s="47" t="s">
        <v>24</v>
      </c>
      <c r="I847" s="118"/>
      <c r="J847" s="155"/>
      <c r="K847" s="155"/>
      <c r="L847" s="155"/>
      <c r="M847" s="155"/>
      <c r="N847" s="155"/>
      <c r="O847" s="155"/>
    </row>
    <row r="848" spans="1:15" ht="280.5">
      <c r="A848" s="397"/>
      <c r="B848" s="50" t="s">
        <v>2114</v>
      </c>
      <c r="C848" s="45" t="s">
        <v>8610</v>
      </c>
      <c r="D848" s="45" t="s">
        <v>2148</v>
      </c>
      <c r="E848" s="78" t="s">
        <v>5909</v>
      </c>
      <c r="F848" s="45" t="s">
        <v>8611</v>
      </c>
      <c r="G848" s="60" t="s">
        <v>2132</v>
      </c>
      <c r="H848" s="47" t="s">
        <v>24</v>
      </c>
      <c r="I848" s="118"/>
      <c r="J848" s="155"/>
      <c r="K848" s="155"/>
      <c r="L848" s="155"/>
      <c r="M848" s="155"/>
      <c r="N848" s="155"/>
      <c r="O848" s="155"/>
    </row>
    <row r="849" spans="1:15" ht="297">
      <c r="A849" s="397"/>
      <c r="B849" s="50" t="s">
        <v>2114</v>
      </c>
      <c r="C849" s="45" t="s">
        <v>8612</v>
      </c>
      <c r="D849" s="45" t="s">
        <v>2150</v>
      </c>
      <c r="E849" s="78" t="s">
        <v>5909</v>
      </c>
      <c r="F849" s="45" t="s">
        <v>8613</v>
      </c>
      <c r="G849" s="60" t="s">
        <v>2132</v>
      </c>
      <c r="H849" s="47" t="s">
        <v>24</v>
      </c>
      <c r="I849" s="118"/>
      <c r="J849" s="155"/>
      <c r="K849" s="155"/>
      <c r="L849" s="155"/>
      <c r="M849" s="155"/>
      <c r="N849" s="155"/>
      <c r="O849" s="155"/>
    </row>
    <row r="850" spans="1:15" ht="280.5">
      <c r="A850" s="397"/>
      <c r="B850" s="50" t="s">
        <v>2114</v>
      </c>
      <c r="C850" s="45" t="s">
        <v>8614</v>
      </c>
      <c r="D850" s="45" t="s">
        <v>2153</v>
      </c>
      <c r="E850" s="78" t="s">
        <v>5909</v>
      </c>
      <c r="F850" s="45" t="s">
        <v>8615</v>
      </c>
      <c r="G850" s="60" t="s">
        <v>2132</v>
      </c>
      <c r="H850" s="47" t="s">
        <v>24</v>
      </c>
      <c r="I850" s="118"/>
      <c r="J850" s="155"/>
      <c r="K850" s="155"/>
      <c r="L850" s="155"/>
      <c r="M850" s="155"/>
      <c r="N850" s="155"/>
      <c r="O850" s="155"/>
    </row>
    <row r="851" spans="1:15" ht="297">
      <c r="A851" s="397"/>
      <c r="B851" s="44" t="s">
        <v>2155</v>
      </c>
      <c r="C851" s="45" t="s">
        <v>8616</v>
      </c>
      <c r="D851" s="45" t="s">
        <v>2157</v>
      </c>
      <c r="E851" s="78" t="s">
        <v>5909</v>
      </c>
      <c r="F851" s="45" t="s">
        <v>8617</v>
      </c>
      <c r="G851" s="60" t="s">
        <v>2132</v>
      </c>
      <c r="H851" s="47" t="s">
        <v>24</v>
      </c>
      <c r="I851" s="118"/>
      <c r="J851" s="155"/>
      <c r="K851" s="155"/>
      <c r="L851" s="155"/>
      <c r="M851" s="155"/>
      <c r="N851" s="155"/>
      <c r="O851" s="155"/>
    </row>
    <row r="852" spans="1:15" ht="280.5">
      <c r="A852" s="397"/>
      <c r="B852" s="44" t="s">
        <v>2155</v>
      </c>
      <c r="C852" s="45" t="s">
        <v>8618</v>
      </c>
      <c r="D852" s="45" t="s">
        <v>2159</v>
      </c>
      <c r="E852" s="78" t="s">
        <v>5909</v>
      </c>
      <c r="F852" s="45" t="s">
        <v>8619</v>
      </c>
      <c r="G852" s="60" t="s">
        <v>2132</v>
      </c>
      <c r="H852" s="47" t="s">
        <v>30</v>
      </c>
      <c r="I852" s="118"/>
      <c r="J852" s="155"/>
      <c r="K852" s="155"/>
      <c r="L852" s="155"/>
      <c r="M852" s="155"/>
      <c r="N852" s="155"/>
      <c r="O852" s="155"/>
    </row>
    <row r="853" spans="1:15" ht="280.5">
      <c r="A853" s="397"/>
      <c r="B853" s="44" t="s">
        <v>2155</v>
      </c>
      <c r="C853" s="45" t="s">
        <v>8620</v>
      </c>
      <c r="D853" s="45" t="s">
        <v>2162</v>
      </c>
      <c r="E853" s="78" t="s">
        <v>5909</v>
      </c>
      <c r="F853" s="45" t="s">
        <v>8621</v>
      </c>
      <c r="G853" s="60" t="s">
        <v>2132</v>
      </c>
      <c r="H853" s="47" t="s">
        <v>24</v>
      </c>
      <c r="I853" s="118"/>
      <c r="J853" s="155"/>
      <c r="K853" s="155"/>
      <c r="L853" s="155"/>
      <c r="M853" s="155"/>
      <c r="N853" s="155"/>
      <c r="O853" s="155"/>
    </row>
    <row r="854" spans="1:15" ht="280.5">
      <c r="A854" s="397"/>
      <c r="B854" s="44" t="s">
        <v>2155</v>
      </c>
      <c r="C854" s="45" t="s">
        <v>8622</v>
      </c>
      <c r="D854" s="45" t="s">
        <v>2164</v>
      </c>
      <c r="E854" s="78" t="s">
        <v>5909</v>
      </c>
      <c r="F854" s="45" t="s">
        <v>8623</v>
      </c>
      <c r="G854" s="60" t="s">
        <v>2132</v>
      </c>
      <c r="H854" s="47" t="s">
        <v>24</v>
      </c>
      <c r="I854" s="118"/>
      <c r="J854" s="155"/>
      <c r="K854" s="155"/>
      <c r="L854" s="155"/>
      <c r="M854" s="155"/>
      <c r="N854" s="155"/>
      <c r="O854" s="155"/>
    </row>
    <row r="855" spans="1:15" ht="280.5">
      <c r="A855" s="397"/>
      <c r="B855" s="44" t="s">
        <v>2155</v>
      </c>
      <c r="C855" s="45" t="s">
        <v>8624</v>
      </c>
      <c r="D855" s="45" t="s">
        <v>2167</v>
      </c>
      <c r="E855" s="78" t="s">
        <v>5909</v>
      </c>
      <c r="F855" s="45" t="s">
        <v>8625</v>
      </c>
      <c r="G855" s="60" t="s">
        <v>2132</v>
      </c>
      <c r="H855" s="47" t="s">
        <v>41</v>
      </c>
      <c r="I855" s="118"/>
      <c r="J855" s="155"/>
      <c r="K855" s="155"/>
      <c r="L855" s="155"/>
      <c r="M855" s="155"/>
      <c r="N855" s="155"/>
      <c r="O855" s="155"/>
    </row>
    <row r="856" spans="1:15" ht="280.5">
      <c r="A856" s="397"/>
      <c r="B856" s="44" t="s">
        <v>2155</v>
      </c>
      <c r="C856" s="45" t="s">
        <v>8626</v>
      </c>
      <c r="D856" s="45" t="s">
        <v>2169</v>
      </c>
      <c r="E856" s="78" t="s">
        <v>5909</v>
      </c>
      <c r="F856" s="45" t="s">
        <v>8627</v>
      </c>
      <c r="G856" s="60" t="s">
        <v>2132</v>
      </c>
      <c r="H856" s="47" t="s">
        <v>24</v>
      </c>
      <c r="I856" s="118"/>
      <c r="J856" s="155"/>
      <c r="K856" s="155"/>
      <c r="L856" s="155"/>
      <c r="M856" s="155"/>
      <c r="N856" s="155"/>
      <c r="O856" s="155"/>
    </row>
    <row r="857" spans="1:15" ht="280.5">
      <c r="A857" s="397"/>
      <c r="B857" s="44" t="s">
        <v>2155</v>
      </c>
      <c r="C857" s="45" t="s">
        <v>8628</v>
      </c>
      <c r="D857" s="45" t="s">
        <v>8629</v>
      </c>
      <c r="E857" s="78" t="s">
        <v>5909</v>
      </c>
      <c r="F857" s="45" t="s">
        <v>8630</v>
      </c>
      <c r="G857" s="60" t="s">
        <v>2132</v>
      </c>
      <c r="H857" s="47" t="s">
        <v>24</v>
      </c>
      <c r="I857" s="118"/>
      <c r="J857" s="155"/>
      <c r="K857" s="155"/>
      <c r="L857" s="155"/>
      <c r="M857" s="155"/>
      <c r="N857" s="155"/>
      <c r="O857" s="155"/>
    </row>
    <row r="858" spans="1:15" ht="297">
      <c r="A858" s="397"/>
      <c r="B858" s="44" t="s">
        <v>2155</v>
      </c>
      <c r="C858" s="45" t="s">
        <v>8631</v>
      </c>
      <c r="D858" s="45" t="s">
        <v>2172</v>
      </c>
      <c r="E858" s="78" t="s">
        <v>5909</v>
      </c>
      <c r="F858" s="45" t="s">
        <v>8632</v>
      </c>
      <c r="G858" s="60" t="s">
        <v>2132</v>
      </c>
      <c r="H858" s="47" t="s">
        <v>41</v>
      </c>
      <c r="I858" s="118"/>
      <c r="J858" s="155"/>
      <c r="K858" s="155"/>
      <c r="L858" s="155"/>
      <c r="M858" s="155"/>
      <c r="N858" s="155"/>
      <c r="O858" s="155"/>
    </row>
    <row r="859" spans="1:15" ht="297">
      <c r="A859" s="397"/>
      <c r="B859" s="44" t="s">
        <v>2155</v>
      </c>
      <c r="C859" s="45" t="s">
        <v>8633</v>
      </c>
      <c r="D859" s="45" t="s">
        <v>8634</v>
      </c>
      <c r="E859" s="78" t="s">
        <v>5909</v>
      </c>
      <c r="F859" s="45" t="s">
        <v>8635</v>
      </c>
      <c r="G859" s="60" t="s">
        <v>2132</v>
      </c>
      <c r="H859" s="47" t="s">
        <v>24</v>
      </c>
      <c r="I859" s="118"/>
      <c r="J859" s="155"/>
      <c r="K859" s="155"/>
      <c r="L859" s="155"/>
      <c r="M859" s="155"/>
      <c r="N859" s="155"/>
      <c r="O859" s="155"/>
    </row>
    <row r="860" spans="1:15" ht="297">
      <c r="A860" s="397"/>
      <c r="B860" s="44" t="s">
        <v>2155</v>
      </c>
      <c r="C860" s="45" t="s">
        <v>8636</v>
      </c>
      <c r="D860" s="45" t="s">
        <v>8637</v>
      </c>
      <c r="E860" s="78" t="s">
        <v>5909</v>
      </c>
      <c r="F860" s="45" t="s">
        <v>8638</v>
      </c>
      <c r="G860" s="60" t="s">
        <v>2132</v>
      </c>
      <c r="H860" s="47" t="s">
        <v>36</v>
      </c>
      <c r="I860" s="118"/>
      <c r="J860" s="155"/>
      <c r="K860" s="155"/>
      <c r="L860" s="155"/>
      <c r="M860" s="155"/>
      <c r="N860" s="155"/>
      <c r="O860" s="155"/>
    </row>
    <row r="861" spans="1:15" ht="297">
      <c r="A861" s="397"/>
      <c r="B861" s="44" t="s">
        <v>2155</v>
      </c>
      <c r="C861" s="45" t="s">
        <v>8639</v>
      </c>
      <c r="D861" s="45" t="s">
        <v>8640</v>
      </c>
      <c r="E861" s="78" t="s">
        <v>5909</v>
      </c>
      <c r="F861" s="45" t="s">
        <v>8641</v>
      </c>
      <c r="G861" s="60" t="s">
        <v>2132</v>
      </c>
      <c r="H861" s="47" t="s">
        <v>62</v>
      </c>
      <c r="I861" s="118"/>
      <c r="J861" s="155"/>
      <c r="K861" s="155"/>
      <c r="L861" s="155"/>
      <c r="M861" s="155"/>
      <c r="N861" s="155"/>
      <c r="O861" s="155"/>
    </row>
    <row r="862" spans="1:15" ht="297">
      <c r="A862" s="397"/>
      <c r="B862" s="50" t="s">
        <v>8642</v>
      </c>
      <c r="C862" s="45" t="s">
        <v>8643</v>
      </c>
      <c r="D862" s="45" t="s">
        <v>2176</v>
      </c>
      <c r="E862" s="78" t="s">
        <v>5909</v>
      </c>
      <c r="F862" s="45" t="s">
        <v>8644</v>
      </c>
      <c r="G862" s="60" t="s">
        <v>2132</v>
      </c>
      <c r="H862" s="47" t="s">
        <v>30</v>
      </c>
      <c r="I862" s="118"/>
      <c r="J862" s="155"/>
      <c r="K862" s="155"/>
      <c r="L862" s="155"/>
      <c r="M862" s="155"/>
      <c r="N862" s="155"/>
      <c r="O862" s="155"/>
    </row>
    <row r="863" spans="1:15" ht="297">
      <c r="A863" s="397"/>
      <c r="B863" s="50" t="s">
        <v>8642</v>
      </c>
      <c r="C863" s="45" t="s">
        <v>8645</v>
      </c>
      <c r="D863" s="45" t="s">
        <v>2179</v>
      </c>
      <c r="E863" s="78" t="s">
        <v>5909</v>
      </c>
      <c r="F863" s="45" t="s">
        <v>8646</v>
      </c>
      <c r="G863" s="60" t="s">
        <v>2132</v>
      </c>
      <c r="H863" s="47" t="s">
        <v>24</v>
      </c>
      <c r="I863" s="118"/>
      <c r="J863" s="155"/>
      <c r="K863" s="155"/>
      <c r="L863" s="155"/>
      <c r="M863" s="155"/>
      <c r="N863" s="155"/>
      <c r="O863" s="155"/>
    </row>
    <row r="864" spans="1:15" ht="297">
      <c r="A864" s="397"/>
      <c r="B864" s="50" t="s">
        <v>8642</v>
      </c>
      <c r="C864" s="45" t="s">
        <v>8647</v>
      </c>
      <c r="D864" s="45" t="s">
        <v>8648</v>
      </c>
      <c r="E864" s="78" t="s">
        <v>5909</v>
      </c>
      <c r="F864" s="45" t="s">
        <v>8649</v>
      </c>
      <c r="G864" s="60" t="s">
        <v>2132</v>
      </c>
      <c r="H864" s="47" t="s">
        <v>36</v>
      </c>
      <c r="I864" s="118"/>
      <c r="J864" s="155"/>
      <c r="K864" s="155"/>
      <c r="L864" s="155"/>
      <c r="M864" s="155"/>
      <c r="N864" s="155"/>
      <c r="O864" s="155"/>
    </row>
    <row r="865" spans="1:15" ht="297">
      <c r="A865" s="397"/>
      <c r="B865" s="50" t="s">
        <v>8642</v>
      </c>
      <c r="C865" s="45" t="s">
        <v>8650</v>
      </c>
      <c r="D865" s="45" t="s">
        <v>8651</v>
      </c>
      <c r="E865" s="78" t="s">
        <v>5909</v>
      </c>
      <c r="F865" s="45" t="s">
        <v>8652</v>
      </c>
      <c r="G865" s="60" t="s">
        <v>8653</v>
      </c>
      <c r="H865" s="47" t="s">
        <v>24</v>
      </c>
      <c r="I865" s="118"/>
      <c r="J865" s="155"/>
      <c r="K865" s="155"/>
      <c r="L865" s="155"/>
      <c r="M865" s="155"/>
      <c r="N865" s="155"/>
      <c r="O865" s="155"/>
    </row>
    <row r="866" spans="1:15" ht="379.5">
      <c r="A866" s="397"/>
      <c r="B866" s="50" t="s">
        <v>8642</v>
      </c>
      <c r="C866" s="45" t="s">
        <v>8654</v>
      </c>
      <c r="D866" s="45" t="s">
        <v>2184</v>
      </c>
      <c r="E866" s="78" t="s">
        <v>5909</v>
      </c>
      <c r="F866" s="45" t="s">
        <v>8655</v>
      </c>
      <c r="G866" s="46" t="s">
        <v>8653</v>
      </c>
      <c r="H866" s="47" t="s">
        <v>36</v>
      </c>
      <c r="I866" s="118"/>
      <c r="J866" s="155"/>
      <c r="K866" s="155"/>
      <c r="L866" s="155"/>
      <c r="M866" s="155"/>
      <c r="N866" s="155"/>
      <c r="O866" s="155"/>
    </row>
    <row r="867" spans="1:15" ht="363">
      <c r="A867" s="398"/>
      <c r="B867" s="50" t="s">
        <v>8642</v>
      </c>
      <c r="C867" s="45" t="s">
        <v>8656</v>
      </c>
      <c r="D867" s="45" t="s">
        <v>2187</v>
      </c>
      <c r="E867" s="78" t="s">
        <v>5909</v>
      </c>
      <c r="F867" s="45" t="s">
        <v>8657</v>
      </c>
      <c r="G867" s="46" t="s">
        <v>8479</v>
      </c>
      <c r="H867" s="47" t="s">
        <v>36</v>
      </c>
      <c r="I867" s="118"/>
      <c r="J867" s="155"/>
      <c r="K867" s="155"/>
      <c r="L867" s="155"/>
      <c r="M867" s="155"/>
      <c r="N867" s="155"/>
      <c r="O867" s="155"/>
    </row>
    <row r="868" spans="1:15" ht="132">
      <c r="A868" s="81" t="s">
        <v>2189</v>
      </c>
      <c r="B868" s="63" t="s">
        <v>2197</v>
      </c>
      <c r="C868" s="45" t="s">
        <v>8658</v>
      </c>
      <c r="D868" s="45" t="s">
        <v>8659</v>
      </c>
      <c r="E868" s="78" t="s">
        <v>8660</v>
      </c>
      <c r="F868" s="45" t="s">
        <v>8661</v>
      </c>
      <c r="G868" s="46" t="s">
        <v>8662</v>
      </c>
      <c r="H868" s="62" t="s">
        <v>2196</v>
      </c>
      <c r="I868" s="133"/>
      <c r="J868" s="155"/>
      <c r="K868" s="155"/>
      <c r="L868" s="155"/>
      <c r="M868" s="155"/>
      <c r="N868" s="155"/>
      <c r="O868" s="155"/>
    </row>
    <row r="869" spans="1:15" ht="148.5">
      <c r="A869" s="81"/>
      <c r="B869" s="63" t="s">
        <v>2197</v>
      </c>
      <c r="C869" s="45" t="s">
        <v>8663</v>
      </c>
      <c r="D869" s="45" t="s">
        <v>8664</v>
      </c>
      <c r="E869" s="78" t="s">
        <v>8660</v>
      </c>
      <c r="F869" s="45" t="s">
        <v>8665</v>
      </c>
      <c r="G869" s="46" t="s">
        <v>8666</v>
      </c>
      <c r="H869" s="62" t="s">
        <v>2225</v>
      </c>
      <c r="I869" s="133"/>
      <c r="J869" s="155"/>
      <c r="K869" s="155"/>
      <c r="L869" s="155"/>
      <c r="M869" s="155"/>
      <c r="N869" s="155"/>
      <c r="O869" s="155"/>
    </row>
    <row r="870" spans="1:15" ht="148.5">
      <c r="A870" s="81"/>
      <c r="B870" s="63" t="s">
        <v>2197</v>
      </c>
      <c r="C870" s="45" t="s">
        <v>8667</v>
      </c>
      <c r="D870" s="45" t="s">
        <v>8668</v>
      </c>
      <c r="E870" s="78" t="s">
        <v>8669</v>
      </c>
      <c r="F870" s="45" t="s">
        <v>8670</v>
      </c>
      <c r="G870" s="46" t="s">
        <v>8671</v>
      </c>
      <c r="H870" s="62" t="s">
        <v>2205</v>
      </c>
      <c r="I870" s="133"/>
      <c r="J870" s="155"/>
      <c r="K870" s="155"/>
      <c r="L870" s="155"/>
      <c r="M870" s="155"/>
      <c r="N870" s="155"/>
      <c r="O870" s="155"/>
    </row>
    <row r="871" spans="1:15" ht="148.5">
      <c r="A871" s="81"/>
      <c r="B871" s="63" t="s">
        <v>2197</v>
      </c>
      <c r="C871" s="45" t="s">
        <v>8672</v>
      </c>
      <c r="D871" s="45" t="s">
        <v>8673</v>
      </c>
      <c r="E871" s="78" t="s">
        <v>8669</v>
      </c>
      <c r="F871" s="45" t="s">
        <v>8674</v>
      </c>
      <c r="G871" s="46" t="s">
        <v>8675</v>
      </c>
      <c r="H871" s="62" t="s">
        <v>2209</v>
      </c>
      <c r="I871" s="133"/>
      <c r="J871" s="155"/>
      <c r="K871" s="155"/>
      <c r="L871" s="155"/>
      <c r="M871" s="155"/>
      <c r="N871" s="155"/>
      <c r="O871" s="155"/>
    </row>
    <row r="872" spans="1:15" ht="148.5">
      <c r="A872" s="81"/>
      <c r="B872" s="63" t="s">
        <v>2197</v>
      </c>
      <c r="C872" s="45" t="s">
        <v>8676</v>
      </c>
      <c r="D872" s="45" t="s">
        <v>8677</v>
      </c>
      <c r="E872" s="78" t="s">
        <v>8669</v>
      </c>
      <c r="F872" s="45" t="s">
        <v>8678</v>
      </c>
      <c r="G872" s="46" t="s">
        <v>8679</v>
      </c>
      <c r="H872" s="62" t="s">
        <v>2205</v>
      </c>
      <c r="I872" s="133"/>
      <c r="J872" s="155"/>
      <c r="K872" s="155"/>
      <c r="L872" s="155"/>
      <c r="M872" s="155"/>
      <c r="N872" s="155"/>
      <c r="O872" s="155"/>
    </row>
    <row r="873" spans="1:15" ht="148.5">
      <c r="A873" s="81"/>
      <c r="B873" s="63" t="s">
        <v>2197</v>
      </c>
      <c r="C873" s="45" t="s">
        <v>8680</v>
      </c>
      <c r="D873" s="45" t="s">
        <v>8681</v>
      </c>
      <c r="E873" s="78" t="s">
        <v>8669</v>
      </c>
      <c r="F873" s="45" t="s">
        <v>8682</v>
      </c>
      <c r="G873" s="46" t="s">
        <v>8683</v>
      </c>
      <c r="H873" s="62" t="s">
        <v>2209</v>
      </c>
      <c r="I873" s="133"/>
      <c r="J873" s="155"/>
      <c r="K873" s="155"/>
      <c r="L873" s="155"/>
      <c r="M873" s="155"/>
      <c r="N873" s="155"/>
      <c r="O873" s="155"/>
    </row>
    <row r="874" spans="1:15" ht="148.5">
      <c r="A874" s="81"/>
      <c r="B874" s="63" t="s">
        <v>2197</v>
      </c>
      <c r="C874" s="45" t="s">
        <v>8684</v>
      </c>
      <c r="D874" s="45" t="s">
        <v>8685</v>
      </c>
      <c r="E874" s="78" t="s">
        <v>8660</v>
      </c>
      <c r="F874" s="45" t="s">
        <v>8686</v>
      </c>
      <c r="G874" s="46" t="s">
        <v>8687</v>
      </c>
      <c r="H874" s="62" t="s">
        <v>2234</v>
      </c>
      <c r="I874" s="133"/>
      <c r="J874" s="155"/>
      <c r="K874" s="155"/>
      <c r="L874" s="155"/>
      <c r="M874" s="155"/>
      <c r="N874" s="155"/>
      <c r="O874" s="155"/>
    </row>
    <row r="875" spans="1:15" ht="148.5">
      <c r="A875" s="81"/>
      <c r="B875" s="63" t="s">
        <v>2197</v>
      </c>
      <c r="C875" s="45" t="s">
        <v>8688</v>
      </c>
      <c r="D875" s="45" t="s">
        <v>8689</v>
      </c>
      <c r="E875" s="78" t="s">
        <v>8669</v>
      </c>
      <c r="F875" s="45" t="s">
        <v>8690</v>
      </c>
      <c r="G875" s="46" t="s">
        <v>8691</v>
      </c>
      <c r="H875" s="62" t="s">
        <v>2209</v>
      </c>
      <c r="I875" s="133"/>
      <c r="J875" s="155"/>
      <c r="K875" s="155"/>
      <c r="L875" s="155"/>
      <c r="M875" s="155"/>
      <c r="N875" s="155"/>
      <c r="O875" s="155"/>
    </row>
    <row r="876" spans="1:15" ht="148.5">
      <c r="A876" s="81"/>
      <c r="B876" s="63" t="s">
        <v>2197</v>
      </c>
      <c r="C876" s="45" t="s">
        <v>8692</v>
      </c>
      <c r="D876" s="45" t="s">
        <v>8693</v>
      </c>
      <c r="E876" s="78" t="s">
        <v>8669</v>
      </c>
      <c r="F876" s="45" t="s">
        <v>8694</v>
      </c>
      <c r="G876" s="46" t="s">
        <v>8695</v>
      </c>
      <c r="H876" s="62" t="s">
        <v>2205</v>
      </c>
      <c r="I876" s="133"/>
      <c r="J876" s="155"/>
      <c r="K876" s="155"/>
      <c r="L876" s="155"/>
      <c r="M876" s="155"/>
      <c r="N876" s="155"/>
      <c r="O876" s="155"/>
    </row>
    <row r="877" spans="1:15" ht="148.5">
      <c r="A877" s="81"/>
      <c r="B877" s="63" t="s">
        <v>2197</v>
      </c>
      <c r="C877" s="45" t="s">
        <v>8696</v>
      </c>
      <c r="D877" s="45" t="s">
        <v>8697</v>
      </c>
      <c r="E877" s="78" t="s">
        <v>8669</v>
      </c>
      <c r="F877" s="45" t="s">
        <v>8698</v>
      </c>
      <c r="G877" s="46" t="s">
        <v>8699</v>
      </c>
      <c r="H877" s="62" t="s">
        <v>2209</v>
      </c>
      <c r="I877" s="133"/>
      <c r="J877" s="155"/>
      <c r="K877" s="155"/>
      <c r="L877" s="155"/>
      <c r="M877" s="155"/>
      <c r="N877" s="155"/>
      <c r="O877" s="155"/>
    </row>
    <row r="878" spans="1:15" ht="148.5">
      <c r="A878" s="81"/>
      <c r="B878" s="63" t="s">
        <v>2197</v>
      </c>
      <c r="C878" s="45" t="s">
        <v>8700</v>
      </c>
      <c r="D878" s="45" t="s">
        <v>8701</v>
      </c>
      <c r="E878" s="78" t="s">
        <v>8669</v>
      </c>
      <c r="F878" s="45" t="s">
        <v>8702</v>
      </c>
      <c r="G878" s="46" t="s">
        <v>8703</v>
      </c>
      <c r="H878" s="62" t="s">
        <v>2205</v>
      </c>
      <c r="I878" s="133"/>
      <c r="J878" s="155"/>
      <c r="K878" s="155"/>
      <c r="L878" s="155"/>
      <c r="M878" s="155"/>
      <c r="N878" s="155"/>
      <c r="O878" s="155"/>
    </row>
    <row r="879" spans="1:15" ht="148.5">
      <c r="A879" s="81"/>
      <c r="B879" s="63" t="s">
        <v>2197</v>
      </c>
      <c r="C879" s="45" t="s">
        <v>8704</v>
      </c>
      <c r="D879" s="45" t="s">
        <v>8705</v>
      </c>
      <c r="E879" s="78" t="s">
        <v>8669</v>
      </c>
      <c r="F879" s="45" t="s">
        <v>8706</v>
      </c>
      <c r="G879" s="46" t="s">
        <v>8707</v>
      </c>
      <c r="H879" s="62" t="s">
        <v>2209</v>
      </c>
      <c r="I879" s="133"/>
      <c r="J879" s="155"/>
      <c r="K879" s="155"/>
      <c r="L879" s="155"/>
      <c r="M879" s="155"/>
      <c r="N879" s="155"/>
      <c r="O879" s="155"/>
    </row>
    <row r="880" spans="1:15" ht="148.5">
      <c r="A880" s="81"/>
      <c r="B880" s="63" t="s">
        <v>2197</v>
      </c>
      <c r="C880" s="45" t="s">
        <v>8708</v>
      </c>
      <c r="D880" s="45" t="s">
        <v>8709</v>
      </c>
      <c r="E880" s="78" t="s">
        <v>8669</v>
      </c>
      <c r="F880" s="45" t="s">
        <v>8710</v>
      </c>
      <c r="G880" s="46" t="s">
        <v>8711</v>
      </c>
      <c r="H880" s="62" t="s">
        <v>2234</v>
      </c>
      <c r="I880" s="133"/>
      <c r="J880" s="155"/>
      <c r="K880" s="155"/>
      <c r="L880" s="155"/>
      <c r="M880" s="155"/>
      <c r="N880" s="155"/>
      <c r="O880" s="155"/>
    </row>
    <row r="881" spans="1:15" ht="148.5">
      <c r="A881" s="81"/>
      <c r="B881" s="63" t="s">
        <v>2197</v>
      </c>
      <c r="C881" s="45" t="s">
        <v>8712</v>
      </c>
      <c r="D881" s="45" t="s">
        <v>8713</v>
      </c>
      <c r="E881" s="78" t="s">
        <v>8669</v>
      </c>
      <c r="F881" s="45" t="s">
        <v>8714</v>
      </c>
      <c r="G881" s="46" t="s">
        <v>8715</v>
      </c>
      <c r="H881" s="62" t="s">
        <v>2209</v>
      </c>
      <c r="I881" s="133"/>
      <c r="J881" s="155"/>
      <c r="K881" s="155"/>
      <c r="L881" s="155"/>
      <c r="M881" s="155"/>
      <c r="N881" s="155"/>
      <c r="O881" s="155"/>
    </row>
    <row r="882" spans="1:15" ht="148.5">
      <c r="A882" s="81"/>
      <c r="B882" s="63" t="s">
        <v>2197</v>
      </c>
      <c r="C882" s="45" t="s">
        <v>8716</v>
      </c>
      <c r="D882" s="45" t="s">
        <v>8717</v>
      </c>
      <c r="E882" s="78" t="s">
        <v>8669</v>
      </c>
      <c r="F882" s="45" t="s">
        <v>8718</v>
      </c>
      <c r="G882" s="46" t="s">
        <v>8719</v>
      </c>
      <c r="H882" s="62" t="s">
        <v>2205</v>
      </c>
      <c r="I882" s="133"/>
      <c r="J882" s="155"/>
      <c r="K882" s="155"/>
      <c r="L882" s="155"/>
      <c r="M882" s="155"/>
      <c r="N882" s="155"/>
      <c r="O882" s="155"/>
    </row>
    <row r="883" spans="1:15" ht="148.5">
      <c r="A883" s="81"/>
      <c r="B883" s="63" t="s">
        <v>2197</v>
      </c>
      <c r="C883" s="45" t="s">
        <v>8720</v>
      </c>
      <c r="D883" s="45" t="s">
        <v>8721</v>
      </c>
      <c r="E883" s="78" t="s">
        <v>8669</v>
      </c>
      <c r="F883" s="45" t="s">
        <v>8722</v>
      </c>
      <c r="G883" s="46" t="s">
        <v>8723</v>
      </c>
      <c r="H883" s="62" t="s">
        <v>2209</v>
      </c>
      <c r="I883" s="133"/>
      <c r="J883" s="155"/>
      <c r="K883" s="155"/>
      <c r="L883" s="155"/>
      <c r="M883" s="155"/>
      <c r="N883" s="155"/>
      <c r="O883" s="155"/>
    </row>
    <row r="884" spans="1:15" ht="148.5">
      <c r="A884" s="81"/>
      <c r="B884" s="63" t="s">
        <v>2197</v>
      </c>
      <c r="C884" s="45" t="s">
        <v>8724</v>
      </c>
      <c r="D884" s="45" t="s">
        <v>8725</v>
      </c>
      <c r="E884" s="78" t="s">
        <v>8669</v>
      </c>
      <c r="F884" s="45" t="s">
        <v>8726</v>
      </c>
      <c r="G884" s="46" t="s">
        <v>8727</v>
      </c>
      <c r="H884" s="62" t="s">
        <v>2205</v>
      </c>
      <c r="I884" s="133"/>
      <c r="J884" s="155"/>
      <c r="K884" s="155"/>
      <c r="L884" s="155"/>
      <c r="M884" s="155"/>
      <c r="N884" s="155"/>
      <c r="O884" s="155"/>
    </row>
    <row r="885" spans="1:15" ht="148.5">
      <c r="A885" s="81"/>
      <c r="B885" s="63" t="s">
        <v>2197</v>
      </c>
      <c r="C885" s="45" t="s">
        <v>8728</v>
      </c>
      <c r="D885" s="45" t="s">
        <v>8729</v>
      </c>
      <c r="E885" s="78" t="s">
        <v>8669</v>
      </c>
      <c r="F885" s="45" t="s">
        <v>8730</v>
      </c>
      <c r="G885" s="46" t="s">
        <v>8731</v>
      </c>
      <c r="H885" s="62" t="s">
        <v>2209</v>
      </c>
      <c r="I885" s="133"/>
      <c r="J885" s="155"/>
      <c r="K885" s="155"/>
      <c r="L885" s="155"/>
      <c r="M885" s="155"/>
      <c r="N885" s="155"/>
      <c r="O885" s="155"/>
    </row>
    <row r="886" spans="1:15" ht="132">
      <c r="A886" s="81"/>
      <c r="B886" s="63" t="s">
        <v>2197</v>
      </c>
      <c r="C886" s="45" t="s">
        <v>8732</v>
      </c>
      <c r="D886" s="45" t="s">
        <v>2217</v>
      </c>
      <c r="E886" s="78" t="s">
        <v>8660</v>
      </c>
      <c r="F886" s="45" t="s">
        <v>8733</v>
      </c>
      <c r="G886" s="46" t="s">
        <v>2219</v>
      </c>
      <c r="H886" s="62" t="s">
        <v>2196</v>
      </c>
      <c r="I886" s="133"/>
      <c r="J886" s="155"/>
      <c r="K886" s="155"/>
      <c r="L886" s="155"/>
      <c r="M886" s="155"/>
      <c r="N886" s="155"/>
      <c r="O886" s="155"/>
    </row>
    <row r="887" spans="1:15" ht="148.5">
      <c r="A887" s="81"/>
      <c r="B887" s="63" t="s">
        <v>2197</v>
      </c>
      <c r="C887" s="45" t="s">
        <v>8734</v>
      </c>
      <c r="D887" s="45" t="s">
        <v>2222</v>
      </c>
      <c r="E887" s="78" t="s">
        <v>8669</v>
      </c>
      <c r="F887" s="45" t="s">
        <v>8735</v>
      </c>
      <c r="G887" s="46" t="s">
        <v>2224</v>
      </c>
      <c r="H887" s="62" t="s">
        <v>2225</v>
      </c>
      <c r="I887" s="133"/>
      <c r="J887" s="155"/>
      <c r="K887" s="155"/>
      <c r="L887" s="155"/>
      <c r="M887" s="155"/>
      <c r="N887" s="155"/>
      <c r="O887" s="155"/>
    </row>
    <row r="888" spans="1:15" ht="148.5">
      <c r="A888" s="81"/>
      <c r="B888" s="63" t="s">
        <v>2197</v>
      </c>
      <c r="C888" s="45" t="s">
        <v>8736</v>
      </c>
      <c r="D888" s="45" t="s">
        <v>2227</v>
      </c>
      <c r="E888" s="78" t="s">
        <v>8669</v>
      </c>
      <c r="F888" s="45" t="s">
        <v>8737</v>
      </c>
      <c r="G888" s="46" t="s">
        <v>2229</v>
      </c>
      <c r="H888" s="62" t="s">
        <v>2209</v>
      </c>
      <c r="I888" s="133"/>
      <c r="J888" s="155"/>
      <c r="K888" s="155"/>
      <c r="L888" s="155"/>
      <c r="M888" s="155"/>
      <c r="N888" s="155"/>
      <c r="O888" s="155"/>
    </row>
    <row r="889" spans="1:15" ht="148.5">
      <c r="A889" s="81"/>
      <c r="B889" s="63" t="s">
        <v>2197</v>
      </c>
      <c r="C889" s="45" t="s">
        <v>8738</v>
      </c>
      <c r="D889" s="45" t="s">
        <v>2231</v>
      </c>
      <c r="E889" s="78" t="s">
        <v>8669</v>
      </c>
      <c r="F889" s="45" t="s">
        <v>8739</v>
      </c>
      <c r="G889" s="46" t="s">
        <v>8740</v>
      </c>
      <c r="H889" s="62" t="s">
        <v>2234</v>
      </c>
      <c r="I889" s="133"/>
      <c r="J889" s="155"/>
      <c r="K889" s="155"/>
      <c r="L889" s="155"/>
      <c r="M889" s="155"/>
      <c r="N889" s="155"/>
      <c r="O889" s="155"/>
    </row>
    <row r="890" spans="1:15" ht="148.5">
      <c r="A890" s="81"/>
      <c r="B890" s="63" t="s">
        <v>2197</v>
      </c>
      <c r="C890" s="45" t="s">
        <v>8741</v>
      </c>
      <c r="D890" s="45" t="s">
        <v>2236</v>
      </c>
      <c r="E890" s="78" t="s">
        <v>8669</v>
      </c>
      <c r="F890" s="45" t="s">
        <v>8742</v>
      </c>
      <c r="G890" s="46" t="s">
        <v>2238</v>
      </c>
      <c r="H890" s="62" t="s">
        <v>2209</v>
      </c>
      <c r="I890" s="133"/>
      <c r="J890" s="155"/>
      <c r="K890" s="155"/>
      <c r="L890" s="155"/>
      <c r="M890" s="155"/>
      <c r="N890" s="155"/>
      <c r="O890" s="155"/>
    </row>
    <row r="891" spans="1:15" ht="148.5">
      <c r="A891" s="81"/>
      <c r="B891" s="63" t="s">
        <v>2197</v>
      </c>
      <c r="C891" s="45" t="s">
        <v>8743</v>
      </c>
      <c r="D891" s="45" t="s">
        <v>2240</v>
      </c>
      <c r="E891" s="78" t="s">
        <v>8669</v>
      </c>
      <c r="F891" s="45" t="s">
        <v>8744</v>
      </c>
      <c r="G891" s="46" t="s">
        <v>2242</v>
      </c>
      <c r="H891" s="62" t="s">
        <v>2209</v>
      </c>
      <c r="I891" s="133"/>
      <c r="J891" s="155"/>
      <c r="K891" s="155"/>
      <c r="L891" s="155"/>
      <c r="M891" s="155"/>
      <c r="N891" s="155"/>
      <c r="O891" s="155"/>
    </row>
    <row r="892" spans="1:15" ht="214.5">
      <c r="A892" s="81"/>
      <c r="B892" s="63" t="s">
        <v>2197</v>
      </c>
      <c r="C892" s="45" t="s">
        <v>8745</v>
      </c>
      <c r="D892" s="45" t="s">
        <v>2244</v>
      </c>
      <c r="E892" s="78" t="s">
        <v>8660</v>
      </c>
      <c r="F892" s="45" t="s">
        <v>8746</v>
      </c>
      <c r="G892" s="46" t="s">
        <v>2250</v>
      </c>
      <c r="H892" s="62" t="s">
        <v>2209</v>
      </c>
      <c r="I892" s="133"/>
      <c r="J892" s="155"/>
      <c r="K892" s="155"/>
      <c r="L892" s="155"/>
      <c r="M892" s="155"/>
      <c r="N892" s="155"/>
      <c r="O892" s="155"/>
    </row>
    <row r="893" spans="1:15" ht="214.5">
      <c r="A893" s="81"/>
      <c r="B893" s="63" t="s">
        <v>2197</v>
      </c>
      <c r="C893" s="45" t="s">
        <v>8747</v>
      </c>
      <c r="D893" s="45" t="s">
        <v>2248</v>
      </c>
      <c r="E893" s="78" t="s">
        <v>8669</v>
      </c>
      <c r="F893" s="45" t="s">
        <v>8748</v>
      </c>
      <c r="G893" s="46" t="s">
        <v>2250</v>
      </c>
      <c r="H893" s="62" t="s">
        <v>2205</v>
      </c>
      <c r="I893" s="133"/>
      <c r="J893" s="155"/>
      <c r="K893" s="155"/>
      <c r="L893" s="155"/>
      <c r="M893" s="155"/>
      <c r="N893" s="155"/>
      <c r="O893" s="155"/>
    </row>
    <row r="894" spans="1:15" ht="214.5">
      <c r="A894" s="81"/>
      <c r="B894" s="63" t="s">
        <v>2197</v>
      </c>
      <c r="C894" s="45" t="s">
        <v>8749</v>
      </c>
      <c r="D894" s="45" t="s">
        <v>2252</v>
      </c>
      <c r="E894" s="78" t="s">
        <v>8669</v>
      </c>
      <c r="F894" s="45" t="s">
        <v>8750</v>
      </c>
      <c r="G894" s="46" t="s">
        <v>2257</v>
      </c>
      <c r="H894" s="62" t="s">
        <v>2209</v>
      </c>
      <c r="I894" s="133"/>
      <c r="J894" s="155"/>
      <c r="K894" s="155"/>
      <c r="L894" s="155"/>
      <c r="M894" s="155"/>
      <c r="N894" s="155"/>
      <c r="O894" s="155"/>
    </row>
    <row r="895" spans="1:15" ht="214.5">
      <c r="A895" s="81"/>
      <c r="B895" s="63" t="s">
        <v>2197</v>
      </c>
      <c r="C895" s="45" t="s">
        <v>8751</v>
      </c>
      <c r="D895" s="45" t="s">
        <v>8752</v>
      </c>
      <c r="E895" s="78" t="s">
        <v>8660</v>
      </c>
      <c r="F895" s="45" t="s">
        <v>8753</v>
      </c>
      <c r="G895" s="46" t="s">
        <v>2250</v>
      </c>
      <c r="H895" s="62" t="s">
        <v>2225</v>
      </c>
      <c r="I895" s="133"/>
      <c r="J895" s="155"/>
      <c r="K895" s="155"/>
      <c r="L895" s="155"/>
      <c r="M895" s="155"/>
      <c r="N895" s="155"/>
      <c r="O895" s="155"/>
    </row>
    <row r="896" spans="1:15" ht="214.5">
      <c r="A896" s="81"/>
      <c r="B896" s="63" t="s">
        <v>2197</v>
      </c>
      <c r="C896" s="45" t="s">
        <v>8754</v>
      </c>
      <c r="D896" s="45" t="s">
        <v>8755</v>
      </c>
      <c r="E896" s="78" t="s">
        <v>8669</v>
      </c>
      <c r="F896" s="45" t="s">
        <v>8756</v>
      </c>
      <c r="G896" s="46" t="s">
        <v>2257</v>
      </c>
      <c r="H896" s="62" t="s">
        <v>2234</v>
      </c>
      <c r="I896" s="133"/>
      <c r="J896" s="155"/>
      <c r="K896" s="155"/>
      <c r="L896" s="155"/>
      <c r="M896" s="155"/>
      <c r="N896" s="155"/>
      <c r="O896" s="155"/>
    </row>
    <row r="897" spans="1:15" ht="214.5">
      <c r="A897" s="81"/>
      <c r="B897" s="63" t="s">
        <v>2197</v>
      </c>
      <c r="C897" s="45" t="s">
        <v>8757</v>
      </c>
      <c r="D897" s="45" t="s">
        <v>2255</v>
      </c>
      <c r="E897" s="78" t="s">
        <v>8669</v>
      </c>
      <c r="F897" s="45" t="s">
        <v>8758</v>
      </c>
      <c r="G897" s="46" t="s">
        <v>2257</v>
      </c>
      <c r="H897" s="62" t="s">
        <v>2209</v>
      </c>
      <c r="I897" s="133"/>
      <c r="J897" s="155"/>
      <c r="K897" s="155"/>
      <c r="L897" s="155"/>
      <c r="M897" s="155"/>
      <c r="N897" s="155"/>
      <c r="O897" s="155"/>
    </row>
    <row r="898" spans="1:15" ht="214.5">
      <c r="A898" s="81"/>
      <c r="B898" s="63" t="s">
        <v>2197</v>
      </c>
      <c r="C898" s="45" t="s">
        <v>8759</v>
      </c>
      <c r="D898" s="45" t="s">
        <v>8760</v>
      </c>
      <c r="E898" s="78" t="s">
        <v>8669</v>
      </c>
      <c r="F898" s="45" t="s">
        <v>8761</v>
      </c>
      <c r="G898" s="46" t="s">
        <v>2257</v>
      </c>
      <c r="H898" s="62" t="s">
        <v>4479</v>
      </c>
      <c r="I898" s="133"/>
      <c r="J898" s="155"/>
      <c r="K898" s="155"/>
      <c r="L898" s="155"/>
      <c r="M898" s="155"/>
      <c r="N898" s="155"/>
      <c r="O898" s="155"/>
    </row>
    <row r="899" spans="1:15" ht="148.5">
      <c r="A899" s="81"/>
      <c r="B899" s="63" t="s">
        <v>2197</v>
      </c>
      <c r="C899" s="45" t="s">
        <v>8762</v>
      </c>
      <c r="D899" s="45" t="s">
        <v>2259</v>
      </c>
      <c r="E899" s="78" t="s">
        <v>8669</v>
      </c>
      <c r="F899" s="45" t="s">
        <v>8763</v>
      </c>
      <c r="G899" s="46" t="s">
        <v>2270</v>
      </c>
      <c r="H899" s="62" t="s">
        <v>2196</v>
      </c>
      <c r="I899" s="133"/>
      <c r="J899" s="155"/>
      <c r="K899" s="155"/>
      <c r="L899" s="155"/>
      <c r="M899" s="155"/>
      <c r="N899" s="155"/>
      <c r="O899" s="155"/>
    </row>
    <row r="900" spans="1:15" ht="148.5">
      <c r="A900" s="81"/>
      <c r="B900" s="63" t="s">
        <v>2197</v>
      </c>
      <c r="C900" s="45" t="s">
        <v>8764</v>
      </c>
      <c r="D900" s="45" t="s">
        <v>2263</v>
      </c>
      <c r="E900" s="78" t="s">
        <v>8669</v>
      </c>
      <c r="F900" s="45" t="s">
        <v>8765</v>
      </c>
      <c r="G900" s="46" t="s">
        <v>2265</v>
      </c>
      <c r="H900" s="62" t="s">
        <v>2266</v>
      </c>
      <c r="I900" s="133"/>
      <c r="J900" s="155"/>
      <c r="K900" s="155"/>
      <c r="L900" s="155"/>
      <c r="M900" s="155"/>
      <c r="N900" s="155"/>
      <c r="O900" s="155"/>
    </row>
    <row r="901" spans="1:15" ht="148.5">
      <c r="A901" s="81"/>
      <c r="B901" s="63" t="s">
        <v>2197</v>
      </c>
      <c r="C901" s="45" t="s">
        <v>8766</v>
      </c>
      <c r="D901" s="45" t="s">
        <v>2268</v>
      </c>
      <c r="E901" s="78" t="s">
        <v>8669</v>
      </c>
      <c r="F901" s="45" t="s">
        <v>8767</v>
      </c>
      <c r="G901" s="46" t="s">
        <v>2270</v>
      </c>
      <c r="H901" s="62" t="s">
        <v>2271</v>
      </c>
      <c r="I901" s="133"/>
      <c r="J901" s="155"/>
      <c r="K901" s="155"/>
      <c r="L901" s="155"/>
      <c r="M901" s="155"/>
      <c r="N901" s="155"/>
      <c r="O901" s="155"/>
    </row>
    <row r="902" spans="1:15" ht="132">
      <c r="A902" s="81"/>
      <c r="B902" s="63" t="s">
        <v>2197</v>
      </c>
      <c r="C902" s="45" t="s">
        <v>8768</v>
      </c>
      <c r="D902" s="45" t="s">
        <v>8769</v>
      </c>
      <c r="E902" s="78" t="s">
        <v>8669</v>
      </c>
      <c r="F902" s="45" t="s">
        <v>8770</v>
      </c>
      <c r="G902" s="46" t="s">
        <v>8771</v>
      </c>
      <c r="H902" s="62" t="s">
        <v>2196</v>
      </c>
      <c r="I902" s="133"/>
      <c r="J902" s="155"/>
      <c r="K902" s="155"/>
      <c r="L902" s="155"/>
      <c r="M902" s="155"/>
      <c r="N902" s="155"/>
      <c r="O902" s="155"/>
    </row>
    <row r="903" spans="1:15" ht="132">
      <c r="A903" s="81"/>
      <c r="B903" s="63" t="s">
        <v>2197</v>
      </c>
      <c r="C903" s="45" t="s">
        <v>8772</v>
      </c>
      <c r="D903" s="45" t="s">
        <v>8773</v>
      </c>
      <c r="E903" s="78" t="s">
        <v>8669</v>
      </c>
      <c r="F903" s="45" t="s">
        <v>8774</v>
      </c>
      <c r="G903" s="46" t="s">
        <v>8771</v>
      </c>
      <c r="H903" s="62" t="s">
        <v>2295</v>
      </c>
      <c r="I903" s="133"/>
      <c r="J903" s="155"/>
      <c r="K903" s="155"/>
      <c r="L903" s="155"/>
      <c r="M903" s="155"/>
      <c r="N903" s="155"/>
      <c r="O903" s="155"/>
    </row>
    <row r="904" spans="1:15" ht="132">
      <c r="A904" s="81"/>
      <c r="B904" s="63" t="s">
        <v>2197</v>
      </c>
      <c r="C904" s="45" t="s">
        <v>8775</v>
      </c>
      <c r="D904" s="45" t="s">
        <v>8776</v>
      </c>
      <c r="E904" s="78" t="s">
        <v>8669</v>
      </c>
      <c r="F904" s="45" t="s">
        <v>8777</v>
      </c>
      <c r="G904" s="46" t="s">
        <v>8778</v>
      </c>
      <c r="H904" s="62" t="s">
        <v>2266</v>
      </c>
      <c r="I904" s="133"/>
      <c r="J904" s="155"/>
      <c r="K904" s="155"/>
      <c r="L904" s="155"/>
      <c r="M904" s="155"/>
      <c r="N904" s="155"/>
      <c r="O904" s="155"/>
    </row>
    <row r="905" spans="1:15" ht="132">
      <c r="A905" s="81"/>
      <c r="B905" s="63" t="s">
        <v>2197</v>
      </c>
      <c r="C905" s="45" t="s">
        <v>8779</v>
      </c>
      <c r="D905" s="45" t="s">
        <v>8780</v>
      </c>
      <c r="E905" s="78" t="s">
        <v>8669</v>
      </c>
      <c r="F905" s="45" t="s">
        <v>8781</v>
      </c>
      <c r="G905" s="46" t="s">
        <v>8778</v>
      </c>
      <c r="H905" s="62" t="s">
        <v>2266</v>
      </c>
      <c r="I905" s="133"/>
      <c r="J905" s="155"/>
      <c r="K905" s="155"/>
      <c r="L905" s="155"/>
      <c r="M905" s="155"/>
      <c r="N905" s="155"/>
      <c r="O905" s="155"/>
    </row>
    <row r="906" spans="1:15" ht="214.5">
      <c r="A906" s="81"/>
      <c r="B906" s="63" t="s">
        <v>2197</v>
      </c>
      <c r="C906" s="45" t="s">
        <v>8782</v>
      </c>
      <c r="D906" s="45" t="s">
        <v>2276</v>
      </c>
      <c r="E906" s="78" t="s">
        <v>8669</v>
      </c>
      <c r="F906" s="59" t="s">
        <v>8783</v>
      </c>
      <c r="G906" s="46" t="s">
        <v>8784</v>
      </c>
      <c r="H906" s="62" t="s">
        <v>2279</v>
      </c>
      <c r="I906" s="133"/>
      <c r="J906" s="155"/>
      <c r="K906" s="155"/>
      <c r="L906" s="155"/>
      <c r="M906" s="155"/>
      <c r="N906" s="155"/>
      <c r="O906" s="155"/>
    </row>
    <row r="907" spans="1:15" ht="214.5">
      <c r="A907" s="81"/>
      <c r="B907" s="63" t="s">
        <v>2197</v>
      </c>
      <c r="C907" s="45" t="s">
        <v>8785</v>
      </c>
      <c r="D907" s="45" t="s">
        <v>2281</v>
      </c>
      <c r="E907" s="78" t="s">
        <v>8669</v>
      </c>
      <c r="F907" s="59" t="s">
        <v>8786</v>
      </c>
      <c r="G907" s="46" t="s">
        <v>2283</v>
      </c>
      <c r="H907" s="62" t="s">
        <v>2266</v>
      </c>
      <c r="I907" s="133"/>
      <c r="J907" s="155"/>
      <c r="K907" s="155"/>
      <c r="L907" s="155"/>
      <c r="M907" s="155"/>
      <c r="N907" s="155"/>
      <c r="O907" s="155"/>
    </row>
    <row r="908" spans="1:15" ht="313.5">
      <c r="A908" s="81"/>
      <c r="B908" s="63" t="s">
        <v>2197</v>
      </c>
      <c r="C908" s="45" t="s">
        <v>8787</v>
      </c>
      <c r="D908" s="45" t="s">
        <v>8788</v>
      </c>
      <c r="E908" s="78" t="s">
        <v>8660</v>
      </c>
      <c r="F908" s="59" t="s">
        <v>8789</v>
      </c>
      <c r="G908" s="46" t="s">
        <v>2290</v>
      </c>
      <c r="H908" s="62" t="s">
        <v>2266</v>
      </c>
      <c r="I908" s="133"/>
      <c r="J908" s="155"/>
      <c r="K908" s="155"/>
      <c r="L908" s="155"/>
      <c r="M908" s="155"/>
      <c r="N908" s="155"/>
      <c r="O908" s="155"/>
    </row>
    <row r="909" spans="1:15" ht="330">
      <c r="A909" s="81"/>
      <c r="B909" s="63" t="s">
        <v>2197</v>
      </c>
      <c r="C909" s="45" t="s">
        <v>8790</v>
      </c>
      <c r="D909" s="45" t="s">
        <v>8791</v>
      </c>
      <c r="E909" s="78" t="s">
        <v>8669</v>
      </c>
      <c r="F909" s="59" t="s">
        <v>8792</v>
      </c>
      <c r="G909" s="46" t="s">
        <v>8793</v>
      </c>
      <c r="H909" s="62" t="s">
        <v>2266</v>
      </c>
      <c r="I909" s="133"/>
      <c r="J909" s="155"/>
      <c r="K909" s="155"/>
      <c r="L909" s="155"/>
      <c r="M909" s="155"/>
      <c r="N909" s="155"/>
      <c r="O909" s="155"/>
    </row>
    <row r="910" spans="1:15" ht="313.5">
      <c r="A910" s="81"/>
      <c r="B910" s="63" t="s">
        <v>2197</v>
      </c>
      <c r="C910" s="45" t="s">
        <v>8794</v>
      </c>
      <c r="D910" s="45" t="s">
        <v>2289</v>
      </c>
      <c r="E910" s="78" t="s">
        <v>8669</v>
      </c>
      <c r="F910" s="59" t="s">
        <v>8795</v>
      </c>
      <c r="G910" s="46" t="s">
        <v>2290</v>
      </c>
      <c r="H910" s="62" t="s">
        <v>2266</v>
      </c>
      <c r="I910" s="133"/>
      <c r="J910" s="155"/>
      <c r="K910" s="155"/>
      <c r="L910" s="155"/>
      <c r="M910" s="155"/>
      <c r="N910" s="155"/>
      <c r="O910" s="155"/>
    </row>
    <row r="911" spans="1:15" ht="313.5">
      <c r="A911" s="81"/>
      <c r="B911" s="63" t="s">
        <v>2197</v>
      </c>
      <c r="C911" s="45" t="s">
        <v>8796</v>
      </c>
      <c r="D911" s="45" t="s">
        <v>8797</v>
      </c>
      <c r="E911" s="78" t="s">
        <v>8669</v>
      </c>
      <c r="F911" s="59" t="s">
        <v>8798</v>
      </c>
      <c r="G911" s="46" t="s">
        <v>2294</v>
      </c>
      <c r="H911" s="62" t="s">
        <v>2279</v>
      </c>
      <c r="I911" s="133"/>
      <c r="J911" s="155"/>
      <c r="K911" s="155"/>
      <c r="L911" s="155"/>
      <c r="M911" s="155"/>
      <c r="N911" s="155"/>
      <c r="O911" s="155"/>
    </row>
    <row r="912" spans="1:15" ht="313.5">
      <c r="A912" s="81"/>
      <c r="B912" s="63" t="s">
        <v>2197</v>
      </c>
      <c r="C912" s="45" t="s">
        <v>8799</v>
      </c>
      <c r="D912" s="45" t="s">
        <v>2292</v>
      </c>
      <c r="E912" s="78" t="s">
        <v>8669</v>
      </c>
      <c r="F912" s="59" t="s">
        <v>8800</v>
      </c>
      <c r="G912" s="46" t="s">
        <v>2294</v>
      </c>
      <c r="H912" s="62" t="s">
        <v>2295</v>
      </c>
      <c r="I912" s="133"/>
      <c r="J912" s="155"/>
      <c r="K912" s="155"/>
      <c r="L912" s="155"/>
      <c r="M912" s="155"/>
      <c r="N912" s="155"/>
      <c r="O912" s="155"/>
    </row>
    <row r="913" spans="1:15" ht="313.5">
      <c r="A913" s="81"/>
      <c r="B913" s="63" t="s">
        <v>2197</v>
      </c>
      <c r="C913" s="45" t="s">
        <v>8801</v>
      </c>
      <c r="D913" s="45" t="s">
        <v>2297</v>
      </c>
      <c r="E913" s="78" t="s">
        <v>8669</v>
      </c>
      <c r="F913" s="45" t="s">
        <v>8802</v>
      </c>
      <c r="G913" s="46" t="s">
        <v>2303</v>
      </c>
      <c r="H913" s="62" t="s">
        <v>41</v>
      </c>
      <c r="I913" s="133"/>
      <c r="J913" s="155"/>
      <c r="K913" s="155"/>
      <c r="L913" s="155"/>
      <c r="M913" s="155"/>
      <c r="N913" s="155"/>
      <c r="O913" s="155"/>
    </row>
    <row r="914" spans="1:15" ht="313.5">
      <c r="A914" s="81"/>
      <c r="B914" s="63" t="s">
        <v>2197</v>
      </c>
      <c r="C914" s="45" t="s">
        <v>8803</v>
      </c>
      <c r="D914" s="45" t="s">
        <v>2301</v>
      </c>
      <c r="E914" s="78" t="s">
        <v>8669</v>
      </c>
      <c r="F914" s="59" t="s">
        <v>8804</v>
      </c>
      <c r="G914" s="46" t="s">
        <v>2303</v>
      </c>
      <c r="H914" s="62" t="s">
        <v>36</v>
      </c>
      <c r="I914" s="133"/>
      <c r="J914" s="155"/>
      <c r="K914" s="155"/>
      <c r="L914" s="155"/>
      <c r="M914" s="155"/>
      <c r="N914" s="155"/>
      <c r="O914" s="155"/>
    </row>
    <row r="915" spans="1:15" ht="313.5">
      <c r="A915" s="81"/>
      <c r="B915" s="63" t="s">
        <v>2197</v>
      </c>
      <c r="C915" s="45" t="s">
        <v>8805</v>
      </c>
      <c r="D915" s="45" t="s">
        <v>8806</v>
      </c>
      <c r="E915" s="78" t="s">
        <v>8669</v>
      </c>
      <c r="F915" s="59" t="s">
        <v>8807</v>
      </c>
      <c r="G915" s="46" t="s">
        <v>8808</v>
      </c>
      <c r="H915" s="62" t="s">
        <v>62</v>
      </c>
      <c r="I915" s="133"/>
      <c r="J915" s="155"/>
      <c r="K915" s="155"/>
      <c r="L915" s="155"/>
      <c r="M915" s="155"/>
      <c r="N915" s="155"/>
      <c r="O915" s="155"/>
    </row>
    <row r="916" spans="1:15" ht="297">
      <c r="A916" s="81"/>
      <c r="B916" s="63" t="s">
        <v>2197</v>
      </c>
      <c r="C916" s="45" t="s">
        <v>8809</v>
      </c>
      <c r="D916" s="45" t="s">
        <v>2305</v>
      </c>
      <c r="E916" s="78" t="s">
        <v>8669</v>
      </c>
      <c r="F916" s="75" t="s">
        <v>8810</v>
      </c>
      <c r="G916" s="46" t="s">
        <v>2307</v>
      </c>
      <c r="H916" s="49" t="s">
        <v>41</v>
      </c>
      <c r="I916" s="133"/>
      <c r="J916" s="155"/>
      <c r="K916" s="155"/>
      <c r="L916" s="155"/>
      <c r="M916" s="155"/>
      <c r="N916" s="155"/>
      <c r="O916" s="155"/>
    </row>
    <row r="917" spans="1:15" ht="280.5">
      <c r="A917" s="81"/>
      <c r="B917" s="63" t="s">
        <v>2197</v>
      </c>
      <c r="C917" s="45" t="s">
        <v>8811</v>
      </c>
      <c r="D917" s="45" t="s">
        <v>2309</v>
      </c>
      <c r="E917" s="78" t="s">
        <v>8669</v>
      </c>
      <c r="F917" s="75" t="s">
        <v>8812</v>
      </c>
      <c r="G917" s="46" t="s">
        <v>2307</v>
      </c>
      <c r="H917" s="49" t="s">
        <v>41</v>
      </c>
      <c r="I917" s="133"/>
      <c r="J917" s="155"/>
      <c r="K917" s="155"/>
      <c r="L917" s="155"/>
      <c r="M917" s="155"/>
      <c r="N917" s="155"/>
      <c r="O917" s="155"/>
    </row>
    <row r="918" spans="1:15" ht="313.5">
      <c r="A918" s="81"/>
      <c r="B918" s="66" t="s">
        <v>2197</v>
      </c>
      <c r="C918" s="53" t="s">
        <v>8813</v>
      </c>
      <c r="D918" s="53" t="s">
        <v>2312</v>
      </c>
      <c r="E918" s="73" t="s">
        <v>8669</v>
      </c>
      <c r="F918" s="75" t="s">
        <v>8814</v>
      </c>
      <c r="G918" s="60" t="s">
        <v>2307</v>
      </c>
      <c r="H918" s="49" t="s">
        <v>41</v>
      </c>
      <c r="I918" s="133"/>
      <c r="J918" s="155"/>
      <c r="K918" s="155"/>
      <c r="L918" s="155"/>
      <c r="M918" s="155"/>
      <c r="N918" s="155"/>
      <c r="O918" s="155"/>
    </row>
    <row r="919" spans="1:15" ht="132">
      <c r="A919" s="81"/>
      <c r="B919" s="65" t="s">
        <v>8815</v>
      </c>
      <c r="C919" s="45" t="s">
        <v>8816</v>
      </c>
      <c r="D919" s="45" t="s">
        <v>8817</v>
      </c>
      <c r="E919" s="78" t="s">
        <v>8660</v>
      </c>
      <c r="F919" s="59" t="s">
        <v>8818</v>
      </c>
      <c r="G919" s="46" t="s">
        <v>8819</v>
      </c>
      <c r="H919" s="62" t="s">
        <v>41</v>
      </c>
      <c r="I919" s="133"/>
      <c r="J919" s="155"/>
      <c r="K919" s="155"/>
      <c r="L919" s="155"/>
      <c r="M919" s="155"/>
      <c r="N919" s="155"/>
      <c r="O919" s="155"/>
    </row>
    <row r="920" spans="1:15" ht="148.5">
      <c r="A920" s="81"/>
      <c r="B920" s="65" t="s">
        <v>8815</v>
      </c>
      <c r="C920" s="45" t="s">
        <v>8820</v>
      </c>
      <c r="D920" s="45" t="s">
        <v>8821</v>
      </c>
      <c r="E920" s="78" t="s">
        <v>8669</v>
      </c>
      <c r="F920" s="59" t="s">
        <v>8822</v>
      </c>
      <c r="G920" s="46" t="s">
        <v>8823</v>
      </c>
      <c r="H920" s="62" t="s">
        <v>30</v>
      </c>
      <c r="I920" s="133"/>
      <c r="J920" s="155"/>
      <c r="K920" s="155"/>
      <c r="L920" s="155"/>
      <c r="M920" s="155"/>
      <c r="N920" s="155"/>
      <c r="O920" s="155"/>
    </row>
    <row r="921" spans="1:15" ht="148.5">
      <c r="A921" s="81"/>
      <c r="B921" s="65" t="s">
        <v>8815</v>
      </c>
      <c r="C921" s="45" t="s">
        <v>8824</v>
      </c>
      <c r="D921" s="45" t="s">
        <v>8825</v>
      </c>
      <c r="E921" s="78" t="s">
        <v>8669</v>
      </c>
      <c r="F921" s="59" t="s">
        <v>8826</v>
      </c>
      <c r="G921" s="46" t="s">
        <v>8827</v>
      </c>
      <c r="H921" s="62" t="s">
        <v>36</v>
      </c>
      <c r="I921" s="133"/>
      <c r="J921" s="155"/>
      <c r="K921" s="155"/>
      <c r="L921" s="155"/>
      <c r="M921" s="155"/>
      <c r="N921" s="155"/>
      <c r="O921" s="155"/>
    </row>
    <row r="922" spans="1:15" ht="148.5">
      <c r="A922" s="81"/>
      <c r="B922" s="65" t="s">
        <v>8815</v>
      </c>
      <c r="C922" s="45" t="s">
        <v>8828</v>
      </c>
      <c r="D922" s="45" t="s">
        <v>8829</v>
      </c>
      <c r="E922" s="78" t="s">
        <v>8669</v>
      </c>
      <c r="F922" s="59" t="s">
        <v>8830</v>
      </c>
      <c r="G922" s="46" t="s">
        <v>8831</v>
      </c>
      <c r="H922" s="62" t="s">
        <v>24</v>
      </c>
      <c r="I922" s="133"/>
      <c r="J922" s="155"/>
      <c r="K922" s="155"/>
      <c r="L922" s="155"/>
      <c r="M922" s="155"/>
      <c r="N922" s="155"/>
      <c r="O922" s="155"/>
    </row>
    <row r="923" spans="1:15" ht="148.5">
      <c r="A923" s="81"/>
      <c r="B923" s="65" t="s">
        <v>8815</v>
      </c>
      <c r="C923" s="45" t="s">
        <v>8832</v>
      </c>
      <c r="D923" s="45" t="s">
        <v>8833</v>
      </c>
      <c r="E923" s="78" t="s">
        <v>8669</v>
      </c>
      <c r="F923" s="59" t="s">
        <v>8834</v>
      </c>
      <c r="G923" s="46" t="s">
        <v>8835</v>
      </c>
      <c r="H923" s="62" t="s">
        <v>36</v>
      </c>
      <c r="I923" s="133"/>
      <c r="J923" s="155"/>
      <c r="K923" s="155"/>
      <c r="L923" s="155"/>
      <c r="M923" s="155"/>
      <c r="N923" s="155"/>
      <c r="O923" s="155"/>
    </row>
    <row r="924" spans="1:15" ht="132">
      <c r="A924" s="81"/>
      <c r="B924" s="65" t="s">
        <v>8815</v>
      </c>
      <c r="C924" s="45" t="s">
        <v>8836</v>
      </c>
      <c r="D924" s="45" t="s">
        <v>8837</v>
      </c>
      <c r="E924" s="78" t="s">
        <v>8669</v>
      </c>
      <c r="F924" s="59" t="s">
        <v>8838</v>
      </c>
      <c r="G924" s="46" t="s">
        <v>8839</v>
      </c>
      <c r="H924" s="62" t="s">
        <v>24</v>
      </c>
      <c r="I924" s="133"/>
      <c r="J924" s="155"/>
      <c r="K924" s="155"/>
      <c r="L924" s="155"/>
      <c r="M924" s="155"/>
      <c r="N924" s="155"/>
      <c r="O924" s="155"/>
    </row>
    <row r="925" spans="1:15" ht="132">
      <c r="A925" s="81"/>
      <c r="B925" s="65" t="s">
        <v>8815</v>
      </c>
      <c r="C925" s="45" t="s">
        <v>8840</v>
      </c>
      <c r="D925" s="45" t="s">
        <v>8841</v>
      </c>
      <c r="E925" s="78" t="s">
        <v>8669</v>
      </c>
      <c r="F925" s="59" t="s">
        <v>8842</v>
      </c>
      <c r="G925" s="46" t="s">
        <v>8843</v>
      </c>
      <c r="H925" s="62" t="s">
        <v>24</v>
      </c>
      <c r="I925" s="133"/>
      <c r="J925" s="155"/>
      <c r="K925" s="155"/>
      <c r="L925" s="155"/>
      <c r="M925" s="155"/>
      <c r="N925" s="155"/>
      <c r="O925" s="155"/>
    </row>
    <row r="926" spans="1:15" ht="148.5">
      <c r="A926" s="81"/>
      <c r="B926" s="65" t="s">
        <v>8815</v>
      </c>
      <c r="C926" s="45" t="s">
        <v>8844</v>
      </c>
      <c r="D926" s="45" t="s">
        <v>8845</v>
      </c>
      <c r="E926" s="78" t="s">
        <v>8669</v>
      </c>
      <c r="F926" s="59" t="s">
        <v>8846</v>
      </c>
      <c r="G926" s="46" t="s">
        <v>8847</v>
      </c>
      <c r="H926" s="62" t="s">
        <v>24</v>
      </c>
      <c r="I926" s="133"/>
      <c r="J926" s="155"/>
      <c r="K926" s="155"/>
      <c r="L926" s="155"/>
      <c r="M926" s="155"/>
      <c r="N926" s="155"/>
      <c r="O926" s="155"/>
    </row>
    <row r="927" spans="1:15" ht="148.5">
      <c r="A927" s="81"/>
      <c r="B927" s="65" t="s">
        <v>8815</v>
      </c>
      <c r="C927" s="45" t="s">
        <v>8848</v>
      </c>
      <c r="D927" s="45" t="s">
        <v>8849</v>
      </c>
      <c r="E927" s="78" t="s">
        <v>8669</v>
      </c>
      <c r="F927" s="59" t="s">
        <v>8850</v>
      </c>
      <c r="G927" s="46" t="s">
        <v>8851</v>
      </c>
      <c r="H927" s="62" t="s">
        <v>36</v>
      </c>
      <c r="I927" s="133"/>
      <c r="J927" s="155"/>
      <c r="K927" s="155"/>
      <c r="L927" s="155"/>
      <c r="M927" s="155"/>
      <c r="N927" s="155"/>
      <c r="O927" s="155"/>
    </row>
    <row r="928" spans="1:15" ht="148.5">
      <c r="A928" s="81"/>
      <c r="B928" s="65" t="s">
        <v>8815</v>
      </c>
      <c r="C928" s="45" t="s">
        <v>8852</v>
      </c>
      <c r="D928" s="45" t="s">
        <v>8853</v>
      </c>
      <c r="E928" s="78" t="s">
        <v>8669</v>
      </c>
      <c r="F928" s="59" t="s">
        <v>8854</v>
      </c>
      <c r="G928" s="46" t="s">
        <v>8855</v>
      </c>
      <c r="H928" s="62" t="s">
        <v>24</v>
      </c>
      <c r="I928" s="133"/>
      <c r="J928" s="155"/>
      <c r="K928" s="155"/>
      <c r="L928" s="155"/>
      <c r="M928" s="155"/>
      <c r="N928" s="155"/>
      <c r="O928" s="155"/>
    </row>
    <row r="929" spans="1:15" ht="148.5">
      <c r="A929" s="81"/>
      <c r="B929" s="65" t="s">
        <v>8815</v>
      </c>
      <c r="C929" s="45" t="s">
        <v>8856</v>
      </c>
      <c r="D929" s="45" t="s">
        <v>8857</v>
      </c>
      <c r="E929" s="78" t="s">
        <v>8669</v>
      </c>
      <c r="F929" s="59" t="s">
        <v>8858</v>
      </c>
      <c r="G929" s="46" t="s">
        <v>8859</v>
      </c>
      <c r="H929" s="62" t="s">
        <v>36</v>
      </c>
      <c r="I929" s="133"/>
      <c r="J929" s="155"/>
      <c r="K929" s="155"/>
      <c r="L929" s="155"/>
      <c r="M929" s="155"/>
      <c r="N929" s="155"/>
      <c r="O929" s="155"/>
    </row>
    <row r="930" spans="1:15" ht="132">
      <c r="A930" s="81"/>
      <c r="B930" s="65" t="s">
        <v>8815</v>
      </c>
      <c r="C930" s="45" t="s">
        <v>8860</v>
      </c>
      <c r="D930" s="45" t="s">
        <v>8861</v>
      </c>
      <c r="E930" s="78" t="s">
        <v>8669</v>
      </c>
      <c r="F930" s="59" t="s">
        <v>8862</v>
      </c>
      <c r="G930" s="46" t="s">
        <v>8863</v>
      </c>
      <c r="H930" s="62" t="s">
        <v>24</v>
      </c>
      <c r="I930" s="133"/>
      <c r="J930" s="155"/>
      <c r="K930" s="155"/>
      <c r="L930" s="155"/>
      <c r="M930" s="155"/>
      <c r="N930" s="155"/>
      <c r="O930" s="155"/>
    </row>
    <row r="931" spans="1:15" ht="363">
      <c r="A931" s="81"/>
      <c r="B931" s="65" t="s">
        <v>8815</v>
      </c>
      <c r="C931" s="45" t="s">
        <v>8864</v>
      </c>
      <c r="D931" s="45" t="s">
        <v>8865</v>
      </c>
      <c r="E931" s="78" t="s">
        <v>8669</v>
      </c>
      <c r="F931" s="59" t="s">
        <v>8866</v>
      </c>
      <c r="G931" s="46" t="s">
        <v>8867</v>
      </c>
      <c r="H931" s="62" t="s">
        <v>41</v>
      </c>
      <c r="I931" s="133"/>
      <c r="J931" s="155"/>
      <c r="K931" s="155"/>
      <c r="L931" s="155"/>
      <c r="M931" s="155"/>
      <c r="N931" s="155"/>
      <c r="O931" s="155"/>
    </row>
    <row r="932" spans="1:15" ht="346.5">
      <c r="A932" s="81"/>
      <c r="B932" s="65" t="s">
        <v>8815</v>
      </c>
      <c r="C932" s="45" t="s">
        <v>8868</v>
      </c>
      <c r="D932" s="45" t="s">
        <v>8869</v>
      </c>
      <c r="E932" s="78" t="s">
        <v>8669</v>
      </c>
      <c r="F932" s="59" t="s">
        <v>8870</v>
      </c>
      <c r="G932" s="46" t="s">
        <v>8871</v>
      </c>
      <c r="H932" s="62" t="s">
        <v>24</v>
      </c>
      <c r="I932" s="133"/>
      <c r="J932" s="155"/>
      <c r="K932" s="155"/>
      <c r="L932" s="155"/>
      <c r="M932" s="155"/>
      <c r="N932" s="155"/>
      <c r="O932" s="155"/>
    </row>
    <row r="933" spans="1:15" ht="346.5">
      <c r="A933" s="81"/>
      <c r="B933" s="65" t="s">
        <v>8815</v>
      </c>
      <c r="C933" s="45" t="s">
        <v>8872</v>
      </c>
      <c r="D933" s="45" t="s">
        <v>8873</v>
      </c>
      <c r="E933" s="78" t="s">
        <v>8669</v>
      </c>
      <c r="F933" s="59" t="s">
        <v>8874</v>
      </c>
      <c r="G933" s="46" t="s">
        <v>8871</v>
      </c>
      <c r="H933" s="62" t="s">
        <v>36</v>
      </c>
      <c r="I933" s="133"/>
      <c r="J933" s="155"/>
      <c r="K933" s="155"/>
      <c r="L933" s="155"/>
      <c r="M933" s="155"/>
      <c r="N933" s="155"/>
      <c r="O933" s="155"/>
    </row>
    <row r="934" spans="1:15" ht="346.5">
      <c r="A934" s="81"/>
      <c r="B934" s="65" t="s">
        <v>8815</v>
      </c>
      <c r="C934" s="45" t="s">
        <v>8875</v>
      </c>
      <c r="D934" s="45" t="s">
        <v>8876</v>
      </c>
      <c r="E934" s="78" t="s">
        <v>8669</v>
      </c>
      <c r="F934" s="59" t="s">
        <v>8877</v>
      </c>
      <c r="G934" s="46" t="s">
        <v>8871</v>
      </c>
      <c r="H934" s="62" t="s">
        <v>62</v>
      </c>
      <c r="I934" s="133"/>
      <c r="J934" s="155"/>
      <c r="K934" s="155"/>
      <c r="L934" s="155"/>
      <c r="M934" s="155"/>
      <c r="N934" s="155"/>
      <c r="O934" s="155"/>
    </row>
    <row r="935" spans="1:15" ht="82.5">
      <c r="A935" s="81"/>
      <c r="B935" s="65" t="s">
        <v>8815</v>
      </c>
      <c r="C935" s="45" t="s">
        <v>8878</v>
      </c>
      <c r="D935" s="45" t="s">
        <v>2348</v>
      </c>
      <c r="E935" s="78" t="s">
        <v>8669</v>
      </c>
      <c r="F935" s="59" t="s">
        <v>8879</v>
      </c>
      <c r="G935" s="46" t="s">
        <v>2350</v>
      </c>
      <c r="H935" s="62" t="s">
        <v>2295</v>
      </c>
      <c r="I935" s="133"/>
      <c r="J935" s="155"/>
      <c r="K935" s="155"/>
      <c r="L935" s="155"/>
      <c r="M935" s="155"/>
      <c r="N935" s="155"/>
      <c r="O935" s="155"/>
    </row>
    <row r="936" spans="1:15" ht="82.5">
      <c r="A936" s="81"/>
      <c r="B936" s="65" t="s">
        <v>8815</v>
      </c>
      <c r="C936" s="45" t="s">
        <v>8880</v>
      </c>
      <c r="D936" s="45" t="s">
        <v>2352</v>
      </c>
      <c r="E936" s="78" t="s">
        <v>8669</v>
      </c>
      <c r="F936" s="59" t="s">
        <v>8881</v>
      </c>
      <c r="G936" s="46" t="s">
        <v>2353</v>
      </c>
      <c r="H936" s="62" t="s">
        <v>36</v>
      </c>
      <c r="I936" s="133"/>
      <c r="J936" s="155"/>
      <c r="K936" s="155"/>
      <c r="L936" s="155"/>
      <c r="M936" s="155"/>
      <c r="N936" s="155"/>
      <c r="O936" s="155"/>
    </row>
    <row r="937" spans="1:15" ht="132">
      <c r="A937" s="81"/>
      <c r="B937" s="63" t="s">
        <v>8882</v>
      </c>
      <c r="C937" s="45" t="s">
        <v>8883</v>
      </c>
      <c r="D937" s="45" t="s">
        <v>8884</v>
      </c>
      <c r="E937" s="78" t="s">
        <v>8885</v>
      </c>
      <c r="F937" s="59" t="s">
        <v>8886</v>
      </c>
      <c r="G937" s="46" t="s">
        <v>8887</v>
      </c>
      <c r="H937" s="62" t="s">
        <v>2295</v>
      </c>
      <c r="I937" s="133"/>
      <c r="J937" s="155"/>
      <c r="K937" s="155"/>
      <c r="L937" s="155"/>
      <c r="M937" s="155"/>
      <c r="N937" s="155"/>
      <c r="O937" s="155"/>
    </row>
    <row r="938" spans="1:15" ht="165">
      <c r="A938" s="81"/>
      <c r="B938" s="63" t="s">
        <v>8882</v>
      </c>
      <c r="C938" s="45" t="s">
        <v>8888</v>
      </c>
      <c r="D938" s="45" t="s">
        <v>8889</v>
      </c>
      <c r="E938" s="78" t="s">
        <v>8885</v>
      </c>
      <c r="F938" s="59" t="s">
        <v>8890</v>
      </c>
      <c r="G938" s="46" t="s">
        <v>8891</v>
      </c>
      <c r="H938" s="62" t="s">
        <v>2196</v>
      </c>
      <c r="I938" s="133"/>
      <c r="J938" s="155"/>
      <c r="K938" s="155"/>
      <c r="L938" s="155"/>
      <c r="M938" s="155"/>
      <c r="N938" s="155"/>
      <c r="O938" s="155"/>
    </row>
    <row r="939" spans="1:15" ht="165">
      <c r="A939" s="81"/>
      <c r="B939" s="63" t="s">
        <v>8882</v>
      </c>
      <c r="C939" s="45" t="s">
        <v>8892</v>
      </c>
      <c r="D939" s="45" t="s">
        <v>8893</v>
      </c>
      <c r="E939" s="78" t="s">
        <v>8885</v>
      </c>
      <c r="F939" s="59" t="s">
        <v>8894</v>
      </c>
      <c r="G939" s="46" t="s">
        <v>8895</v>
      </c>
      <c r="H939" s="62" t="s">
        <v>2266</v>
      </c>
      <c r="I939" s="133"/>
      <c r="J939" s="155"/>
      <c r="K939" s="155"/>
      <c r="L939" s="155"/>
      <c r="M939" s="155"/>
      <c r="N939" s="155"/>
      <c r="O939" s="155"/>
    </row>
    <row r="940" spans="1:15" ht="165">
      <c r="A940" s="81"/>
      <c r="B940" s="63" t="s">
        <v>8882</v>
      </c>
      <c r="C940" s="45" t="s">
        <v>8896</v>
      </c>
      <c r="D940" s="45" t="s">
        <v>8897</v>
      </c>
      <c r="E940" s="78" t="s">
        <v>8885</v>
      </c>
      <c r="F940" s="59" t="s">
        <v>8898</v>
      </c>
      <c r="G940" s="46" t="s">
        <v>8899</v>
      </c>
      <c r="H940" s="62" t="s">
        <v>2279</v>
      </c>
      <c r="I940" s="133"/>
      <c r="J940" s="155"/>
      <c r="K940" s="155"/>
      <c r="L940" s="155"/>
      <c r="M940" s="155"/>
      <c r="N940" s="155"/>
      <c r="O940" s="155"/>
    </row>
    <row r="941" spans="1:15" ht="165">
      <c r="A941" s="81"/>
      <c r="B941" s="63" t="s">
        <v>8882</v>
      </c>
      <c r="C941" s="45" t="s">
        <v>8900</v>
      </c>
      <c r="D941" s="45" t="s">
        <v>8901</v>
      </c>
      <c r="E941" s="78" t="s">
        <v>8669</v>
      </c>
      <c r="F941" s="59" t="s">
        <v>8902</v>
      </c>
      <c r="G941" s="46" t="s">
        <v>8903</v>
      </c>
      <c r="H941" s="62" t="s">
        <v>2266</v>
      </c>
      <c r="I941" s="133"/>
      <c r="J941" s="155"/>
      <c r="K941" s="155"/>
      <c r="L941" s="155"/>
      <c r="M941" s="155"/>
      <c r="N941" s="155"/>
      <c r="O941" s="155"/>
    </row>
    <row r="942" spans="1:15" ht="148.5">
      <c r="A942" s="81"/>
      <c r="B942" s="63" t="s">
        <v>8882</v>
      </c>
      <c r="C942" s="45" t="s">
        <v>8904</v>
      </c>
      <c r="D942" s="45" t="s">
        <v>8905</v>
      </c>
      <c r="E942" s="78" t="s">
        <v>8885</v>
      </c>
      <c r="F942" s="59" t="s">
        <v>8906</v>
      </c>
      <c r="G942" s="46" t="s">
        <v>8907</v>
      </c>
      <c r="H942" s="62" t="s">
        <v>2279</v>
      </c>
      <c r="I942" s="133"/>
      <c r="J942" s="155"/>
      <c r="K942" s="155"/>
      <c r="L942" s="155"/>
      <c r="M942" s="155"/>
      <c r="N942" s="155"/>
      <c r="O942" s="155"/>
    </row>
    <row r="943" spans="1:15" ht="132">
      <c r="A943" s="81"/>
      <c r="B943" s="63" t="s">
        <v>8882</v>
      </c>
      <c r="C943" s="45" t="s">
        <v>8908</v>
      </c>
      <c r="D943" s="45" t="s">
        <v>8909</v>
      </c>
      <c r="E943" s="78" t="s">
        <v>8910</v>
      </c>
      <c r="F943" s="59" t="s">
        <v>8911</v>
      </c>
      <c r="G943" s="46" t="s">
        <v>8912</v>
      </c>
      <c r="H943" s="62" t="s">
        <v>2279</v>
      </c>
      <c r="I943" s="133"/>
      <c r="J943" s="155"/>
      <c r="K943" s="155"/>
      <c r="L943" s="155"/>
      <c r="M943" s="155"/>
      <c r="N943" s="155"/>
      <c r="O943" s="155"/>
    </row>
    <row r="944" spans="1:15" ht="165">
      <c r="A944" s="81"/>
      <c r="B944" s="63" t="s">
        <v>8882</v>
      </c>
      <c r="C944" s="45" t="s">
        <v>8913</v>
      </c>
      <c r="D944" s="45" t="s">
        <v>8914</v>
      </c>
      <c r="E944" s="78" t="s">
        <v>8910</v>
      </c>
      <c r="F944" s="59" t="s">
        <v>8915</v>
      </c>
      <c r="G944" s="46" t="s">
        <v>8916</v>
      </c>
      <c r="H944" s="62" t="s">
        <v>2279</v>
      </c>
      <c r="I944" s="133"/>
      <c r="J944" s="155"/>
      <c r="K944" s="155"/>
      <c r="L944" s="155"/>
      <c r="M944" s="155"/>
      <c r="N944" s="155"/>
      <c r="O944" s="155"/>
    </row>
    <row r="945" spans="1:15" ht="165">
      <c r="A945" s="81"/>
      <c r="B945" s="63" t="s">
        <v>8882</v>
      </c>
      <c r="C945" s="45" t="s">
        <v>8917</v>
      </c>
      <c r="D945" s="45" t="s">
        <v>8918</v>
      </c>
      <c r="E945" s="78" t="s">
        <v>8910</v>
      </c>
      <c r="F945" s="59" t="s">
        <v>8919</v>
      </c>
      <c r="G945" s="46" t="s">
        <v>8920</v>
      </c>
      <c r="H945" s="62" t="s">
        <v>2266</v>
      </c>
      <c r="I945" s="133"/>
      <c r="J945" s="155"/>
      <c r="K945" s="155"/>
      <c r="L945" s="155"/>
      <c r="M945" s="155"/>
      <c r="N945" s="155"/>
      <c r="O945" s="155"/>
    </row>
    <row r="946" spans="1:15" ht="165">
      <c r="A946" s="81"/>
      <c r="B946" s="63" t="s">
        <v>8882</v>
      </c>
      <c r="C946" s="45" t="s">
        <v>8921</v>
      </c>
      <c r="D946" s="45" t="s">
        <v>8922</v>
      </c>
      <c r="E946" s="78" t="s">
        <v>8910</v>
      </c>
      <c r="F946" s="59" t="s">
        <v>8923</v>
      </c>
      <c r="G946" s="46" t="s">
        <v>8924</v>
      </c>
      <c r="H946" s="62" t="s">
        <v>2279</v>
      </c>
      <c r="I946" s="133"/>
      <c r="J946" s="155"/>
      <c r="K946" s="155"/>
      <c r="L946" s="155"/>
      <c r="M946" s="155"/>
      <c r="N946" s="155"/>
      <c r="O946" s="155"/>
    </row>
    <row r="947" spans="1:15" ht="165">
      <c r="A947" s="81"/>
      <c r="B947" s="63" t="s">
        <v>8882</v>
      </c>
      <c r="C947" s="45" t="s">
        <v>8925</v>
      </c>
      <c r="D947" s="45" t="s">
        <v>8926</v>
      </c>
      <c r="E947" s="78" t="s">
        <v>8910</v>
      </c>
      <c r="F947" s="59" t="s">
        <v>8927</v>
      </c>
      <c r="G947" s="46" t="s">
        <v>8928</v>
      </c>
      <c r="H947" s="62" t="s">
        <v>2266</v>
      </c>
      <c r="I947" s="133"/>
      <c r="J947" s="155"/>
      <c r="K947" s="155"/>
      <c r="L947" s="155"/>
      <c r="M947" s="155"/>
      <c r="N947" s="155"/>
      <c r="O947" s="155"/>
    </row>
    <row r="948" spans="1:15" ht="148.5">
      <c r="A948" s="81"/>
      <c r="B948" s="63" t="s">
        <v>8882</v>
      </c>
      <c r="C948" s="45" t="s">
        <v>8929</v>
      </c>
      <c r="D948" s="45" t="s">
        <v>8930</v>
      </c>
      <c r="E948" s="78" t="s">
        <v>8910</v>
      </c>
      <c r="F948" s="59" t="s">
        <v>8931</v>
      </c>
      <c r="G948" s="46" t="s">
        <v>8932</v>
      </c>
      <c r="H948" s="62" t="s">
        <v>2279</v>
      </c>
      <c r="I948" s="133"/>
      <c r="J948" s="155"/>
      <c r="K948" s="155"/>
      <c r="L948" s="155"/>
      <c r="M948" s="155"/>
      <c r="N948" s="155"/>
      <c r="O948" s="155"/>
    </row>
    <row r="949" spans="1:15" ht="132">
      <c r="A949" s="81"/>
      <c r="B949" s="65" t="s">
        <v>2364</v>
      </c>
      <c r="C949" s="45" t="s">
        <v>8933</v>
      </c>
      <c r="D949" s="45" t="s">
        <v>8934</v>
      </c>
      <c r="E949" s="78" t="s">
        <v>8660</v>
      </c>
      <c r="F949" s="45" t="s">
        <v>8935</v>
      </c>
      <c r="G949" s="46" t="s">
        <v>8936</v>
      </c>
      <c r="H949" s="62" t="s">
        <v>2279</v>
      </c>
      <c r="I949" s="133"/>
      <c r="J949" s="155"/>
      <c r="K949" s="155"/>
      <c r="L949" s="155"/>
      <c r="M949" s="155"/>
      <c r="N949" s="155"/>
      <c r="O949" s="155"/>
    </row>
    <row r="950" spans="1:15" ht="132">
      <c r="A950" s="81"/>
      <c r="B950" s="65" t="s">
        <v>2364</v>
      </c>
      <c r="C950" s="45" t="s">
        <v>8937</v>
      </c>
      <c r="D950" s="45" t="s">
        <v>8938</v>
      </c>
      <c r="E950" s="78" t="s">
        <v>8669</v>
      </c>
      <c r="F950" s="45" t="s">
        <v>8939</v>
      </c>
      <c r="G950" s="46" t="s">
        <v>8940</v>
      </c>
      <c r="H950" s="62" t="s">
        <v>2279</v>
      </c>
      <c r="I950" s="133"/>
      <c r="J950" s="155"/>
      <c r="K950" s="155"/>
      <c r="L950" s="155"/>
      <c r="M950" s="155"/>
      <c r="N950" s="155"/>
      <c r="O950" s="155"/>
    </row>
    <row r="951" spans="1:15" ht="82.5">
      <c r="A951" s="81"/>
      <c r="B951" s="65" t="s">
        <v>2364</v>
      </c>
      <c r="C951" s="45" t="s">
        <v>8941</v>
      </c>
      <c r="D951" s="45" t="s">
        <v>2374</v>
      </c>
      <c r="E951" s="78" t="s">
        <v>8669</v>
      </c>
      <c r="F951" s="45" t="s">
        <v>8942</v>
      </c>
      <c r="G951" s="46" t="s">
        <v>2376</v>
      </c>
      <c r="H951" s="62" t="s">
        <v>62</v>
      </c>
      <c r="I951" s="133"/>
      <c r="J951" s="155"/>
      <c r="K951" s="155"/>
      <c r="L951" s="155"/>
      <c r="M951" s="155"/>
      <c r="N951" s="155"/>
      <c r="O951" s="155"/>
    </row>
    <row r="952" spans="1:15" ht="132">
      <c r="A952" s="81"/>
      <c r="B952" s="65" t="s">
        <v>2377</v>
      </c>
      <c r="C952" s="45" t="s">
        <v>8943</v>
      </c>
      <c r="D952" s="45" t="s">
        <v>2379</v>
      </c>
      <c r="E952" s="78" t="s">
        <v>8669</v>
      </c>
      <c r="F952" s="45" t="s">
        <v>2380</v>
      </c>
      <c r="G952" s="151" t="s">
        <v>2381</v>
      </c>
      <c r="H952" s="62" t="s">
        <v>24</v>
      </c>
      <c r="I952" s="133"/>
      <c r="J952" s="155"/>
      <c r="K952" s="155"/>
      <c r="L952" s="155"/>
      <c r="M952" s="155"/>
      <c r="N952" s="155"/>
      <c r="O952" s="155"/>
    </row>
    <row r="953" spans="1:15" ht="148.5">
      <c r="A953" s="81"/>
      <c r="B953" s="65" t="s">
        <v>2364</v>
      </c>
      <c r="C953" s="45" t="s">
        <v>8944</v>
      </c>
      <c r="D953" s="45" t="s">
        <v>2383</v>
      </c>
      <c r="E953" s="78" t="s">
        <v>8669</v>
      </c>
      <c r="F953" s="45" t="s">
        <v>8945</v>
      </c>
      <c r="G953" s="46" t="s">
        <v>2385</v>
      </c>
      <c r="H953" s="62" t="s">
        <v>24</v>
      </c>
      <c r="I953" s="133"/>
      <c r="J953" s="155"/>
      <c r="K953" s="155"/>
      <c r="L953" s="155"/>
      <c r="M953" s="155"/>
      <c r="N953" s="155"/>
      <c r="O953" s="155"/>
    </row>
    <row r="954" spans="1:15" ht="132">
      <c r="A954" s="396" t="s">
        <v>2386</v>
      </c>
      <c r="B954" s="63" t="s">
        <v>8946</v>
      </c>
      <c r="C954" s="45" t="s">
        <v>8947</v>
      </c>
      <c r="D954" s="45" t="s">
        <v>8948</v>
      </c>
      <c r="E954" s="78" t="s">
        <v>8949</v>
      </c>
      <c r="F954" s="45" t="s">
        <v>8950</v>
      </c>
      <c r="G954" s="46" t="s">
        <v>8951</v>
      </c>
      <c r="H954" s="62" t="s">
        <v>2196</v>
      </c>
      <c r="I954" s="133"/>
      <c r="J954" s="155"/>
      <c r="K954" s="155"/>
      <c r="L954" s="155"/>
      <c r="M954" s="155"/>
      <c r="N954" s="155"/>
      <c r="O954" s="155"/>
    </row>
    <row r="955" spans="1:15" ht="148.5">
      <c r="A955" s="397"/>
      <c r="B955" s="63" t="s">
        <v>8946</v>
      </c>
      <c r="C955" s="45" t="s">
        <v>8952</v>
      </c>
      <c r="D955" s="45" t="s">
        <v>8953</v>
      </c>
      <c r="E955" s="78" t="s">
        <v>8949</v>
      </c>
      <c r="F955" s="45" t="s">
        <v>8954</v>
      </c>
      <c r="G955" s="46" t="s">
        <v>8951</v>
      </c>
      <c r="H955" s="62" t="s">
        <v>2196</v>
      </c>
      <c r="I955" s="133"/>
      <c r="J955" s="155"/>
      <c r="K955" s="155"/>
      <c r="L955" s="155"/>
      <c r="M955" s="155"/>
      <c r="N955" s="155"/>
      <c r="O955" s="155"/>
    </row>
    <row r="956" spans="1:15" ht="214.5">
      <c r="A956" s="397"/>
      <c r="B956" s="63" t="s">
        <v>8946</v>
      </c>
      <c r="C956" s="45" t="s">
        <v>8955</v>
      </c>
      <c r="D956" s="45" t="s">
        <v>8956</v>
      </c>
      <c r="E956" s="78" t="s">
        <v>8957</v>
      </c>
      <c r="F956" s="45" t="s">
        <v>8958</v>
      </c>
      <c r="G956" s="46" t="s">
        <v>8959</v>
      </c>
      <c r="H956" s="62" t="s">
        <v>2196</v>
      </c>
      <c r="I956" s="133"/>
      <c r="J956" s="155"/>
      <c r="K956" s="155"/>
      <c r="L956" s="155"/>
      <c r="M956" s="155"/>
      <c r="N956" s="155"/>
      <c r="O956" s="155"/>
    </row>
    <row r="957" spans="1:15" ht="214.5">
      <c r="A957" s="397"/>
      <c r="B957" s="63" t="s">
        <v>8946</v>
      </c>
      <c r="C957" s="45" t="s">
        <v>8960</v>
      </c>
      <c r="D957" s="45" t="s">
        <v>8961</v>
      </c>
      <c r="E957" s="78" t="s">
        <v>8949</v>
      </c>
      <c r="F957" s="45" t="s">
        <v>8962</v>
      </c>
      <c r="G957" s="46" t="s">
        <v>8963</v>
      </c>
      <c r="H957" s="62" t="s">
        <v>24</v>
      </c>
      <c r="I957" s="133"/>
      <c r="J957" s="155"/>
      <c r="K957" s="155"/>
      <c r="L957" s="155"/>
      <c r="M957" s="155"/>
      <c r="N957" s="155"/>
      <c r="O957" s="155"/>
    </row>
    <row r="958" spans="1:15" ht="132">
      <c r="A958" s="397"/>
      <c r="B958" s="63" t="s">
        <v>8946</v>
      </c>
      <c r="C958" s="45" t="s">
        <v>8964</v>
      </c>
      <c r="D958" s="45" t="s">
        <v>8965</v>
      </c>
      <c r="E958" s="78" t="s">
        <v>8949</v>
      </c>
      <c r="F958" s="45" t="s">
        <v>8966</v>
      </c>
      <c r="G958" s="46" t="s">
        <v>8967</v>
      </c>
      <c r="H958" s="62" t="s">
        <v>24</v>
      </c>
      <c r="I958" s="133"/>
      <c r="J958" s="155"/>
      <c r="K958" s="155"/>
      <c r="L958" s="155"/>
      <c r="M958" s="155"/>
      <c r="N958" s="155"/>
      <c r="O958" s="155"/>
    </row>
    <row r="959" spans="1:15" ht="148.5">
      <c r="A959" s="397"/>
      <c r="B959" s="63" t="s">
        <v>8946</v>
      </c>
      <c r="C959" s="45" t="s">
        <v>8968</v>
      </c>
      <c r="D959" s="45" t="s">
        <v>8969</v>
      </c>
      <c r="E959" s="78" t="s">
        <v>8949</v>
      </c>
      <c r="F959" s="45" t="s">
        <v>8970</v>
      </c>
      <c r="G959" s="60" t="s">
        <v>8971</v>
      </c>
      <c r="H959" s="62" t="s">
        <v>24</v>
      </c>
      <c r="I959" s="133"/>
      <c r="J959" s="155"/>
      <c r="K959" s="155"/>
      <c r="L959" s="155"/>
      <c r="M959" s="155"/>
      <c r="N959" s="155"/>
      <c r="O959" s="155"/>
    </row>
    <row r="960" spans="1:15" ht="198">
      <c r="A960" s="397"/>
      <c r="B960" s="63" t="s">
        <v>8946</v>
      </c>
      <c r="C960" s="45" t="s">
        <v>8972</v>
      </c>
      <c r="D960" s="45" t="s">
        <v>8973</v>
      </c>
      <c r="E960" s="78" t="s">
        <v>8949</v>
      </c>
      <c r="F960" s="45" t="s">
        <v>8974</v>
      </c>
      <c r="G960" s="46" t="s">
        <v>8975</v>
      </c>
      <c r="H960" s="62" t="s">
        <v>24</v>
      </c>
      <c r="I960" s="133"/>
      <c r="J960" s="155"/>
      <c r="K960" s="155"/>
      <c r="L960" s="155"/>
      <c r="M960" s="155"/>
      <c r="N960" s="155"/>
      <c r="O960" s="155"/>
    </row>
    <row r="961" spans="1:15" ht="198">
      <c r="A961" s="397"/>
      <c r="B961" s="63" t="s">
        <v>8946</v>
      </c>
      <c r="C961" s="45" t="s">
        <v>8976</v>
      </c>
      <c r="D961" s="45" t="s">
        <v>8977</v>
      </c>
      <c r="E961" s="78" t="s">
        <v>8949</v>
      </c>
      <c r="F961" s="45" t="s">
        <v>8978</v>
      </c>
      <c r="G961" s="46" t="s">
        <v>8979</v>
      </c>
      <c r="H961" s="62" t="s">
        <v>24</v>
      </c>
      <c r="I961" s="133"/>
      <c r="J961" s="155"/>
      <c r="K961" s="155"/>
      <c r="L961" s="155"/>
      <c r="M961" s="155"/>
      <c r="N961" s="155"/>
      <c r="O961" s="155"/>
    </row>
    <row r="962" spans="1:15" ht="132">
      <c r="A962" s="397"/>
      <c r="B962" s="63" t="s">
        <v>8946</v>
      </c>
      <c r="C962" s="45" t="s">
        <v>8980</v>
      </c>
      <c r="D962" s="45" t="s">
        <v>8981</v>
      </c>
      <c r="E962" s="78" t="s">
        <v>8949</v>
      </c>
      <c r="F962" s="45" t="s">
        <v>8982</v>
      </c>
      <c r="G962" s="46" t="s">
        <v>8983</v>
      </c>
      <c r="H962" s="62" t="s">
        <v>24</v>
      </c>
      <c r="I962" s="133"/>
      <c r="J962" s="155"/>
      <c r="K962" s="155"/>
      <c r="L962" s="155"/>
      <c r="M962" s="155"/>
      <c r="N962" s="155"/>
      <c r="O962" s="155"/>
    </row>
    <row r="963" spans="1:15" ht="148.5">
      <c r="A963" s="397"/>
      <c r="B963" s="63" t="s">
        <v>8946</v>
      </c>
      <c r="C963" s="45" t="s">
        <v>8984</v>
      </c>
      <c r="D963" s="45" t="s">
        <v>8985</v>
      </c>
      <c r="E963" s="78" t="s">
        <v>8949</v>
      </c>
      <c r="F963" s="45" t="s">
        <v>8986</v>
      </c>
      <c r="G963" s="46" t="s">
        <v>8987</v>
      </c>
      <c r="H963" s="62" t="s">
        <v>24</v>
      </c>
      <c r="I963" s="133"/>
      <c r="J963" s="155"/>
      <c r="K963" s="155"/>
      <c r="L963" s="155"/>
      <c r="M963" s="155"/>
      <c r="N963" s="155"/>
      <c r="O963" s="155"/>
    </row>
    <row r="964" spans="1:15" ht="198">
      <c r="A964" s="397"/>
      <c r="B964" s="63" t="s">
        <v>8946</v>
      </c>
      <c r="C964" s="45" t="s">
        <v>8988</v>
      </c>
      <c r="D964" s="45" t="s">
        <v>8989</v>
      </c>
      <c r="E964" s="78" t="s">
        <v>8949</v>
      </c>
      <c r="F964" s="45" t="s">
        <v>8990</v>
      </c>
      <c r="G964" s="46" t="s">
        <v>8991</v>
      </c>
      <c r="H964" s="62" t="s">
        <v>24</v>
      </c>
      <c r="I964" s="133"/>
      <c r="J964" s="155"/>
      <c r="K964" s="155"/>
      <c r="L964" s="155"/>
      <c r="M964" s="155"/>
      <c r="N964" s="155"/>
      <c r="O964" s="155"/>
    </row>
    <row r="965" spans="1:15" ht="198">
      <c r="A965" s="397"/>
      <c r="B965" s="63" t="s">
        <v>8946</v>
      </c>
      <c r="C965" s="45" t="s">
        <v>8992</v>
      </c>
      <c r="D965" s="45" t="s">
        <v>8993</v>
      </c>
      <c r="E965" s="78" t="s">
        <v>8949</v>
      </c>
      <c r="F965" s="45" t="s">
        <v>8994</v>
      </c>
      <c r="G965" s="46" t="s">
        <v>8995</v>
      </c>
      <c r="H965" s="62" t="s">
        <v>24</v>
      </c>
      <c r="I965" s="133"/>
      <c r="J965" s="155"/>
      <c r="K965" s="155"/>
      <c r="L965" s="155"/>
      <c r="M965" s="155"/>
      <c r="N965" s="155"/>
      <c r="O965" s="155"/>
    </row>
    <row r="966" spans="1:15" ht="148.5">
      <c r="A966" s="397"/>
      <c r="B966" s="63" t="s">
        <v>8946</v>
      </c>
      <c r="C966" s="45" t="s">
        <v>8996</v>
      </c>
      <c r="D966" s="45" t="s">
        <v>8997</v>
      </c>
      <c r="E966" s="78" t="s">
        <v>8949</v>
      </c>
      <c r="F966" s="45" t="s">
        <v>8998</v>
      </c>
      <c r="G966" s="46" t="s">
        <v>8999</v>
      </c>
      <c r="H966" s="62" t="s">
        <v>36</v>
      </c>
      <c r="I966" s="133"/>
      <c r="J966" s="155"/>
      <c r="K966" s="155"/>
      <c r="L966" s="155"/>
      <c r="M966" s="155"/>
      <c r="N966" s="155"/>
      <c r="O966" s="155"/>
    </row>
    <row r="967" spans="1:15" ht="165">
      <c r="A967" s="397"/>
      <c r="B967" s="63" t="s">
        <v>8946</v>
      </c>
      <c r="C967" s="45" t="s">
        <v>9000</v>
      </c>
      <c r="D967" s="45" t="s">
        <v>9001</v>
      </c>
      <c r="E967" s="78" t="s">
        <v>8949</v>
      </c>
      <c r="F967" s="45" t="s">
        <v>9002</v>
      </c>
      <c r="G967" s="46" t="s">
        <v>9003</v>
      </c>
      <c r="H967" s="62" t="s">
        <v>36</v>
      </c>
      <c r="I967" s="133"/>
      <c r="J967" s="155"/>
      <c r="K967" s="155"/>
      <c r="L967" s="155"/>
      <c r="M967" s="155"/>
      <c r="N967" s="155"/>
      <c r="O967" s="155"/>
    </row>
    <row r="968" spans="1:15" ht="165">
      <c r="A968" s="397"/>
      <c r="B968" s="63" t="s">
        <v>8946</v>
      </c>
      <c r="C968" s="45" t="s">
        <v>9004</v>
      </c>
      <c r="D968" s="45" t="s">
        <v>9005</v>
      </c>
      <c r="E968" s="78" t="s">
        <v>8949</v>
      </c>
      <c r="F968" s="45" t="s">
        <v>9006</v>
      </c>
      <c r="G968" s="46" t="s">
        <v>9007</v>
      </c>
      <c r="H968" s="62" t="s">
        <v>36</v>
      </c>
      <c r="I968" s="133"/>
      <c r="J968" s="155"/>
      <c r="K968" s="155"/>
      <c r="L968" s="155"/>
      <c r="M968" s="155"/>
      <c r="N968" s="155"/>
      <c r="O968" s="155"/>
    </row>
    <row r="969" spans="1:15" ht="148.5">
      <c r="A969" s="397"/>
      <c r="B969" s="63" t="s">
        <v>8946</v>
      </c>
      <c r="C969" s="45" t="s">
        <v>9008</v>
      </c>
      <c r="D969" s="45" t="s">
        <v>9009</v>
      </c>
      <c r="E969" s="78" t="s">
        <v>8949</v>
      </c>
      <c r="F969" s="45" t="s">
        <v>9010</v>
      </c>
      <c r="G969" s="46" t="s">
        <v>9011</v>
      </c>
      <c r="H969" s="62" t="s">
        <v>36</v>
      </c>
      <c r="I969" s="133"/>
      <c r="J969" s="155"/>
      <c r="K969" s="155"/>
      <c r="L969" s="155"/>
      <c r="M969" s="155"/>
      <c r="N969" s="155"/>
      <c r="O969" s="155"/>
    </row>
    <row r="970" spans="1:15" ht="165">
      <c r="A970" s="397"/>
      <c r="B970" s="63" t="s">
        <v>8946</v>
      </c>
      <c r="C970" s="45" t="s">
        <v>9012</v>
      </c>
      <c r="D970" s="45" t="s">
        <v>9013</v>
      </c>
      <c r="E970" s="78" t="s">
        <v>8949</v>
      </c>
      <c r="F970" s="45" t="s">
        <v>9014</v>
      </c>
      <c r="G970" s="46" t="s">
        <v>9015</v>
      </c>
      <c r="H970" s="62" t="s">
        <v>36</v>
      </c>
      <c r="I970" s="133"/>
      <c r="J970" s="155"/>
      <c r="K970" s="155"/>
      <c r="L970" s="155"/>
      <c r="M970" s="155"/>
      <c r="N970" s="155"/>
      <c r="O970" s="155"/>
    </row>
    <row r="971" spans="1:15" ht="165">
      <c r="A971" s="397"/>
      <c r="B971" s="63" t="s">
        <v>8946</v>
      </c>
      <c r="C971" s="45" t="s">
        <v>9016</v>
      </c>
      <c r="D971" s="45" t="s">
        <v>9017</v>
      </c>
      <c r="E971" s="78" t="s">
        <v>8949</v>
      </c>
      <c r="F971" s="45" t="s">
        <v>9018</v>
      </c>
      <c r="G971" s="46" t="s">
        <v>9019</v>
      </c>
      <c r="H971" s="62" t="s">
        <v>36</v>
      </c>
      <c r="I971" s="133"/>
      <c r="J971" s="155"/>
      <c r="K971" s="155"/>
      <c r="L971" s="155"/>
      <c r="M971" s="155"/>
      <c r="N971" s="155"/>
      <c r="O971" s="155"/>
    </row>
    <row r="972" spans="1:15" ht="165">
      <c r="A972" s="397"/>
      <c r="B972" s="63" t="s">
        <v>8946</v>
      </c>
      <c r="C972" s="45" t="s">
        <v>9020</v>
      </c>
      <c r="D972" s="45" t="s">
        <v>9021</v>
      </c>
      <c r="E972" s="78" t="s">
        <v>8949</v>
      </c>
      <c r="F972" s="45" t="s">
        <v>9022</v>
      </c>
      <c r="G972" s="46" t="s">
        <v>9023</v>
      </c>
      <c r="H972" s="62" t="s">
        <v>62</v>
      </c>
      <c r="I972" s="133"/>
      <c r="J972" s="155"/>
      <c r="K972" s="155"/>
      <c r="L972" s="155"/>
      <c r="M972" s="155"/>
      <c r="N972" s="155"/>
      <c r="O972" s="155"/>
    </row>
    <row r="973" spans="1:15" ht="165">
      <c r="A973" s="397"/>
      <c r="B973" s="63" t="s">
        <v>8946</v>
      </c>
      <c r="C973" s="45" t="s">
        <v>9024</v>
      </c>
      <c r="D973" s="45" t="s">
        <v>9025</v>
      </c>
      <c r="E973" s="78" t="s">
        <v>8949</v>
      </c>
      <c r="F973" s="45" t="s">
        <v>9026</v>
      </c>
      <c r="G973" s="46" t="s">
        <v>9027</v>
      </c>
      <c r="H973" s="62" t="s">
        <v>62</v>
      </c>
      <c r="I973" s="133"/>
      <c r="J973" s="155"/>
      <c r="K973" s="155"/>
      <c r="L973" s="155"/>
      <c r="M973" s="155"/>
      <c r="N973" s="155"/>
      <c r="O973" s="155"/>
    </row>
    <row r="974" spans="1:15" ht="165">
      <c r="A974" s="397"/>
      <c r="B974" s="63" t="s">
        <v>8946</v>
      </c>
      <c r="C974" s="45" t="s">
        <v>9028</v>
      </c>
      <c r="D974" s="45" t="s">
        <v>9029</v>
      </c>
      <c r="E974" s="78" t="s">
        <v>8949</v>
      </c>
      <c r="F974" s="45" t="s">
        <v>9030</v>
      </c>
      <c r="G974" s="46" t="s">
        <v>9031</v>
      </c>
      <c r="H974" s="62" t="s">
        <v>62</v>
      </c>
      <c r="I974" s="133"/>
      <c r="J974" s="155"/>
      <c r="K974" s="155"/>
      <c r="L974" s="155"/>
      <c r="M974" s="155"/>
      <c r="N974" s="155"/>
      <c r="O974" s="155"/>
    </row>
    <row r="975" spans="1:15" ht="115.5">
      <c r="A975" s="397"/>
      <c r="B975" s="63" t="s">
        <v>8946</v>
      </c>
      <c r="C975" s="45" t="s">
        <v>9032</v>
      </c>
      <c r="D975" s="45" t="s">
        <v>2466</v>
      </c>
      <c r="E975" s="78" t="s">
        <v>8949</v>
      </c>
      <c r="F975" s="45" t="s">
        <v>9033</v>
      </c>
      <c r="G975" s="46" t="s">
        <v>2468</v>
      </c>
      <c r="H975" s="62" t="s">
        <v>24</v>
      </c>
      <c r="I975" s="133"/>
      <c r="J975" s="155"/>
      <c r="K975" s="155"/>
      <c r="L975" s="155"/>
      <c r="M975" s="155"/>
      <c r="N975" s="155"/>
      <c r="O975" s="155"/>
    </row>
    <row r="976" spans="1:15" ht="99">
      <c r="A976" s="397"/>
      <c r="B976" s="63" t="s">
        <v>8946</v>
      </c>
      <c r="C976" s="45" t="s">
        <v>9034</v>
      </c>
      <c r="D976" s="45" t="s">
        <v>2470</v>
      </c>
      <c r="E976" s="78" t="s">
        <v>8957</v>
      </c>
      <c r="F976" s="45" t="s">
        <v>9035</v>
      </c>
      <c r="G976" s="46" t="s">
        <v>9036</v>
      </c>
      <c r="H976" s="62" t="s">
        <v>62</v>
      </c>
      <c r="I976" s="133"/>
      <c r="J976" s="155"/>
      <c r="K976" s="155"/>
      <c r="L976" s="155"/>
      <c r="M976" s="155"/>
      <c r="N976" s="155"/>
      <c r="O976" s="155"/>
    </row>
    <row r="977" spans="1:15" ht="214.5">
      <c r="A977" s="397"/>
      <c r="B977" s="63" t="s">
        <v>8946</v>
      </c>
      <c r="C977" s="45" t="s">
        <v>9037</v>
      </c>
      <c r="D977" s="45" t="s">
        <v>2472</v>
      </c>
      <c r="E977" s="78" t="s">
        <v>8957</v>
      </c>
      <c r="F977" s="45" t="s">
        <v>9038</v>
      </c>
      <c r="G977" s="46" t="s">
        <v>9039</v>
      </c>
      <c r="H977" s="62" t="s">
        <v>36</v>
      </c>
      <c r="I977" s="133"/>
      <c r="J977" s="155"/>
      <c r="K977" s="155"/>
      <c r="L977" s="155"/>
      <c r="M977" s="155"/>
      <c r="N977" s="155"/>
      <c r="O977" s="155"/>
    </row>
    <row r="978" spans="1:15" ht="264">
      <c r="A978" s="397"/>
      <c r="B978" s="63" t="s">
        <v>8946</v>
      </c>
      <c r="C978" s="45" t="s">
        <v>9040</v>
      </c>
      <c r="D978" s="45" t="s">
        <v>9041</v>
      </c>
      <c r="E978" s="78" t="s">
        <v>9042</v>
      </c>
      <c r="F978" s="45" t="s">
        <v>9043</v>
      </c>
      <c r="G978" s="46" t="s">
        <v>2478</v>
      </c>
      <c r="H978" s="62" t="s">
        <v>62</v>
      </c>
      <c r="I978" s="133"/>
      <c r="J978" s="155"/>
      <c r="K978" s="155"/>
      <c r="L978" s="155"/>
      <c r="M978" s="155"/>
      <c r="N978" s="155"/>
      <c r="O978" s="155"/>
    </row>
    <row r="979" spans="1:15" ht="115.5">
      <c r="A979" s="397"/>
      <c r="B979" s="63" t="s">
        <v>8946</v>
      </c>
      <c r="C979" s="45" t="s">
        <v>9044</v>
      </c>
      <c r="D979" s="45" t="s">
        <v>2503</v>
      </c>
      <c r="E979" s="78" t="s">
        <v>8957</v>
      </c>
      <c r="F979" s="45" t="s">
        <v>9045</v>
      </c>
      <c r="G979" s="46" t="s">
        <v>2505</v>
      </c>
      <c r="H979" s="62" t="s">
        <v>30</v>
      </c>
      <c r="I979" s="133"/>
      <c r="J979" s="155"/>
      <c r="K979" s="155"/>
      <c r="L979" s="155"/>
      <c r="M979" s="155"/>
      <c r="N979" s="155"/>
      <c r="O979" s="155"/>
    </row>
    <row r="980" spans="1:15" ht="165">
      <c r="A980" s="397"/>
      <c r="B980" s="63" t="s">
        <v>8946</v>
      </c>
      <c r="C980" s="45" t="s">
        <v>9046</v>
      </c>
      <c r="D980" s="45" t="s">
        <v>2507</v>
      </c>
      <c r="E980" s="78" t="s">
        <v>8949</v>
      </c>
      <c r="F980" s="45" t="s">
        <v>9047</v>
      </c>
      <c r="G980" s="46" t="s">
        <v>2509</v>
      </c>
      <c r="H980" s="62" t="s">
        <v>24</v>
      </c>
      <c r="I980" s="133"/>
      <c r="J980" s="155"/>
      <c r="K980" s="155"/>
      <c r="L980" s="155"/>
      <c r="M980" s="155"/>
      <c r="N980" s="155"/>
      <c r="O980" s="155"/>
    </row>
    <row r="981" spans="1:15" ht="165">
      <c r="A981" s="397"/>
      <c r="B981" s="63" t="s">
        <v>8946</v>
      </c>
      <c r="C981" s="45" t="s">
        <v>9048</v>
      </c>
      <c r="D981" s="45" t="s">
        <v>2511</v>
      </c>
      <c r="E981" s="78" t="s">
        <v>8949</v>
      </c>
      <c r="F981" s="45" t="s">
        <v>9049</v>
      </c>
      <c r="G981" s="46" t="s">
        <v>2513</v>
      </c>
      <c r="H981" s="62" t="s">
        <v>24</v>
      </c>
      <c r="I981" s="133"/>
      <c r="J981" s="155"/>
      <c r="K981" s="155"/>
      <c r="L981" s="155"/>
      <c r="M981" s="155"/>
      <c r="N981" s="155"/>
      <c r="O981" s="155"/>
    </row>
    <row r="982" spans="1:15" ht="165">
      <c r="A982" s="397"/>
      <c r="B982" s="63" t="s">
        <v>8946</v>
      </c>
      <c r="C982" s="45" t="s">
        <v>9050</v>
      </c>
      <c r="D982" s="45" t="s">
        <v>2514</v>
      </c>
      <c r="E982" s="78" t="s">
        <v>8949</v>
      </c>
      <c r="F982" s="45" t="s">
        <v>9051</v>
      </c>
      <c r="G982" s="46" t="s">
        <v>2515</v>
      </c>
      <c r="H982" s="62" t="s">
        <v>24</v>
      </c>
      <c r="I982" s="133"/>
      <c r="J982" s="155"/>
      <c r="K982" s="155"/>
      <c r="L982" s="155"/>
      <c r="M982" s="155"/>
      <c r="N982" s="155"/>
      <c r="O982" s="155"/>
    </row>
    <row r="983" spans="1:15" ht="165">
      <c r="A983" s="397"/>
      <c r="B983" s="63" t="s">
        <v>8946</v>
      </c>
      <c r="C983" s="45" t="s">
        <v>9052</v>
      </c>
      <c r="D983" s="45" t="s">
        <v>2517</v>
      </c>
      <c r="E983" s="78" t="s">
        <v>8949</v>
      </c>
      <c r="F983" s="45" t="s">
        <v>9053</v>
      </c>
      <c r="G983" s="46" t="s">
        <v>2519</v>
      </c>
      <c r="H983" s="62" t="s">
        <v>24</v>
      </c>
      <c r="I983" s="133"/>
      <c r="J983" s="155"/>
      <c r="K983" s="155"/>
      <c r="L983" s="155"/>
      <c r="M983" s="155"/>
      <c r="N983" s="155"/>
      <c r="O983" s="155"/>
    </row>
    <row r="984" spans="1:15" ht="115.5">
      <c r="A984" s="397"/>
      <c r="B984" s="63" t="s">
        <v>8946</v>
      </c>
      <c r="C984" s="45" t="s">
        <v>9054</v>
      </c>
      <c r="D984" s="45" t="s">
        <v>2521</v>
      </c>
      <c r="E984" s="78" t="s">
        <v>8949</v>
      </c>
      <c r="F984" s="45" t="s">
        <v>9055</v>
      </c>
      <c r="G984" s="46" t="s">
        <v>2523</v>
      </c>
      <c r="H984" s="62" t="s">
        <v>41</v>
      </c>
      <c r="I984" s="133"/>
      <c r="J984" s="155"/>
      <c r="K984" s="155"/>
      <c r="L984" s="155"/>
      <c r="M984" s="155"/>
      <c r="N984" s="155"/>
      <c r="O984" s="155"/>
    </row>
    <row r="985" spans="1:15" ht="165">
      <c r="A985" s="397"/>
      <c r="B985" s="63" t="s">
        <v>8946</v>
      </c>
      <c r="C985" s="45" t="s">
        <v>9056</v>
      </c>
      <c r="D985" s="45" t="s">
        <v>2525</v>
      </c>
      <c r="E985" s="78" t="s">
        <v>8949</v>
      </c>
      <c r="F985" s="53" t="s">
        <v>9057</v>
      </c>
      <c r="G985" s="46" t="s">
        <v>2527</v>
      </c>
      <c r="H985" s="62" t="s">
        <v>24</v>
      </c>
      <c r="I985" s="133"/>
      <c r="J985" s="155"/>
      <c r="K985" s="155"/>
      <c r="L985" s="155"/>
      <c r="M985" s="155"/>
      <c r="N985" s="155"/>
      <c r="O985" s="155"/>
    </row>
    <row r="986" spans="1:15" ht="165">
      <c r="A986" s="397"/>
      <c r="B986" s="63" t="s">
        <v>8946</v>
      </c>
      <c r="C986" s="45" t="s">
        <v>9058</v>
      </c>
      <c r="D986" s="45" t="s">
        <v>2529</v>
      </c>
      <c r="E986" s="78" t="s">
        <v>8949</v>
      </c>
      <c r="F986" s="45" t="s">
        <v>9059</v>
      </c>
      <c r="G986" s="46" t="s">
        <v>2531</v>
      </c>
      <c r="H986" s="62" t="s">
        <v>24</v>
      </c>
      <c r="I986" s="133"/>
      <c r="J986" s="155"/>
      <c r="K986" s="155"/>
      <c r="L986" s="155"/>
      <c r="M986" s="155"/>
      <c r="N986" s="155"/>
      <c r="O986" s="155"/>
    </row>
    <row r="987" spans="1:15" ht="165">
      <c r="A987" s="397"/>
      <c r="B987" s="63" t="s">
        <v>8946</v>
      </c>
      <c r="C987" s="45" t="s">
        <v>9060</v>
      </c>
      <c r="D987" s="45" t="s">
        <v>2533</v>
      </c>
      <c r="E987" s="78" t="s">
        <v>8949</v>
      </c>
      <c r="F987" s="45" t="s">
        <v>9061</v>
      </c>
      <c r="G987" s="46" t="s">
        <v>2535</v>
      </c>
      <c r="H987" s="62" t="s">
        <v>24</v>
      </c>
      <c r="I987" s="133"/>
      <c r="J987" s="155"/>
      <c r="K987" s="155"/>
      <c r="L987" s="155"/>
      <c r="M987" s="155"/>
      <c r="N987" s="155"/>
      <c r="O987" s="155"/>
    </row>
    <row r="988" spans="1:15" ht="165">
      <c r="A988" s="397"/>
      <c r="B988" s="63" t="s">
        <v>8946</v>
      </c>
      <c r="C988" s="45" t="s">
        <v>9062</v>
      </c>
      <c r="D988" s="45" t="s">
        <v>2537</v>
      </c>
      <c r="E988" s="78" t="s">
        <v>8949</v>
      </c>
      <c r="F988" s="45" t="s">
        <v>9063</v>
      </c>
      <c r="G988" s="46" t="s">
        <v>2539</v>
      </c>
      <c r="H988" s="62" t="s">
        <v>24</v>
      </c>
      <c r="I988" s="133"/>
      <c r="J988" s="155"/>
      <c r="K988" s="155"/>
      <c r="L988" s="155"/>
      <c r="M988" s="155"/>
      <c r="N988" s="155"/>
      <c r="O988" s="155"/>
    </row>
    <row r="989" spans="1:15" ht="115.5">
      <c r="A989" s="397"/>
      <c r="B989" s="63" t="s">
        <v>8946</v>
      </c>
      <c r="C989" s="45" t="s">
        <v>9064</v>
      </c>
      <c r="D989" s="45" t="s">
        <v>2541</v>
      </c>
      <c r="E989" s="78" t="s">
        <v>8949</v>
      </c>
      <c r="F989" s="45" t="s">
        <v>9065</v>
      </c>
      <c r="G989" s="46" t="s">
        <v>2543</v>
      </c>
      <c r="H989" s="62" t="s">
        <v>41</v>
      </c>
      <c r="I989" s="133"/>
      <c r="J989" s="155"/>
      <c r="K989" s="155"/>
      <c r="L989" s="155"/>
      <c r="M989" s="155"/>
      <c r="N989" s="155"/>
      <c r="O989" s="155"/>
    </row>
    <row r="990" spans="1:15" ht="165">
      <c r="A990" s="397"/>
      <c r="B990" s="63" t="s">
        <v>8946</v>
      </c>
      <c r="C990" s="45" t="s">
        <v>9066</v>
      </c>
      <c r="D990" s="45" t="s">
        <v>2545</v>
      </c>
      <c r="E990" s="78" t="s">
        <v>8949</v>
      </c>
      <c r="F990" s="45" t="s">
        <v>9067</v>
      </c>
      <c r="G990" s="46" t="s">
        <v>2547</v>
      </c>
      <c r="H990" s="62" t="s">
        <v>24</v>
      </c>
      <c r="I990" s="133"/>
      <c r="J990" s="155"/>
      <c r="K990" s="155"/>
      <c r="L990" s="155"/>
      <c r="M990" s="155"/>
      <c r="N990" s="155"/>
      <c r="O990" s="155"/>
    </row>
    <row r="991" spans="1:15" ht="165">
      <c r="A991" s="397"/>
      <c r="B991" s="63" t="s">
        <v>8946</v>
      </c>
      <c r="C991" s="45" t="s">
        <v>9068</v>
      </c>
      <c r="D991" s="45" t="s">
        <v>2549</v>
      </c>
      <c r="E991" s="78" t="s">
        <v>8949</v>
      </c>
      <c r="F991" s="45" t="s">
        <v>9069</v>
      </c>
      <c r="G991" s="46" t="s">
        <v>2551</v>
      </c>
      <c r="H991" s="62" t="s">
        <v>24</v>
      </c>
      <c r="I991" s="133"/>
      <c r="J991" s="155"/>
      <c r="K991" s="155"/>
      <c r="L991" s="155"/>
      <c r="M991" s="155"/>
      <c r="N991" s="155"/>
      <c r="O991" s="155"/>
    </row>
    <row r="992" spans="1:15" ht="165">
      <c r="A992" s="397"/>
      <c r="B992" s="63" t="s">
        <v>8946</v>
      </c>
      <c r="C992" s="45" t="s">
        <v>9070</v>
      </c>
      <c r="D992" s="45" t="s">
        <v>2553</v>
      </c>
      <c r="E992" s="78" t="s">
        <v>8949</v>
      </c>
      <c r="F992" s="45" t="s">
        <v>9071</v>
      </c>
      <c r="G992" s="46" t="s">
        <v>2555</v>
      </c>
      <c r="H992" s="62" t="s">
        <v>24</v>
      </c>
      <c r="I992" s="133"/>
      <c r="J992" s="155"/>
      <c r="K992" s="155"/>
      <c r="L992" s="155"/>
      <c r="M992" s="155"/>
      <c r="N992" s="155"/>
      <c r="O992" s="155"/>
    </row>
    <row r="993" spans="1:15" ht="165">
      <c r="A993" s="397"/>
      <c r="B993" s="63" t="s">
        <v>8946</v>
      </c>
      <c r="C993" s="45" t="s">
        <v>9072</v>
      </c>
      <c r="D993" s="45" t="s">
        <v>2557</v>
      </c>
      <c r="E993" s="78" t="s">
        <v>8949</v>
      </c>
      <c r="F993" s="45" t="s">
        <v>9073</v>
      </c>
      <c r="G993" s="46" t="s">
        <v>2559</v>
      </c>
      <c r="H993" s="62" t="s">
        <v>24</v>
      </c>
      <c r="I993" s="133"/>
      <c r="J993" s="155"/>
      <c r="K993" s="155"/>
      <c r="L993" s="155"/>
      <c r="M993" s="155"/>
      <c r="N993" s="155"/>
      <c r="O993" s="155"/>
    </row>
    <row r="994" spans="1:15" ht="115.5">
      <c r="A994" s="397"/>
      <c r="B994" s="66" t="s">
        <v>8946</v>
      </c>
      <c r="C994" s="53" t="s">
        <v>9074</v>
      </c>
      <c r="D994" s="53" t="s">
        <v>2561</v>
      </c>
      <c r="E994" s="73" t="s">
        <v>8949</v>
      </c>
      <c r="F994" s="53" t="s">
        <v>9075</v>
      </c>
      <c r="G994" s="60" t="s">
        <v>2563</v>
      </c>
      <c r="H994" s="62" t="s">
        <v>62</v>
      </c>
      <c r="I994" s="133"/>
      <c r="J994" s="155"/>
      <c r="K994" s="155"/>
      <c r="L994" s="155"/>
      <c r="M994" s="155"/>
      <c r="N994" s="155"/>
      <c r="O994" s="155"/>
    </row>
    <row r="995" spans="1:15" ht="82.5">
      <c r="A995" s="397"/>
      <c r="B995" s="66" t="s">
        <v>8946</v>
      </c>
      <c r="C995" s="53" t="s">
        <v>9076</v>
      </c>
      <c r="D995" s="53" t="s">
        <v>2565</v>
      </c>
      <c r="E995" s="73" t="s">
        <v>8957</v>
      </c>
      <c r="F995" s="53" t="s">
        <v>9077</v>
      </c>
      <c r="G995" s="60" t="s">
        <v>2567</v>
      </c>
      <c r="H995" s="62" t="s">
        <v>62</v>
      </c>
      <c r="I995" s="133"/>
      <c r="J995" s="155"/>
      <c r="K995" s="155"/>
      <c r="L995" s="155"/>
      <c r="M995" s="155"/>
      <c r="N995" s="155"/>
      <c r="O995" s="155"/>
    </row>
    <row r="996" spans="1:15" ht="247.5">
      <c r="A996" s="397"/>
      <c r="B996" s="66" t="s">
        <v>8946</v>
      </c>
      <c r="C996" s="53" t="s">
        <v>9078</v>
      </c>
      <c r="D996" s="53" t="s">
        <v>2568</v>
      </c>
      <c r="E996" s="73" t="s">
        <v>8949</v>
      </c>
      <c r="F996" s="53" t="s">
        <v>9079</v>
      </c>
      <c r="G996" s="60" t="s">
        <v>2569</v>
      </c>
      <c r="H996" s="62" t="s">
        <v>62</v>
      </c>
      <c r="I996" s="133"/>
      <c r="J996" s="155"/>
      <c r="K996" s="155"/>
      <c r="L996" s="155"/>
      <c r="M996" s="155"/>
      <c r="N996" s="155"/>
      <c r="O996" s="155"/>
    </row>
    <row r="997" spans="1:15" ht="132">
      <c r="A997" s="397"/>
      <c r="B997" s="66" t="s">
        <v>8946</v>
      </c>
      <c r="C997" s="53" t="s">
        <v>9080</v>
      </c>
      <c r="D997" s="53" t="s">
        <v>2571</v>
      </c>
      <c r="E997" s="73" t="s">
        <v>8949</v>
      </c>
      <c r="F997" s="53" t="s">
        <v>9081</v>
      </c>
      <c r="G997" s="60" t="s">
        <v>2573</v>
      </c>
      <c r="H997" s="62" t="s">
        <v>41</v>
      </c>
      <c r="I997" s="133"/>
      <c r="J997" s="155"/>
      <c r="K997" s="155"/>
      <c r="L997" s="155"/>
      <c r="M997" s="155"/>
      <c r="N997" s="155"/>
      <c r="O997" s="155"/>
    </row>
    <row r="998" spans="1:15" ht="198">
      <c r="A998" s="397"/>
      <c r="B998" s="63" t="s">
        <v>8946</v>
      </c>
      <c r="C998" s="45" t="s">
        <v>9082</v>
      </c>
      <c r="D998" s="45" t="s">
        <v>2576</v>
      </c>
      <c r="E998" s="78" t="s">
        <v>8949</v>
      </c>
      <c r="F998" s="45" t="s">
        <v>9083</v>
      </c>
      <c r="G998" s="46" t="s">
        <v>2578</v>
      </c>
      <c r="H998" s="62" t="s">
        <v>30</v>
      </c>
      <c r="I998" s="133"/>
      <c r="J998" s="155"/>
      <c r="K998" s="155"/>
      <c r="L998" s="155"/>
      <c r="M998" s="155"/>
      <c r="N998" s="155"/>
      <c r="O998" s="155"/>
    </row>
    <row r="999" spans="1:15" ht="198">
      <c r="A999" s="397"/>
      <c r="B999" s="63" t="s">
        <v>8946</v>
      </c>
      <c r="C999" s="45" t="s">
        <v>9084</v>
      </c>
      <c r="D999" s="45" t="s">
        <v>2580</v>
      </c>
      <c r="E999" s="78" t="s">
        <v>8949</v>
      </c>
      <c r="F999" s="45" t="s">
        <v>9085</v>
      </c>
      <c r="G999" s="46" t="s">
        <v>2582</v>
      </c>
      <c r="H999" s="62" t="s">
        <v>41</v>
      </c>
      <c r="I999" s="133"/>
      <c r="J999" s="155"/>
      <c r="K999" s="155"/>
      <c r="L999" s="155"/>
      <c r="M999" s="155"/>
      <c r="N999" s="155"/>
      <c r="O999" s="155"/>
    </row>
    <row r="1000" spans="1:15" ht="198">
      <c r="A1000" s="397"/>
      <c r="B1000" s="63" t="s">
        <v>8946</v>
      </c>
      <c r="C1000" s="45" t="s">
        <v>9086</v>
      </c>
      <c r="D1000" s="45" t="s">
        <v>2584</v>
      </c>
      <c r="E1000" s="78" t="s">
        <v>8949</v>
      </c>
      <c r="F1000" s="45" t="s">
        <v>9087</v>
      </c>
      <c r="G1000" s="46" t="s">
        <v>2586</v>
      </c>
      <c r="H1000" s="62" t="s">
        <v>41</v>
      </c>
      <c r="I1000" s="133"/>
      <c r="J1000" s="155"/>
      <c r="K1000" s="155"/>
      <c r="L1000" s="155"/>
      <c r="M1000" s="155"/>
      <c r="N1000" s="155"/>
      <c r="O1000" s="155"/>
    </row>
    <row r="1001" spans="1:15" ht="115.5">
      <c r="A1001" s="397"/>
      <c r="B1001" s="63" t="s">
        <v>8946</v>
      </c>
      <c r="C1001" s="45" t="s">
        <v>9088</v>
      </c>
      <c r="D1001" s="45" t="s">
        <v>2588</v>
      </c>
      <c r="E1001" s="78" t="s">
        <v>8949</v>
      </c>
      <c r="F1001" s="45" t="s">
        <v>9089</v>
      </c>
      <c r="G1001" s="46" t="s">
        <v>2590</v>
      </c>
      <c r="H1001" s="62" t="s">
        <v>24</v>
      </c>
      <c r="I1001" s="133"/>
      <c r="J1001" s="155"/>
      <c r="K1001" s="155"/>
      <c r="L1001" s="155"/>
      <c r="M1001" s="155"/>
      <c r="N1001" s="155"/>
      <c r="O1001" s="155"/>
    </row>
    <row r="1002" spans="1:15" ht="115.5">
      <c r="A1002" s="397"/>
      <c r="B1002" s="63" t="s">
        <v>8946</v>
      </c>
      <c r="C1002" s="45" t="s">
        <v>9090</v>
      </c>
      <c r="D1002" s="45" t="s">
        <v>2592</v>
      </c>
      <c r="E1002" s="78" t="s">
        <v>8949</v>
      </c>
      <c r="F1002" s="45" t="s">
        <v>9091</v>
      </c>
      <c r="G1002" s="46" t="s">
        <v>2594</v>
      </c>
      <c r="H1002" s="62" t="s">
        <v>24</v>
      </c>
      <c r="I1002" s="133"/>
      <c r="J1002" s="155"/>
      <c r="K1002" s="155"/>
      <c r="L1002" s="155"/>
      <c r="M1002" s="155"/>
      <c r="N1002" s="155"/>
      <c r="O1002" s="155"/>
    </row>
    <row r="1003" spans="1:15" ht="115.5">
      <c r="A1003" s="397"/>
      <c r="B1003" s="63" t="s">
        <v>8946</v>
      </c>
      <c r="C1003" s="45" t="s">
        <v>9092</v>
      </c>
      <c r="D1003" s="45" t="s">
        <v>2596</v>
      </c>
      <c r="E1003" s="78" t="s">
        <v>8949</v>
      </c>
      <c r="F1003" s="45" t="s">
        <v>9093</v>
      </c>
      <c r="G1003" s="46" t="s">
        <v>2598</v>
      </c>
      <c r="H1003" s="62" t="s">
        <v>24</v>
      </c>
      <c r="I1003" s="133"/>
      <c r="J1003" s="155"/>
      <c r="K1003" s="155"/>
      <c r="L1003" s="155"/>
      <c r="M1003" s="155"/>
      <c r="N1003" s="155"/>
      <c r="O1003" s="155"/>
    </row>
    <row r="1004" spans="1:15" ht="181.5">
      <c r="A1004" s="397"/>
      <c r="B1004" s="63" t="s">
        <v>8946</v>
      </c>
      <c r="C1004" s="45" t="s">
        <v>9094</v>
      </c>
      <c r="D1004" s="45" t="s">
        <v>9095</v>
      </c>
      <c r="E1004" s="78" t="s">
        <v>8949</v>
      </c>
      <c r="F1004" s="45" t="s">
        <v>2601</v>
      </c>
      <c r="G1004" s="46" t="s">
        <v>2602</v>
      </c>
      <c r="H1004" s="62" t="s">
        <v>41</v>
      </c>
      <c r="I1004" s="133"/>
      <c r="J1004" s="155"/>
      <c r="K1004" s="155"/>
      <c r="L1004" s="155"/>
      <c r="M1004" s="155"/>
      <c r="N1004" s="155"/>
      <c r="O1004" s="155"/>
    </row>
    <row r="1005" spans="1:15" ht="181.5">
      <c r="A1005" s="397"/>
      <c r="B1005" s="63" t="s">
        <v>8946</v>
      </c>
      <c r="C1005" s="45" t="s">
        <v>9096</v>
      </c>
      <c r="D1005" s="45" t="s">
        <v>2604</v>
      </c>
      <c r="E1005" s="78" t="s">
        <v>8949</v>
      </c>
      <c r="F1005" s="45" t="s">
        <v>2605</v>
      </c>
      <c r="G1005" s="46" t="s">
        <v>2606</v>
      </c>
      <c r="H1005" s="62" t="s">
        <v>41</v>
      </c>
      <c r="I1005" s="133"/>
      <c r="J1005" s="155"/>
      <c r="K1005" s="155"/>
      <c r="L1005" s="155"/>
      <c r="M1005" s="155"/>
      <c r="N1005" s="155"/>
      <c r="O1005" s="155"/>
    </row>
    <row r="1006" spans="1:15" ht="181.5">
      <c r="A1006" s="397"/>
      <c r="B1006" s="63" t="s">
        <v>8946</v>
      </c>
      <c r="C1006" s="45" t="s">
        <v>9097</v>
      </c>
      <c r="D1006" s="45" t="s">
        <v>2608</v>
      </c>
      <c r="E1006" s="78" t="s">
        <v>8949</v>
      </c>
      <c r="F1006" s="45" t="s">
        <v>2609</v>
      </c>
      <c r="G1006" s="46" t="s">
        <v>2610</v>
      </c>
      <c r="H1006" s="62" t="s">
        <v>41</v>
      </c>
      <c r="I1006" s="133"/>
      <c r="J1006" s="155"/>
      <c r="K1006" s="155"/>
      <c r="L1006" s="155"/>
      <c r="M1006" s="155"/>
      <c r="N1006" s="155"/>
      <c r="O1006" s="155"/>
    </row>
    <row r="1007" spans="1:15" ht="99">
      <c r="A1007" s="397"/>
      <c r="B1007" s="63" t="s">
        <v>2386</v>
      </c>
      <c r="C1007" s="45" t="s">
        <v>9098</v>
      </c>
      <c r="D1007" s="45" t="s">
        <v>2612</v>
      </c>
      <c r="E1007" s="78" t="s">
        <v>8949</v>
      </c>
      <c r="F1007" s="45" t="s">
        <v>2613</v>
      </c>
      <c r="G1007" s="46" t="s">
        <v>2614</v>
      </c>
      <c r="H1007" s="62" t="s">
        <v>36</v>
      </c>
      <c r="I1007" s="133"/>
      <c r="J1007" s="155"/>
      <c r="K1007" s="155"/>
      <c r="L1007" s="155"/>
      <c r="M1007" s="155"/>
      <c r="N1007" s="155"/>
      <c r="O1007" s="155"/>
    </row>
    <row r="1008" spans="1:15" ht="99">
      <c r="A1008" s="397"/>
      <c r="B1008" s="63" t="s">
        <v>8946</v>
      </c>
      <c r="C1008" s="45" t="s">
        <v>9099</v>
      </c>
      <c r="D1008" s="45" t="s">
        <v>2616</v>
      </c>
      <c r="E1008" s="78" t="s">
        <v>8949</v>
      </c>
      <c r="F1008" s="45" t="s">
        <v>2617</v>
      </c>
      <c r="G1008" s="46" t="s">
        <v>2618</v>
      </c>
      <c r="H1008" s="62" t="s">
        <v>36</v>
      </c>
      <c r="I1008" s="133"/>
      <c r="J1008" s="155"/>
      <c r="K1008" s="155"/>
      <c r="L1008" s="155"/>
      <c r="M1008" s="155"/>
      <c r="N1008" s="155"/>
      <c r="O1008" s="155"/>
    </row>
    <row r="1009" spans="1:15" ht="99">
      <c r="A1009" s="397"/>
      <c r="B1009" s="63" t="s">
        <v>8946</v>
      </c>
      <c r="C1009" s="45" t="s">
        <v>9100</v>
      </c>
      <c r="D1009" s="45" t="s">
        <v>2620</v>
      </c>
      <c r="E1009" s="78" t="s">
        <v>8949</v>
      </c>
      <c r="F1009" s="45" t="s">
        <v>2621</v>
      </c>
      <c r="G1009" s="46" t="s">
        <v>2622</v>
      </c>
      <c r="H1009" s="62" t="s">
        <v>36</v>
      </c>
      <c r="I1009" s="133"/>
      <c r="J1009" s="155"/>
      <c r="K1009" s="155"/>
      <c r="L1009" s="155"/>
      <c r="M1009" s="155"/>
      <c r="N1009" s="155"/>
      <c r="O1009" s="155"/>
    </row>
    <row r="1010" spans="1:15" ht="132">
      <c r="A1010" s="397"/>
      <c r="B1010" s="63" t="s">
        <v>8946</v>
      </c>
      <c r="C1010" s="45" t="s">
        <v>9101</v>
      </c>
      <c r="D1010" s="45" t="s">
        <v>9102</v>
      </c>
      <c r="E1010" s="78" t="s">
        <v>8957</v>
      </c>
      <c r="F1010" s="45" t="s">
        <v>9103</v>
      </c>
      <c r="G1010" s="46" t="s">
        <v>9104</v>
      </c>
      <c r="H1010" s="62" t="s">
        <v>30</v>
      </c>
      <c r="I1010" s="133"/>
      <c r="J1010" s="155"/>
      <c r="K1010" s="155"/>
      <c r="L1010" s="155"/>
      <c r="M1010" s="155"/>
      <c r="N1010" s="155"/>
      <c r="O1010" s="155"/>
    </row>
    <row r="1011" spans="1:15" ht="148.5">
      <c r="A1011" s="397"/>
      <c r="B1011" s="63" t="s">
        <v>8946</v>
      </c>
      <c r="C1011" s="45" t="s">
        <v>9105</v>
      </c>
      <c r="D1011" s="45" t="s">
        <v>9106</v>
      </c>
      <c r="E1011" s="78" t="s">
        <v>8949</v>
      </c>
      <c r="F1011" s="45" t="s">
        <v>9107</v>
      </c>
      <c r="G1011" s="46" t="s">
        <v>9108</v>
      </c>
      <c r="H1011" s="62" t="s">
        <v>30</v>
      </c>
      <c r="I1011" s="133"/>
      <c r="J1011" s="155"/>
      <c r="K1011" s="155"/>
      <c r="L1011" s="155"/>
      <c r="M1011" s="155"/>
      <c r="N1011" s="155"/>
      <c r="O1011" s="155"/>
    </row>
    <row r="1012" spans="1:15" ht="148.5">
      <c r="A1012" s="397"/>
      <c r="B1012" s="63" t="s">
        <v>8946</v>
      </c>
      <c r="C1012" s="45" t="s">
        <v>9109</v>
      </c>
      <c r="D1012" s="45" t="s">
        <v>9110</v>
      </c>
      <c r="E1012" s="78" t="s">
        <v>8949</v>
      </c>
      <c r="F1012" s="45" t="s">
        <v>9111</v>
      </c>
      <c r="G1012" s="46" t="s">
        <v>9112</v>
      </c>
      <c r="H1012" s="62" t="s">
        <v>41</v>
      </c>
      <c r="I1012" s="133"/>
      <c r="J1012" s="155"/>
      <c r="K1012" s="155"/>
      <c r="L1012" s="155"/>
      <c r="M1012" s="155"/>
      <c r="N1012" s="155"/>
      <c r="O1012" s="155"/>
    </row>
    <row r="1013" spans="1:15" ht="99">
      <c r="A1013" s="397"/>
      <c r="B1013" s="63" t="s">
        <v>8946</v>
      </c>
      <c r="C1013" s="45" t="s">
        <v>9113</v>
      </c>
      <c r="D1013" s="45" t="s">
        <v>2633</v>
      </c>
      <c r="E1013" s="78" t="s">
        <v>8949</v>
      </c>
      <c r="F1013" s="45" t="s">
        <v>9114</v>
      </c>
      <c r="G1013" s="46" t="s">
        <v>2635</v>
      </c>
      <c r="H1013" s="62" t="s">
        <v>24</v>
      </c>
      <c r="I1013" s="133"/>
      <c r="J1013" s="155"/>
      <c r="K1013" s="155"/>
      <c r="L1013" s="155"/>
      <c r="M1013" s="155"/>
      <c r="N1013" s="155"/>
      <c r="O1013" s="155"/>
    </row>
    <row r="1014" spans="1:15" ht="66">
      <c r="A1014" s="397"/>
      <c r="B1014" s="63" t="s">
        <v>8946</v>
      </c>
      <c r="C1014" s="45" t="s">
        <v>9115</v>
      </c>
      <c r="D1014" s="45" t="s">
        <v>2637</v>
      </c>
      <c r="E1014" s="78" t="s">
        <v>8949</v>
      </c>
      <c r="F1014" s="45" t="s">
        <v>2638</v>
      </c>
      <c r="G1014" s="46" t="s">
        <v>2639</v>
      </c>
      <c r="H1014" s="62" t="s">
        <v>62</v>
      </c>
      <c r="I1014" s="133"/>
      <c r="J1014" s="155"/>
      <c r="K1014" s="155"/>
      <c r="L1014" s="155"/>
      <c r="M1014" s="155"/>
      <c r="N1014" s="155"/>
      <c r="O1014" s="155"/>
    </row>
    <row r="1015" spans="1:15" ht="99">
      <c r="A1015" s="397"/>
      <c r="B1015" s="63" t="s">
        <v>8946</v>
      </c>
      <c r="C1015" s="45" t="s">
        <v>9116</v>
      </c>
      <c r="D1015" s="45" t="s">
        <v>2641</v>
      </c>
      <c r="E1015" s="78" t="s">
        <v>8949</v>
      </c>
      <c r="F1015" s="45" t="s">
        <v>9117</v>
      </c>
      <c r="G1015" s="46" t="s">
        <v>2643</v>
      </c>
      <c r="H1015" s="62" t="s">
        <v>36</v>
      </c>
      <c r="I1015" s="133"/>
      <c r="J1015" s="155"/>
      <c r="K1015" s="155"/>
      <c r="L1015" s="155"/>
      <c r="M1015" s="155"/>
      <c r="N1015" s="155"/>
      <c r="O1015" s="155"/>
    </row>
    <row r="1016" spans="1:15" ht="115.5">
      <c r="A1016" s="397"/>
      <c r="B1016" s="63" t="s">
        <v>8946</v>
      </c>
      <c r="C1016" s="45" t="s">
        <v>9118</v>
      </c>
      <c r="D1016" s="45" t="s">
        <v>2646</v>
      </c>
      <c r="E1016" s="78" t="s">
        <v>8949</v>
      </c>
      <c r="F1016" s="45" t="s">
        <v>9119</v>
      </c>
      <c r="G1016" s="46" t="s">
        <v>2648</v>
      </c>
      <c r="H1016" s="62" t="s">
        <v>41</v>
      </c>
      <c r="I1016" s="133"/>
      <c r="J1016" s="155"/>
      <c r="K1016" s="155"/>
      <c r="L1016" s="155"/>
      <c r="M1016" s="155"/>
      <c r="N1016" s="155"/>
      <c r="O1016" s="155"/>
    </row>
    <row r="1017" spans="1:15" ht="165">
      <c r="A1017" s="397"/>
      <c r="B1017" s="63" t="s">
        <v>8946</v>
      </c>
      <c r="C1017" s="45" t="s">
        <v>9120</v>
      </c>
      <c r="D1017" s="45" t="s">
        <v>2650</v>
      </c>
      <c r="E1017" s="78" t="s">
        <v>8949</v>
      </c>
      <c r="F1017" s="45" t="s">
        <v>9121</v>
      </c>
      <c r="G1017" s="46" t="s">
        <v>2652</v>
      </c>
      <c r="H1017" s="62" t="s">
        <v>24</v>
      </c>
      <c r="I1017" s="133"/>
      <c r="J1017" s="155"/>
      <c r="K1017" s="155"/>
      <c r="L1017" s="155"/>
      <c r="M1017" s="155"/>
      <c r="N1017" s="155"/>
      <c r="O1017" s="155"/>
    </row>
    <row r="1018" spans="1:15" ht="165">
      <c r="A1018" s="397"/>
      <c r="B1018" s="63" t="s">
        <v>8946</v>
      </c>
      <c r="C1018" s="45" t="s">
        <v>9122</v>
      </c>
      <c r="D1018" s="45" t="s">
        <v>2654</v>
      </c>
      <c r="E1018" s="78" t="s">
        <v>8949</v>
      </c>
      <c r="F1018" s="45" t="s">
        <v>9123</v>
      </c>
      <c r="G1018" s="46" t="s">
        <v>2656</v>
      </c>
      <c r="H1018" s="62" t="s">
        <v>24</v>
      </c>
      <c r="I1018" s="133"/>
      <c r="J1018" s="155"/>
      <c r="K1018" s="155"/>
      <c r="L1018" s="155"/>
      <c r="M1018" s="155"/>
      <c r="N1018" s="155"/>
      <c r="O1018" s="155"/>
    </row>
    <row r="1019" spans="1:15" ht="165">
      <c r="A1019" s="397"/>
      <c r="B1019" s="63" t="s">
        <v>8946</v>
      </c>
      <c r="C1019" s="45" t="s">
        <v>9124</v>
      </c>
      <c r="D1019" s="45" t="s">
        <v>2658</v>
      </c>
      <c r="E1019" s="78" t="s">
        <v>8949</v>
      </c>
      <c r="F1019" s="45" t="s">
        <v>9125</v>
      </c>
      <c r="G1019" s="46" t="s">
        <v>2660</v>
      </c>
      <c r="H1019" s="62" t="s">
        <v>24</v>
      </c>
      <c r="I1019" s="133"/>
      <c r="J1019" s="155"/>
      <c r="K1019" s="155"/>
      <c r="L1019" s="155"/>
      <c r="M1019" s="155"/>
      <c r="N1019" s="155"/>
      <c r="O1019" s="155"/>
    </row>
    <row r="1020" spans="1:15" ht="165">
      <c r="A1020" s="397"/>
      <c r="B1020" s="63" t="s">
        <v>8946</v>
      </c>
      <c r="C1020" s="45" t="s">
        <v>9126</v>
      </c>
      <c r="D1020" s="45" t="s">
        <v>2662</v>
      </c>
      <c r="E1020" s="78" t="s">
        <v>8949</v>
      </c>
      <c r="F1020" s="45" t="s">
        <v>9127</v>
      </c>
      <c r="G1020" s="46" t="s">
        <v>2664</v>
      </c>
      <c r="H1020" s="62" t="s">
        <v>24</v>
      </c>
      <c r="I1020" s="133"/>
      <c r="J1020" s="155"/>
      <c r="K1020" s="155"/>
      <c r="L1020" s="155"/>
      <c r="M1020" s="155"/>
      <c r="N1020" s="155"/>
      <c r="O1020" s="155"/>
    </row>
    <row r="1021" spans="1:15" ht="214.5">
      <c r="A1021" s="397"/>
      <c r="B1021" s="63" t="s">
        <v>8946</v>
      </c>
      <c r="C1021" s="45" t="s">
        <v>9128</v>
      </c>
      <c r="D1021" s="45" t="s">
        <v>2667</v>
      </c>
      <c r="E1021" s="78" t="s">
        <v>8949</v>
      </c>
      <c r="F1021" s="45" t="s">
        <v>9129</v>
      </c>
      <c r="G1021" s="46" t="s">
        <v>2669</v>
      </c>
      <c r="H1021" s="62" t="s">
        <v>24</v>
      </c>
      <c r="I1021" s="133"/>
      <c r="J1021" s="155"/>
      <c r="K1021" s="155"/>
      <c r="L1021" s="155"/>
      <c r="M1021" s="155"/>
      <c r="N1021" s="155"/>
      <c r="O1021" s="155"/>
    </row>
    <row r="1022" spans="1:15" ht="115.5">
      <c r="A1022" s="397"/>
      <c r="B1022" s="63" t="s">
        <v>8946</v>
      </c>
      <c r="C1022" s="45" t="s">
        <v>9130</v>
      </c>
      <c r="D1022" s="45" t="s">
        <v>2671</v>
      </c>
      <c r="E1022" s="78" t="s">
        <v>8949</v>
      </c>
      <c r="F1022" s="45" t="s">
        <v>9131</v>
      </c>
      <c r="G1022" s="46" t="s">
        <v>2673</v>
      </c>
      <c r="H1022" s="62" t="s">
        <v>86</v>
      </c>
      <c r="I1022" s="133"/>
      <c r="J1022" s="155"/>
      <c r="K1022" s="155"/>
      <c r="L1022" s="155"/>
      <c r="M1022" s="155"/>
      <c r="N1022" s="155"/>
      <c r="O1022" s="155"/>
    </row>
    <row r="1023" spans="1:15" ht="198">
      <c r="A1023" s="397"/>
      <c r="B1023" s="63" t="s">
        <v>8946</v>
      </c>
      <c r="C1023" s="45" t="s">
        <v>9132</v>
      </c>
      <c r="D1023" s="45" t="s">
        <v>2675</v>
      </c>
      <c r="E1023" s="78" t="s">
        <v>8949</v>
      </c>
      <c r="F1023" s="45" t="s">
        <v>2676</v>
      </c>
      <c r="G1023" s="46" t="s">
        <v>2677</v>
      </c>
      <c r="H1023" s="62" t="s">
        <v>41</v>
      </c>
      <c r="I1023" s="133"/>
      <c r="J1023" s="155"/>
      <c r="K1023" s="155"/>
      <c r="L1023" s="155"/>
      <c r="M1023" s="155"/>
      <c r="N1023" s="155"/>
      <c r="O1023" s="155"/>
    </row>
    <row r="1024" spans="1:15" ht="99">
      <c r="A1024" s="397"/>
      <c r="B1024" s="63" t="s">
        <v>8946</v>
      </c>
      <c r="C1024" s="57" t="s">
        <v>9133</v>
      </c>
      <c r="D1024" s="152" t="s">
        <v>2480</v>
      </c>
      <c r="E1024" s="144" t="s">
        <v>8949</v>
      </c>
      <c r="F1024" s="57" t="s">
        <v>9134</v>
      </c>
      <c r="G1024" s="145" t="s">
        <v>2482</v>
      </c>
      <c r="H1024" s="62" t="s">
        <v>86</v>
      </c>
      <c r="I1024" s="133"/>
      <c r="J1024" s="155"/>
      <c r="K1024" s="155"/>
      <c r="L1024" s="155"/>
      <c r="M1024" s="155"/>
      <c r="N1024" s="155"/>
      <c r="O1024" s="155"/>
    </row>
    <row r="1025" spans="1:15" ht="99">
      <c r="A1025" s="397"/>
      <c r="B1025" s="63" t="s">
        <v>8946</v>
      </c>
      <c r="C1025" s="57" t="s">
        <v>9135</v>
      </c>
      <c r="D1025" s="152" t="s">
        <v>2484</v>
      </c>
      <c r="E1025" s="144" t="s">
        <v>8949</v>
      </c>
      <c r="F1025" s="57" t="s">
        <v>9136</v>
      </c>
      <c r="G1025" s="145" t="s">
        <v>2486</v>
      </c>
      <c r="H1025" s="62" t="s">
        <v>86</v>
      </c>
      <c r="I1025" s="133"/>
      <c r="J1025" s="155"/>
      <c r="K1025" s="155"/>
      <c r="L1025" s="155"/>
      <c r="M1025" s="155"/>
      <c r="N1025" s="155"/>
      <c r="O1025" s="155"/>
    </row>
    <row r="1026" spans="1:15" ht="115.5">
      <c r="A1026" s="397"/>
      <c r="B1026" s="63" t="s">
        <v>8946</v>
      </c>
      <c r="C1026" s="45" t="s">
        <v>9137</v>
      </c>
      <c r="D1026" s="45" t="s">
        <v>2488</v>
      </c>
      <c r="E1026" s="78" t="s">
        <v>8949</v>
      </c>
      <c r="F1026" s="45" t="s">
        <v>2489</v>
      </c>
      <c r="G1026" s="46" t="s">
        <v>2490</v>
      </c>
      <c r="H1026" s="62" t="s">
        <v>36</v>
      </c>
      <c r="I1026" s="133"/>
      <c r="J1026" s="155"/>
      <c r="K1026" s="155"/>
      <c r="L1026" s="155"/>
      <c r="M1026" s="155"/>
      <c r="N1026" s="155"/>
      <c r="O1026" s="155"/>
    </row>
    <row r="1027" spans="1:15" ht="115.5">
      <c r="A1027" s="398"/>
      <c r="B1027" s="63" t="s">
        <v>8946</v>
      </c>
      <c r="C1027" s="45" t="s">
        <v>9138</v>
      </c>
      <c r="D1027" s="96" t="s">
        <v>2492</v>
      </c>
      <c r="E1027" s="78" t="s">
        <v>8949</v>
      </c>
      <c r="F1027" s="45" t="s">
        <v>9139</v>
      </c>
      <c r="G1027" s="46" t="s">
        <v>2494</v>
      </c>
      <c r="H1027" s="62" t="s">
        <v>24</v>
      </c>
      <c r="I1027" s="133"/>
      <c r="J1027" s="155"/>
      <c r="K1027" s="155"/>
      <c r="L1027" s="155"/>
      <c r="M1027" s="155"/>
      <c r="N1027" s="155"/>
      <c r="O1027" s="155"/>
    </row>
    <row r="1028" spans="1:15" ht="231">
      <c r="A1028" s="395" t="s">
        <v>2678</v>
      </c>
      <c r="B1028" s="67" t="s">
        <v>2679</v>
      </c>
      <c r="C1028" s="68" t="s">
        <v>9140</v>
      </c>
      <c r="D1028" s="68" t="s">
        <v>2681</v>
      </c>
      <c r="E1028" s="90" t="s">
        <v>9141</v>
      </c>
      <c r="F1028" s="45" t="s">
        <v>9142</v>
      </c>
      <c r="G1028" s="46" t="s">
        <v>2682</v>
      </c>
      <c r="H1028" s="62" t="s">
        <v>2295</v>
      </c>
      <c r="I1028" s="133"/>
      <c r="J1028" s="155"/>
      <c r="K1028" s="155"/>
      <c r="L1028" s="155"/>
      <c r="M1028" s="155"/>
      <c r="N1028" s="155"/>
      <c r="O1028" s="155"/>
    </row>
    <row r="1029" spans="1:15" ht="247.5">
      <c r="A1029" s="395"/>
      <c r="B1029" s="69" t="s">
        <v>2679</v>
      </c>
      <c r="C1029" s="70" t="s">
        <v>9143</v>
      </c>
      <c r="D1029" s="70" t="s">
        <v>2684</v>
      </c>
      <c r="E1029" s="91" t="s">
        <v>9144</v>
      </c>
      <c r="F1029" s="53" t="s">
        <v>9145</v>
      </c>
      <c r="G1029" s="46" t="s">
        <v>9146</v>
      </c>
      <c r="H1029" s="62" t="s">
        <v>2196</v>
      </c>
      <c r="I1029" s="133"/>
      <c r="J1029" s="155"/>
      <c r="K1029" s="155"/>
      <c r="L1029" s="155"/>
      <c r="M1029" s="155"/>
      <c r="N1029" s="155"/>
      <c r="O1029" s="155"/>
    </row>
    <row r="1030" spans="1:15" ht="231">
      <c r="A1030" s="395"/>
      <c r="B1030" s="69" t="s">
        <v>2679</v>
      </c>
      <c r="C1030" s="70" t="s">
        <v>9147</v>
      </c>
      <c r="D1030" s="70" t="s">
        <v>2688</v>
      </c>
      <c r="E1030" s="91" t="s">
        <v>9141</v>
      </c>
      <c r="F1030" s="45" t="s">
        <v>9148</v>
      </c>
      <c r="G1030" s="46" t="s">
        <v>2690</v>
      </c>
      <c r="H1030" s="62" t="s">
        <v>41</v>
      </c>
      <c r="I1030" s="133"/>
      <c r="J1030" s="155"/>
      <c r="K1030" s="155"/>
      <c r="L1030" s="155"/>
      <c r="M1030" s="155"/>
      <c r="N1030" s="155"/>
      <c r="O1030" s="155"/>
    </row>
    <row r="1031" spans="1:15" ht="247.5">
      <c r="A1031" s="395"/>
      <c r="B1031" s="69" t="s">
        <v>2679</v>
      </c>
      <c r="C1031" s="70" t="s">
        <v>9149</v>
      </c>
      <c r="D1031" s="70" t="s">
        <v>2692</v>
      </c>
      <c r="E1031" s="91" t="s">
        <v>9141</v>
      </c>
      <c r="F1031" s="45" t="s">
        <v>9150</v>
      </c>
      <c r="G1031" s="46" t="s">
        <v>2694</v>
      </c>
      <c r="H1031" s="62" t="s">
        <v>41</v>
      </c>
      <c r="I1031" s="133"/>
      <c r="J1031" s="155"/>
      <c r="K1031" s="155"/>
      <c r="L1031" s="155"/>
      <c r="M1031" s="155"/>
      <c r="N1031" s="155"/>
      <c r="O1031" s="155"/>
    </row>
    <row r="1032" spans="1:15" ht="231">
      <c r="A1032" s="395"/>
      <c r="B1032" s="69" t="s">
        <v>2679</v>
      </c>
      <c r="C1032" s="70" t="s">
        <v>9151</v>
      </c>
      <c r="D1032" s="70" t="s">
        <v>2696</v>
      </c>
      <c r="E1032" s="91" t="s">
        <v>9141</v>
      </c>
      <c r="F1032" s="45" t="s">
        <v>9152</v>
      </c>
      <c r="G1032" s="46" t="s">
        <v>2698</v>
      </c>
      <c r="H1032" s="62" t="s">
        <v>24</v>
      </c>
      <c r="I1032" s="133"/>
      <c r="J1032" s="155"/>
      <c r="K1032" s="155"/>
      <c r="L1032" s="155"/>
      <c r="M1032" s="155"/>
      <c r="N1032" s="155"/>
      <c r="O1032" s="155"/>
    </row>
    <row r="1033" spans="1:15" ht="247.5">
      <c r="A1033" s="395"/>
      <c r="B1033" s="69" t="s">
        <v>2679</v>
      </c>
      <c r="C1033" s="70" t="s">
        <v>9153</v>
      </c>
      <c r="D1033" s="70" t="s">
        <v>2700</v>
      </c>
      <c r="E1033" s="91" t="s">
        <v>9141</v>
      </c>
      <c r="F1033" s="53" t="s">
        <v>9154</v>
      </c>
      <c r="G1033" s="46" t="s">
        <v>2702</v>
      </c>
      <c r="H1033" s="62" t="s">
        <v>24</v>
      </c>
      <c r="I1033" s="133"/>
      <c r="J1033" s="155"/>
      <c r="K1033" s="155"/>
      <c r="L1033" s="155"/>
      <c r="M1033" s="155"/>
      <c r="N1033" s="155"/>
      <c r="O1033" s="155"/>
    </row>
    <row r="1034" spans="1:15" ht="231">
      <c r="A1034" s="395"/>
      <c r="B1034" s="69" t="s">
        <v>2679</v>
      </c>
      <c r="C1034" s="70" t="s">
        <v>9155</v>
      </c>
      <c r="D1034" s="70" t="s">
        <v>9156</v>
      </c>
      <c r="E1034" s="91" t="s">
        <v>9141</v>
      </c>
      <c r="F1034" s="45" t="s">
        <v>9157</v>
      </c>
      <c r="G1034" s="46" t="s">
        <v>9158</v>
      </c>
      <c r="H1034" s="62" t="s">
        <v>24</v>
      </c>
      <c r="I1034" s="133"/>
      <c r="J1034" s="155"/>
      <c r="K1034" s="155"/>
      <c r="L1034" s="155"/>
      <c r="M1034" s="155"/>
      <c r="N1034" s="155"/>
      <c r="O1034" s="155"/>
    </row>
    <row r="1035" spans="1:15" ht="247.5">
      <c r="A1035" s="395"/>
      <c r="B1035" s="69" t="s">
        <v>2679</v>
      </c>
      <c r="C1035" s="70" t="s">
        <v>9159</v>
      </c>
      <c r="D1035" s="70" t="s">
        <v>9160</v>
      </c>
      <c r="E1035" s="91" t="s">
        <v>9141</v>
      </c>
      <c r="F1035" s="45" t="s">
        <v>9161</v>
      </c>
      <c r="G1035" s="46" t="s">
        <v>9162</v>
      </c>
      <c r="H1035" s="62" t="s">
        <v>24</v>
      </c>
      <c r="I1035" s="133"/>
      <c r="J1035" s="155"/>
      <c r="K1035" s="155"/>
      <c r="L1035" s="155"/>
      <c r="M1035" s="155"/>
      <c r="N1035" s="155"/>
      <c r="O1035" s="155"/>
    </row>
    <row r="1036" spans="1:15" ht="313.5">
      <c r="A1036" s="395"/>
      <c r="B1036" s="69" t="s">
        <v>2679</v>
      </c>
      <c r="C1036" s="70" t="s">
        <v>9163</v>
      </c>
      <c r="D1036" s="70" t="s">
        <v>9164</v>
      </c>
      <c r="E1036" s="92" t="s">
        <v>5949</v>
      </c>
      <c r="F1036" s="45" t="s">
        <v>9165</v>
      </c>
      <c r="G1036" s="46" t="s">
        <v>9166</v>
      </c>
      <c r="H1036" s="62" t="s">
        <v>24</v>
      </c>
      <c r="I1036" s="133"/>
      <c r="J1036" s="155"/>
      <c r="K1036" s="155"/>
      <c r="L1036" s="155"/>
      <c r="M1036" s="155"/>
      <c r="N1036" s="155"/>
      <c r="O1036" s="155"/>
    </row>
    <row r="1037" spans="1:15" ht="297">
      <c r="A1037" s="395"/>
      <c r="B1037" s="69" t="s">
        <v>2679</v>
      </c>
      <c r="C1037" s="70" t="s">
        <v>9167</v>
      </c>
      <c r="D1037" s="70" t="s">
        <v>9168</v>
      </c>
      <c r="E1037" s="92" t="s">
        <v>5909</v>
      </c>
      <c r="F1037" s="45" t="s">
        <v>9169</v>
      </c>
      <c r="G1037" s="46" t="s">
        <v>9170</v>
      </c>
      <c r="H1037" s="62" t="s">
        <v>24</v>
      </c>
      <c r="I1037" s="133"/>
      <c r="J1037" s="155"/>
      <c r="K1037" s="155"/>
      <c r="L1037" s="155"/>
      <c r="M1037" s="155"/>
      <c r="N1037" s="155"/>
      <c r="O1037" s="155"/>
    </row>
    <row r="1038" spans="1:15" ht="247.5">
      <c r="A1038" s="395"/>
      <c r="B1038" s="69" t="s">
        <v>2679</v>
      </c>
      <c r="C1038" s="70" t="s">
        <v>9171</v>
      </c>
      <c r="D1038" s="93" t="s">
        <v>2711</v>
      </c>
      <c r="E1038" s="92" t="s">
        <v>9172</v>
      </c>
      <c r="F1038" s="45" t="s">
        <v>9173</v>
      </c>
      <c r="G1038" s="46" t="s">
        <v>2713</v>
      </c>
      <c r="H1038" s="62" t="s">
        <v>2295</v>
      </c>
      <c r="I1038" s="133"/>
      <c r="J1038" s="155"/>
      <c r="K1038" s="155"/>
      <c r="L1038" s="155"/>
      <c r="M1038" s="155"/>
      <c r="N1038" s="155"/>
      <c r="O1038" s="155"/>
    </row>
    <row r="1039" spans="1:15" ht="264">
      <c r="A1039" s="395"/>
      <c r="B1039" s="69" t="s">
        <v>2679</v>
      </c>
      <c r="C1039" s="70" t="s">
        <v>9174</v>
      </c>
      <c r="D1039" s="70" t="s">
        <v>2715</v>
      </c>
      <c r="E1039" s="91" t="s">
        <v>9141</v>
      </c>
      <c r="F1039" s="53" t="s">
        <v>9175</v>
      </c>
      <c r="G1039" s="46" t="s">
        <v>2717</v>
      </c>
      <c r="H1039" s="62" t="s">
        <v>2196</v>
      </c>
      <c r="I1039" s="133"/>
      <c r="J1039" s="155"/>
      <c r="K1039" s="155"/>
      <c r="L1039" s="155"/>
      <c r="M1039" s="155"/>
      <c r="N1039" s="155"/>
      <c r="O1039" s="155"/>
    </row>
    <row r="1040" spans="1:15" ht="247.5">
      <c r="A1040" s="395"/>
      <c r="B1040" s="69" t="s">
        <v>2679</v>
      </c>
      <c r="C1040" s="70" t="s">
        <v>9176</v>
      </c>
      <c r="D1040" s="70" t="s">
        <v>2719</v>
      </c>
      <c r="E1040" s="91" t="s">
        <v>9141</v>
      </c>
      <c r="F1040" s="45" t="s">
        <v>9177</v>
      </c>
      <c r="G1040" s="46" t="s">
        <v>2721</v>
      </c>
      <c r="H1040" s="62" t="s">
        <v>41</v>
      </c>
      <c r="I1040" s="133"/>
      <c r="J1040" s="155"/>
      <c r="K1040" s="155"/>
      <c r="L1040" s="155"/>
      <c r="M1040" s="155"/>
      <c r="N1040" s="155"/>
      <c r="O1040" s="155"/>
    </row>
    <row r="1041" spans="1:15" ht="264">
      <c r="A1041" s="395"/>
      <c r="B1041" s="69" t="s">
        <v>2679</v>
      </c>
      <c r="C1041" s="70" t="s">
        <v>9178</v>
      </c>
      <c r="D1041" s="70" t="s">
        <v>2723</v>
      </c>
      <c r="E1041" s="91" t="s">
        <v>9141</v>
      </c>
      <c r="F1041" s="45" t="s">
        <v>9179</v>
      </c>
      <c r="G1041" s="46" t="s">
        <v>2725</v>
      </c>
      <c r="H1041" s="62" t="s">
        <v>41</v>
      </c>
      <c r="I1041" s="133"/>
      <c r="J1041" s="155"/>
      <c r="K1041" s="155"/>
      <c r="L1041" s="155"/>
      <c r="M1041" s="155"/>
      <c r="N1041" s="155"/>
      <c r="O1041" s="155"/>
    </row>
    <row r="1042" spans="1:15" ht="247.5">
      <c r="A1042" s="395"/>
      <c r="B1042" s="69" t="s">
        <v>2679</v>
      </c>
      <c r="C1042" s="70" t="s">
        <v>9180</v>
      </c>
      <c r="D1042" s="70" t="s">
        <v>2727</v>
      </c>
      <c r="E1042" s="91" t="s">
        <v>9141</v>
      </c>
      <c r="F1042" s="45" t="s">
        <v>9181</v>
      </c>
      <c r="G1042" s="46" t="s">
        <v>2729</v>
      </c>
      <c r="H1042" s="62" t="s">
        <v>24</v>
      </c>
      <c r="I1042" s="133"/>
      <c r="J1042" s="155"/>
      <c r="K1042" s="155"/>
      <c r="L1042" s="155"/>
      <c r="M1042" s="155"/>
      <c r="N1042" s="155"/>
      <c r="O1042" s="155"/>
    </row>
    <row r="1043" spans="1:15" ht="264">
      <c r="A1043" s="395"/>
      <c r="B1043" s="69" t="s">
        <v>2679</v>
      </c>
      <c r="C1043" s="70" t="s">
        <v>9182</v>
      </c>
      <c r="D1043" s="70" t="s">
        <v>2731</v>
      </c>
      <c r="E1043" s="91" t="s">
        <v>9141</v>
      </c>
      <c r="F1043" s="53" t="s">
        <v>9183</v>
      </c>
      <c r="G1043" s="46" t="s">
        <v>9184</v>
      </c>
      <c r="H1043" s="62" t="s">
        <v>24</v>
      </c>
      <c r="I1043" s="133"/>
      <c r="J1043" s="155"/>
      <c r="K1043" s="155"/>
      <c r="L1043" s="155"/>
      <c r="M1043" s="155"/>
      <c r="N1043" s="155"/>
      <c r="O1043" s="155"/>
    </row>
    <row r="1044" spans="1:15" ht="247.5">
      <c r="A1044" s="395"/>
      <c r="B1044" s="69" t="s">
        <v>2679</v>
      </c>
      <c r="C1044" s="70" t="s">
        <v>9185</v>
      </c>
      <c r="D1044" s="70" t="s">
        <v>9186</v>
      </c>
      <c r="E1044" s="91" t="s">
        <v>9141</v>
      </c>
      <c r="F1044" s="53" t="s">
        <v>9187</v>
      </c>
      <c r="G1044" s="46" t="s">
        <v>9188</v>
      </c>
      <c r="H1044" s="62" t="s">
        <v>24</v>
      </c>
      <c r="I1044" s="133"/>
      <c r="J1044" s="155"/>
      <c r="K1044" s="155"/>
      <c r="L1044" s="155"/>
      <c r="M1044" s="155"/>
      <c r="N1044" s="155"/>
      <c r="O1044" s="155"/>
    </row>
    <row r="1045" spans="1:15" ht="264">
      <c r="A1045" s="395"/>
      <c r="B1045" s="69" t="s">
        <v>2679</v>
      </c>
      <c r="C1045" s="70" t="s">
        <v>9189</v>
      </c>
      <c r="D1045" s="70" t="s">
        <v>9190</v>
      </c>
      <c r="E1045" s="91" t="s">
        <v>9141</v>
      </c>
      <c r="F1045" s="45" t="s">
        <v>9191</v>
      </c>
      <c r="G1045" s="46" t="s">
        <v>9192</v>
      </c>
      <c r="H1045" s="62" t="s">
        <v>24</v>
      </c>
      <c r="I1045" s="133"/>
      <c r="J1045" s="155"/>
      <c r="K1045" s="155"/>
      <c r="L1045" s="155"/>
      <c r="M1045" s="155"/>
      <c r="N1045" s="155"/>
      <c r="O1045" s="155"/>
    </row>
    <row r="1046" spans="1:15" ht="313.5">
      <c r="A1046" s="395"/>
      <c r="B1046" s="69" t="s">
        <v>2679</v>
      </c>
      <c r="C1046" s="70" t="s">
        <v>9193</v>
      </c>
      <c r="D1046" s="70" t="s">
        <v>9194</v>
      </c>
      <c r="E1046" s="91" t="s">
        <v>9141</v>
      </c>
      <c r="F1046" s="45" t="s">
        <v>9195</v>
      </c>
      <c r="G1046" s="46" t="s">
        <v>9196</v>
      </c>
      <c r="H1046" s="62" t="s">
        <v>24</v>
      </c>
      <c r="I1046" s="133"/>
      <c r="J1046" s="155"/>
      <c r="K1046" s="155"/>
      <c r="L1046" s="155"/>
      <c r="M1046" s="155"/>
      <c r="N1046" s="155"/>
      <c r="O1046" s="155"/>
    </row>
    <row r="1047" spans="1:15" ht="330">
      <c r="A1047" s="395"/>
      <c r="B1047" s="69" t="s">
        <v>2679</v>
      </c>
      <c r="C1047" s="70" t="s">
        <v>9197</v>
      </c>
      <c r="D1047" s="70" t="s">
        <v>9198</v>
      </c>
      <c r="E1047" s="91" t="s">
        <v>9141</v>
      </c>
      <c r="F1047" s="45" t="s">
        <v>9199</v>
      </c>
      <c r="G1047" s="46" t="s">
        <v>9200</v>
      </c>
      <c r="H1047" s="62" t="s">
        <v>24</v>
      </c>
      <c r="I1047" s="133"/>
      <c r="J1047" s="155"/>
      <c r="K1047" s="155"/>
      <c r="L1047" s="155"/>
      <c r="M1047" s="155"/>
      <c r="N1047" s="155"/>
      <c r="O1047" s="155"/>
    </row>
    <row r="1048" spans="1:15" ht="231">
      <c r="A1048" s="395"/>
      <c r="B1048" s="69" t="s">
        <v>2679</v>
      </c>
      <c r="C1048" s="70" t="s">
        <v>9201</v>
      </c>
      <c r="D1048" s="70" t="s">
        <v>2738</v>
      </c>
      <c r="E1048" s="91" t="s">
        <v>9141</v>
      </c>
      <c r="F1048" s="45" t="s">
        <v>9202</v>
      </c>
      <c r="G1048" s="46" t="s">
        <v>2740</v>
      </c>
      <c r="H1048" s="62" t="s">
        <v>2196</v>
      </c>
      <c r="I1048" s="133"/>
      <c r="J1048" s="155"/>
      <c r="K1048" s="155"/>
      <c r="L1048" s="155"/>
      <c r="M1048" s="155"/>
      <c r="N1048" s="155"/>
      <c r="O1048" s="155"/>
    </row>
    <row r="1049" spans="1:15" ht="231">
      <c r="A1049" s="395"/>
      <c r="B1049" s="69" t="s">
        <v>2679</v>
      </c>
      <c r="C1049" s="70" t="s">
        <v>9203</v>
      </c>
      <c r="D1049" s="70" t="s">
        <v>2742</v>
      </c>
      <c r="E1049" s="91" t="s">
        <v>9141</v>
      </c>
      <c r="F1049" s="53" t="s">
        <v>9204</v>
      </c>
      <c r="G1049" s="60" t="s">
        <v>9205</v>
      </c>
      <c r="H1049" s="62" t="s">
        <v>24</v>
      </c>
      <c r="I1049" s="133"/>
      <c r="J1049" s="155"/>
      <c r="K1049" s="155"/>
      <c r="L1049" s="155"/>
      <c r="M1049" s="155"/>
      <c r="N1049" s="155"/>
      <c r="O1049" s="155"/>
    </row>
    <row r="1050" spans="1:15" ht="99">
      <c r="A1050" s="395"/>
      <c r="B1050" s="69" t="s">
        <v>2679</v>
      </c>
      <c r="C1050" s="70" t="s">
        <v>9206</v>
      </c>
      <c r="D1050" s="70" t="s">
        <v>2746</v>
      </c>
      <c r="E1050" s="91" t="s">
        <v>9141</v>
      </c>
      <c r="F1050" s="53" t="s">
        <v>2747</v>
      </c>
      <c r="G1050" s="60" t="s">
        <v>2748</v>
      </c>
      <c r="H1050" s="62" t="s">
        <v>41</v>
      </c>
      <c r="I1050" s="133"/>
      <c r="J1050" s="155"/>
      <c r="K1050" s="155"/>
      <c r="L1050" s="155"/>
      <c r="M1050" s="155"/>
      <c r="N1050" s="155"/>
      <c r="O1050" s="155"/>
    </row>
    <row r="1051" spans="1:15" ht="231">
      <c r="A1051" s="395"/>
      <c r="B1051" s="69" t="s">
        <v>2679</v>
      </c>
      <c r="C1051" s="70" t="s">
        <v>9207</v>
      </c>
      <c r="D1051" s="70" t="s">
        <v>2750</v>
      </c>
      <c r="E1051" s="91" t="s">
        <v>9144</v>
      </c>
      <c r="F1051" s="53" t="s">
        <v>9208</v>
      </c>
      <c r="G1051" s="60" t="s">
        <v>9209</v>
      </c>
      <c r="H1051" s="62" t="s">
        <v>41</v>
      </c>
      <c r="I1051" s="133"/>
      <c r="J1051" s="155"/>
      <c r="K1051" s="155"/>
      <c r="L1051" s="155"/>
      <c r="M1051" s="155"/>
      <c r="N1051" s="155"/>
      <c r="O1051" s="155"/>
    </row>
    <row r="1052" spans="1:15" ht="231">
      <c r="A1052" s="395"/>
      <c r="B1052" s="69" t="s">
        <v>2679</v>
      </c>
      <c r="C1052" s="70" t="s">
        <v>9210</v>
      </c>
      <c r="D1052" s="70" t="s">
        <v>2753</v>
      </c>
      <c r="E1052" s="91" t="s">
        <v>9141</v>
      </c>
      <c r="F1052" s="53" t="s">
        <v>9211</v>
      </c>
      <c r="G1052" s="60" t="s">
        <v>2755</v>
      </c>
      <c r="H1052" s="62" t="s">
        <v>41</v>
      </c>
      <c r="I1052" s="133"/>
      <c r="J1052" s="155"/>
      <c r="K1052" s="155"/>
      <c r="L1052" s="155"/>
      <c r="M1052" s="155"/>
      <c r="N1052" s="155"/>
      <c r="O1052" s="155"/>
    </row>
    <row r="1053" spans="1:15" ht="231">
      <c r="A1053" s="395"/>
      <c r="B1053" s="69" t="s">
        <v>2679</v>
      </c>
      <c r="C1053" s="70" t="s">
        <v>9212</v>
      </c>
      <c r="D1053" s="70" t="s">
        <v>2757</v>
      </c>
      <c r="E1053" s="91" t="s">
        <v>9141</v>
      </c>
      <c r="F1053" s="53" t="s">
        <v>9213</v>
      </c>
      <c r="G1053" s="60" t="s">
        <v>2758</v>
      </c>
      <c r="H1053" s="62" t="s">
        <v>36</v>
      </c>
      <c r="I1053" s="133"/>
      <c r="J1053" s="155"/>
      <c r="K1053" s="155"/>
      <c r="L1053" s="155"/>
      <c r="M1053" s="155"/>
      <c r="N1053" s="155"/>
      <c r="O1053" s="155"/>
    </row>
    <row r="1054" spans="1:15" ht="231">
      <c r="A1054" s="395"/>
      <c r="B1054" s="69" t="s">
        <v>2679</v>
      </c>
      <c r="C1054" s="70" t="s">
        <v>9214</v>
      </c>
      <c r="D1054" s="70" t="s">
        <v>2760</v>
      </c>
      <c r="E1054" s="91" t="s">
        <v>9141</v>
      </c>
      <c r="F1054" s="45" t="s">
        <v>9215</v>
      </c>
      <c r="G1054" s="60" t="s">
        <v>9216</v>
      </c>
      <c r="H1054" s="62" t="s">
        <v>24</v>
      </c>
      <c r="I1054" s="133"/>
      <c r="J1054" s="155"/>
      <c r="K1054" s="155"/>
      <c r="L1054" s="155"/>
      <c r="M1054" s="155"/>
      <c r="N1054" s="155"/>
      <c r="O1054" s="155"/>
    </row>
    <row r="1055" spans="1:15" ht="231">
      <c r="A1055" s="395"/>
      <c r="B1055" s="69" t="s">
        <v>2679</v>
      </c>
      <c r="C1055" s="70" t="s">
        <v>9217</v>
      </c>
      <c r="D1055" s="70" t="s">
        <v>2764</v>
      </c>
      <c r="E1055" s="91" t="s">
        <v>9141</v>
      </c>
      <c r="F1055" s="53" t="s">
        <v>9218</v>
      </c>
      <c r="G1055" s="60" t="s">
        <v>2765</v>
      </c>
      <c r="H1055" s="62" t="s">
        <v>41</v>
      </c>
      <c r="I1055" s="133"/>
      <c r="J1055" s="155"/>
      <c r="K1055" s="155"/>
      <c r="L1055" s="155"/>
      <c r="M1055" s="155"/>
      <c r="N1055" s="155"/>
      <c r="O1055" s="155"/>
    </row>
    <row r="1056" spans="1:15" ht="132">
      <c r="A1056" s="395"/>
      <c r="B1056" s="69" t="s">
        <v>2679</v>
      </c>
      <c r="C1056" s="70" t="s">
        <v>9219</v>
      </c>
      <c r="D1056" s="93" t="s">
        <v>2767</v>
      </c>
      <c r="E1056" s="92" t="s">
        <v>5949</v>
      </c>
      <c r="F1056" s="111" t="s">
        <v>9220</v>
      </c>
      <c r="G1056" s="45" t="s">
        <v>2768</v>
      </c>
      <c r="H1056" s="62" t="s">
        <v>117</v>
      </c>
      <c r="I1056" s="133"/>
      <c r="J1056" s="155"/>
      <c r="K1056" s="155"/>
      <c r="L1056" s="155"/>
      <c r="M1056" s="155"/>
      <c r="N1056" s="155"/>
      <c r="O1056" s="155"/>
    </row>
    <row r="1057" spans="1:15" ht="231">
      <c r="A1057" s="395"/>
      <c r="B1057" s="69" t="s">
        <v>2679</v>
      </c>
      <c r="C1057" s="70" t="s">
        <v>9221</v>
      </c>
      <c r="D1057" s="70" t="s">
        <v>2770</v>
      </c>
      <c r="E1057" s="91" t="s">
        <v>9141</v>
      </c>
      <c r="F1057" s="53" t="s">
        <v>9222</v>
      </c>
      <c r="G1057" s="60" t="s">
        <v>2772</v>
      </c>
      <c r="H1057" s="62" t="s">
        <v>36</v>
      </c>
      <c r="I1057" s="133"/>
      <c r="J1057" s="155"/>
      <c r="K1057" s="155"/>
      <c r="L1057" s="155"/>
      <c r="M1057" s="155"/>
      <c r="N1057" s="155"/>
      <c r="O1057" s="155"/>
    </row>
    <row r="1058" spans="1:15" ht="231">
      <c r="A1058" s="395"/>
      <c r="B1058" s="69" t="s">
        <v>2679</v>
      </c>
      <c r="C1058" s="70" t="s">
        <v>9223</v>
      </c>
      <c r="D1058" s="70" t="s">
        <v>2774</v>
      </c>
      <c r="E1058" s="91" t="s">
        <v>9141</v>
      </c>
      <c r="F1058" s="45" t="s">
        <v>9224</v>
      </c>
      <c r="G1058" s="46" t="s">
        <v>2775</v>
      </c>
      <c r="H1058" s="62" t="s">
        <v>24</v>
      </c>
      <c r="I1058" s="133"/>
      <c r="J1058" s="155"/>
      <c r="K1058" s="155"/>
      <c r="L1058" s="155"/>
      <c r="M1058" s="155"/>
      <c r="N1058" s="155"/>
      <c r="O1058" s="155"/>
    </row>
    <row r="1059" spans="1:15" ht="231">
      <c r="A1059" s="395"/>
      <c r="B1059" s="69" t="s">
        <v>2679</v>
      </c>
      <c r="C1059" s="70" t="s">
        <v>9225</v>
      </c>
      <c r="D1059" s="70" t="s">
        <v>9226</v>
      </c>
      <c r="E1059" s="91" t="s">
        <v>9141</v>
      </c>
      <c r="F1059" s="53" t="s">
        <v>9227</v>
      </c>
      <c r="G1059" s="60" t="s">
        <v>9228</v>
      </c>
      <c r="H1059" s="62" t="s">
        <v>41</v>
      </c>
      <c r="I1059" s="133"/>
      <c r="J1059" s="155"/>
      <c r="K1059" s="155"/>
      <c r="L1059" s="155"/>
      <c r="M1059" s="155"/>
      <c r="N1059" s="155"/>
      <c r="O1059" s="155"/>
    </row>
    <row r="1060" spans="1:15" ht="231">
      <c r="A1060" s="395"/>
      <c r="B1060" s="69" t="s">
        <v>2679</v>
      </c>
      <c r="C1060" s="70" t="s">
        <v>9229</v>
      </c>
      <c r="D1060" s="70" t="s">
        <v>9230</v>
      </c>
      <c r="E1060" s="91" t="s">
        <v>9141</v>
      </c>
      <c r="F1060" s="53" t="s">
        <v>9231</v>
      </c>
      <c r="G1060" s="60" t="s">
        <v>9232</v>
      </c>
      <c r="H1060" s="62" t="s">
        <v>36</v>
      </c>
      <c r="I1060" s="133"/>
      <c r="J1060" s="155"/>
      <c r="K1060" s="155"/>
      <c r="L1060" s="155"/>
      <c r="M1060" s="155"/>
      <c r="N1060" s="155"/>
      <c r="O1060" s="155"/>
    </row>
    <row r="1061" spans="1:15" ht="231">
      <c r="A1061" s="395"/>
      <c r="B1061" s="69" t="s">
        <v>2679</v>
      </c>
      <c r="C1061" s="70" t="s">
        <v>9233</v>
      </c>
      <c r="D1061" s="70" t="s">
        <v>9234</v>
      </c>
      <c r="E1061" s="91" t="s">
        <v>9141</v>
      </c>
      <c r="F1061" s="45" t="s">
        <v>9235</v>
      </c>
      <c r="G1061" s="46" t="s">
        <v>9236</v>
      </c>
      <c r="H1061" s="62" t="s">
        <v>24</v>
      </c>
      <c r="I1061" s="133"/>
      <c r="J1061" s="155"/>
      <c r="K1061" s="155"/>
      <c r="L1061" s="155"/>
      <c r="M1061" s="155"/>
      <c r="N1061" s="155"/>
      <c r="O1061" s="155"/>
    </row>
    <row r="1062" spans="1:15" ht="330">
      <c r="A1062" s="395"/>
      <c r="B1062" s="69" t="s">
        <v>2679</v>
      </c>
      <c r="C1062" s="70" t="s">
        <v>9237</v>
      </c>
      <c r="D1062" s="70" t="s">
        <v>9238</v>
      </c>
      <c r="E1062" s="91" t="s">
        <v>9141</v>
      </c>
      <c r="F1062" s="53" t="s">
        <v>9239</v>
      </c>
      <c r="G1062" s="60" t="s">
        <v>9240</v>
      </c>
      <c r="H1062" s="62" t="s">
        <v>41</v>
      </c>
      <c r="I1062" s="133"/>
      <c r="J1062" s="155"/>
      <c r="K1062" s="155"/>
      <c r="L1062" s="155"/>
      <c r="M1062" s="155"/>
      <c r="N1062" s="155"/>
      <c r="O1062" s="155"/>
    </row>
    <row r="1063" spans="1:15" ht="313.5">
      <c r="A1063" s="395"/>
      <c r="B1063" s="69" t="s">
        <v>2679</v>
      </c>
      <c r="C1063" s="70" t="s">
        <v>9241</v>
      </c>
      <c r="D1063" s="70" t="s">
        <v>9242</v>
      </c>
      <c r="E1063" s="91" t="s">
        <v>9141</v>
      </c>
      <c r="F1063" s="53" t="s">
        <v>9243</v>
      </c>
      <c r="G1063" s="60" t="s">
        <v>9244</v>
      </c>
      <c r="H1063" s="62" t="s">
        <v>36</v>
      </c>
      <c r="I1063" s="133"/>
      <c r="J1063" s="155"/>
      <c r="K1063" s="155"/>
      <c r="L1063" s="155"/>
      <c r="M1063" s="155"/>
      <c r="N1063" s="155"/>
      <c r="O1063" s="155"/>
    </row>
    <row r="1064" spans="1:15" ht="313.5">
      <c r="A1064" s="395"/>
      <c r="B1064" s="69" t="s">
        <v>2679</v>
      </c>
      <c r="C1064" s="70" t="s">
        <v>9245</v>
      </c>
      <c r="D1064" s="70" t="s">
        <v>9246</v>
      </c>
      <c r="E1064" s="91" t="s">
        <v>9141</v>
      </c>
      <c r="F1064" s="53" t="s">
        <v>9247</v>
      </c>
      <c r="G1064" s="60" t="s">
        <v>9248</v>
      </c>
      <c r="H1064" s="62" t="s">
        <v>24</v>
      </c>
      <c r="I1064" s="133"/>
      <c r="J1064" s="155"/>
      <c r="K1064" s="155"/>
      <c r="L1064" s="155"/>
      <c r="M1064" s="155"/>
      <c r="N1064" s="155"/>
      <c r="O1064" s="155"/>
    </row>
    <row r="1065" spans="1:15" ht="99">
      <c r="A1065" s="395"/>
      <c r="B1065" s="112" t="s">
        <v>2679</v>
      </c>
      <c r="C1065" s="93" t="s">
        <v>9249</v>
      </c>
      <c r="D1065" s="93" t="s">
        <v>2786</v>
      </c>
      <c r="E1065" s="92" t="s">
        <v>5949</v>
      </c>
      <c r="F1065" s="45" t="s">
        <v>9250</v>
      </c>
      <c r="G1065" s="46" t="s">
        <v>2787</v>
      </c>
      <c r="H1065" s="62" t="s">
        <v>24</v>
      </c>
      <c r="I1065" s="133"/>
      <c r="J1065" s="155"/>
      <c r="K1065" s="155"/>
      <c r="L1065" s="155"/>
      <c r="M1065" s="155"/>
      <c r="N1065" s="155"/>
      <c r="O1065" s="155"/>
    </row>
    <row r="1066" spans="1:15" ht="115.5">
      <c r="A1066" s="395"/>
      <c r="B1066" s="69" t="s">
        <v>2679</v>
      </c>
      <c r="C1066" s="70" t="s">
        <v>9251</v>
      </c>
      <c r="D1066" s="70" t="s">
        <v>2789</v>
      </c>
      <c r="E1066" s="91" t="s">
        <v>9144</v>
      </c>
      <c r="F1066" s="53" t="s">
        <v>9252</v>
      </c>
      <c r="G1066" s="60" t="s">
        <v>9253</v>
      </c>
      <c r="H1066" s="62" t="s">
        <v>2196</v>
      </c>
      <c r="I1066" s="133"/>
      <c r="J1066" s="155"/>
      <c r="K1066" s="155"/>
      <c r="L1066" s="155"/>
      <c r="M1066" s="155"/>
      <c r="N1066" s="155"/>
      <c r="O1066" s="155"/>
    </row>
    <row r="1067" spans="1:15" ht="99">
      <c r="A1067" s="395"/>
      <c r="B1067" s="69" t="s">
        <v>2679</v>
      </c>
      <c r="C1067" s="70" t="s">
        <v>9254</v>
      </c>
      <c r="D1067" s="70" t="s">
        <v>2792</v>
      </c>
      <c r="E1067" s="91" t="s">
        <v>9141</v>
      </c>
      <c r="F1067" s="53" t="s">
        <v>9255</v>
      </c>
      <c r="G1067" s="60" t="s">
        <v>2794</v>
      </c>
      <c r="H1067" s="62" t="s">
        <v>36</v>
      </c>
      <c r="I1067" s="133"/>
      <c r="J1067" s="155"/>
      <c r="K1067" s="155"/>
      <c r="L1067" s="155"/>
      <c r="M1067" s="155"/>
      <c r="N1067" s="155"/>
      <c r="O1067" s="155"/>
    </row>
    <row r="1068" spans="1:15" ht="82.5">
      <c r="A1068" s="395"/>
      <c r="B1068" s="69" t="s">
        <v>2679</v>
      </c>
      <c r="C1068" s="70" t="s">
        <v>9256</v>
      </c>
      <c r="D1068" s="70" t="s">
        <v>2796</v>
      </c>
      <c r="E1068" s="91" t="s">
        <v>9141</v>
      </c>
      <c r="F1068" s="53" t="s">
        <v>2797</v>
      </c>
      <c r="G1068" s="60" t="s">
        <v>2798</v>
      </c>
      <c r="H1068" s="62" t="s">
        <v>62</v>
      </c>
      <c r="I1068" s="133"/>
      <c r="J1068" s="155"/>
      <c r="K1068" s="155"/>
      <c r="L1068" s="155"/>
      <c r="M1068" s="155"/>
      <c r="N1068" s="155"/>
      <c r="O1068" s="155"/>
    </row>
    <row r="1069" spans="1:15" ht="132">
      <c r="A1069" s="395"/>
      <c r="B1069" s="69" t="s">
        <v>2679</v>
      </c>
      <c r="C1069" s="70" t="s">
        <v>9257</v>
      </c>
      <c r="D1069" s="70" t="s">
        <v>9258</v>
      </c>
      <c r="E1069" s="91" t="s">
        <v>9144</v>
      </c>
      <c r="F1069" s="45" t="s">
        <v>9259</v>
      </c>
      <c r="G1069" s="60" t="s">
        <v>9260</v>
      </c>
      <c r="H1069" s="62" t="s">
        <v>36</v>
      </c>
      <c r="I1069" s="133"/>
      <c r="J1069" s="155"/>
      <c r="K1069" s="155"/>
      <c r="L1069" s="155"/>
      <c r="M1069" s="155"/>
      <c r="N1069" s="155"/>
      <c r="O1069" s="155"/>
    </row>
    <row r="1070" spans="1:15" ht="115.5">
      <c r="A1070" s="395"/>
      <c r="B1070" s="69" t="s">
        <v>2679</v>
      </c>
      <c r="C1070" s="70" t="s">
        <v>9261</v>
      </c>
      <c r="D1070" s="70" t="s">
        <v>2803</v>
      </c>
      <c r="E1070" s="91" t="s">
        <v>9262</v>
      </c>
      <c r="F1070" s="45" t="s">
        <v>9263</v>
      </c>
      <c r="G1070" s="46" t="s">
        <v>9264</v>
      </c>
      <c r="H1070" s="62" t="s">
        <v>36</v>
      </c>
      <c r="I1070" s="133"/>
      <c r="J1070" s="155"/>
      <c r="K1070" s="155"/>
      <c r="L1070" s="155"/>
      <c r="M1070" s="155"/>
      <c r="N1070" s="155"/>
      <c r="O1070" s="155"/>
    </row>
    <row r="1071" spans="1:15" ht="115.5">
      <c r="A1071" s="395"/>
      <c r="B1071" s="69" t="s">
        <v>2679</v>
      </c>
      <c r="C1071" s="70" t="s">
        <v>9265</v>
      </c>
      <c r="D1071" s="70" t="s">
        <v>2808</v>
      </c>
      <c r="E1071" s="91" t="s">
        <v>9266</v>
      </c>
      <c r="F1071" s="53" t="s">
        <v>9267</v>
      </c>
      <c r="G1071" s="60" t="s">
        <v>9268</v>
      </c>
      <c r="H1071" s="62" t="s">
        <v>36</v>
      </c>
      <c r="I1071" s="133"/>
      <c r="J1071" s="155"/>
      <c r="K1071" s="155"/>
      <c r="L1071" s="155"/>
      <c r="M1071" s="155"/>
      <c r="N1071" s="155"/>
      <c r="O1071" s="155"/>
    </row>
    <row r="1072" spans="1:15" ht="132">
      <c r="A1072" s="395"/>
      <c r="B1072" s="69" t="s">
        <v>2679</v>
      </c>
      <c r="C1072" s="70" t="s">
        <v>9269</v>
      </c>
      <c r="D1072" s="70" t="s">
        <v>9270</v>
      </c>
      <c r="E1072" s="91" t="s">
        <v>9262</v>
      </c>
      <c r="F1072" s="53" t="s">
        <v>9271</v>
      </c>
      <c r="G1072" s="60" t="s">
        <v>9272</v>
      </c>
      <c r="H1072" s="62" t="s">
        <v>36</v>
      </c>
      <c r="I1072" s="133"/>
      <c r="J1072" s="155"/>
      <c r="K1072" s="155"/>
      <c r="L1072" s="155"/>
      <c r="M1072" s="155"/>
      <c r="N1072" s="155"/>
      <c r="O1072" s="155"/>
    </row>
    <row r="1073" spans="1:15" ht="115.5">
      <c r="A1073" s="395"/>
      <c r="B1073" s="69" t="s">
        <v>2679</v>
      </c>
      <c r="C1073" s="70" t="s">
        <v>9273</v>
      </c>
      <c r="D1073" s="70" t="s">
        <v>2811</v>
      </c>
      <c r="E1073" s="91" t="s">
        <v>9141</v>
      </c>
      <c r="F1073" s="53" t="s">
        <v>9274</v>
      </c>
      <c r="G1073" s="60" t="s">
        <v>9275</v>
      </c>
      <c r="H1073" s="62" t="s">
        <v>36</v>
      </c>
      <c r="I1073" s="133"/>
      <c r="J1073" s="155"/>
      <c r="K1073" s="155"/>
      <c r="L1073" s="155"/>
      <c r="M1073" s="155"/>
      <c r="N1073" s="155"/>
      <c r="O1073" s="155"/>
    </row>
    <row r="1074" spans="1:15" ht="115.5">
      <c r="A1074" s="395"/>
      <c r="B1074" s="69" t="s">
        <v>2679</v>
      </c>
      <c r="C1074" s="70" t="s">
        <v>9276</v>
      </c>
      <c r="D1074" s="70" t="s">
        <v>2814</v>
      </c>
      <c r="E1074" s="91" t="s">
        <v>9141</v>
      </c>
      <c r="F1074" s="53" t="s">
        <v>9277</v>
      </c>
      <c r="G1074" s="60" t="s">
        <v>9275</v>
      </c>
      <c r="H1074" s="62"/>
      <c r="I1074" s="133"/>
      <c r="J1074" s="155"/>
      <c r="K1074" s="155"/>
      <c r="L1074" s="155"/>
      <c r="M1074" s="155"/>
      <c r="N1074" s="155"/>
      <c r="O1074" s="155"/>
    </row>
    <row r="1075" spans="1:15" ht="297">
      <c r="A1075" s="395"/>
      <c r="B1075" s="69" t="s">
        <v>2816</v>
      </c>
      <c r="C1075" s="70" t="s">
        <v>9278</v>
      </c>
      <c r="D1075" s="70" t="s">
        <v>9279</v>
      </c>
      <c r="E1075" s="91" t="s">
        <v>9144</v>
      </c>
      <c r="F1075" s="53" t="s">
        <v>9280</v>
      </c>
      <c r="G1075" s="46" t="s">
        <v>2820</v>
      </c>
      <c r="H1075" s="62" t="s">
        <v>2196</v>
      </c>
      <c r="I1075" s="133"/>
      <c r="J1075" s="155"/>
      <c r="K1075" s="155"/>
      <c r="L1075" s="155"/>
      <c r="M1075" s="155"/>
      <c r="N1075" s="155"/>
      <c r="O1075" s="155"/>
    </row>
    <row r="1076" spans="1:15" ht="313.5">
      <c r="A1076" s="395"/>
      <c r="B1076" s="69" t="s">
        <v>2816</v>
      </c>
      <c r="C1076" s="70" t="s">
        <v>9281</v>
      </c>
      <c r="D1076" s="70" t="s">
        <v>9282</v>
      </c>
      <c r="E1076" s="91" t="s">
        <v>9141</v>
      </c>
      <c r="F1076" s="53" t="s">
        <v>9283</v>
      </c>
      <c r="G1076" s="60" t="s">
        <v>9284</v>
      </c>
      <c r="H1076" s="62" t="s">
        <v>24</v>
      </c>
      <c r="I1076" s="133"/>
      <c r="J1076" s="155"/>
      <c r="K1076" s="155"/>
      <c r="L1076" s="155"/>
      <c r="M1076" s="155"/>
      <c r="N1076" s="155"/>
      <c r="O1076" s="155"/>
    </row>
    <row r="1077" spans="1:15" ht="313.5">
      <c r="A1077" s="395"/>
      <c r="B1077" s="69" t="s">
        <v>2816</v>
      </c>
      <c r="C1077" s="70" t="s">
        <v>9285</v>
      </c>
      <c r="D1077" s="70" t="s">
        <v>9286</v>
      </c>
      <c r="E1077" s="91" t="s">
        <v>9141</v>
      </c>
      <c r="F1077" s="53" t="s">
        <v>9287</v>
      </c>
      <c r="G1077" s="46" t="s">
        <v>9288</v>
      </c>
      <c r="H1077" s="62" t="s">
        <v>36</v>
      </c>
      <c r="I1077" s="133"/>
      <c r="J1077" s="155"/>
      <c r="K1077" s="155"/>
      <c r="L1077" s="155"/>
      <c r="M1077" s="155"/>
      <c r="N1077" s="155"/>
      <c r="O1077" s="155"/>
    </row>
    <row r="1078" spans="1:15" ht="264">
      <c r="A1078" s="395"/>
      <c r="B1078" s="69" t="s">
        <v>2816</v>
      </c>
      <c r="C1078" s="70" t="s">
        <v>9289</v>
      </c>
      <c r="D1078" s="70" t="s">
        <v>2822</v>
      </c>
      <c r="E1078" s="91" t="s">
        <v>9144</v>
      </c>
      <c r="F1078" s="45" t="s">
        <v>9290</v>
      </c>
      <c r="G1078" s="46" t="s">
        <v>2823</v>
      </c>
      <c r="H1078" s="62" t="s">
        <v>2279</v>
      </c>
      <c r="I1078" s="133"/>
      <c r="J1078" s="155"/>
      <c r="K1078" s="155"/>
      <c r="L1078" s="155"/>
      <c r="M1078" s="155"/>
      <c r="N1078" s="155"/>
      <c r="O1078" s="155"/>
    </row>
    <row r="1079" spans="1:15" ht="264">
      <c r="A1079" s="395"/>
      <c r="B1079" s="69" t="s">
        <v>2816</v>
      </c>
      <c r="C1079" s="70" t="s">
        <v>9291</v>
      </c>
      <c r="D1079" s="70" t="s">
        <v>2825</v>
      </c>
      <c r="E1079" s="91" t="s">
        <v>9141</v>
      </c>
      <c r="F1079" s="45" t="s">
        <v>9292</v>
      </c>
      <c r="G1079" s="46" t="s">
        <v>2826</v>
      </c>
      <c r="H1079" s="62" t="s">
        <v>30</v>
      </c>
      <c r="I1079" s="133"/>
      <c r="J1079" s="155"/>
      <c r="K1079" s="155"/>
      <c r="L1079" s="155"/>
      <c r="M1079" s="155"/>
      <c r="N1079" s="155"/>
      <c r="O1079" s="155"/>
    </row>
    <row r="1080" spans="1:15" ht="264">
      <c r="A1080" s="395"/>
      <c r="B1080" s="69" t="s">
        <v>2816</v>
      </c>
      <c r="C1080" s="70" t="s">
        <v>9293</v>
      </c>
      <c r="D1080" s="70" t="s">
        <v>9294</v>
      </c>
      <c r="E1080" s="91" t="s">
        <v>9141</v>
      </c>
      <c r="F1080" s="45" t="s">
        <v>9295</v>
      </c>
      <c r="G1080" s="46" t="s">
        <v>2830</v>
      </c>
      <c r="H1080" s="62" t="s">
        <v>2279</v>
      </c>
      <c r="I1080" s="133"/>
      <c r="J1080" s="155"/>
      <c r="K1080" s="155"/>
      <c r="L1080" s="155"/>
      <c r="M1080" s="155"/>
      <c r="N1080" s="155"/>
      <c r="O1080" s="155"/>
    </row>
    <row r="1081" spans="1:15" ht="396">
      <c r="A1081" s="395"/>
      <c r="B1081" s="69" t="s">
        <v>2816</v>
      </c>
      <c r="C1081" s="70" t="s">
        <v>9296</v>
      </c>
      <c r="D1081" s="70" t="s">
        <v>9297</v>
      </c>
      <c r="E1081" s="91" t="s">
        <v>9141</v>
      </c>
      <c r="F1081" s="45" t="s">
        <v>9298</v>
      </c>
      <c r="G1081" s="46" t="s">
        <v>2826</v>
      </c>
      <c r="H1081" s="62" t="s">
        <v>2279</v>
      </c>
      <c r="I1081" s="133"/>
      <c r="J1081" s="155"/>
      <c r="K1081" s="155"/>
      <c r="L1081" s="155"/>
      <c r="M1081" s="155"/>
      <c r="N1081" s="155"/>
      <c r="O1081" s="155"/>
    </row>
    <row r="1082" spans="1:15" ht="264">
      <c r="A1082" s="395"/>
      <c r="B1082" s="69" t="s">
        <v>2816</v>
      </c>
      <c r="C1082" s="70" t="s">
        <v>9299</v>
      </c>
      <c r="D1082" s="70" t="s">
        <v>9300</v>
      </c>
      <c r="E1082" s="91" t="s">
        <v>9141</v>
      </c>
      <c r="F1082" s="45" t="s">
        <v>9301</v>
      </c>
      <c r="G1082" s="46" t="s">
        <v>9302</v>
      </c>
      <c r="H1082" s="62" t="s">
        <v>2279</v>
      </c>
      <c r="I1082" s="133"/>
      <c r="J1082" s="155"/>
      <c r="K1082" s="155"/>
      <c r="L1082" s="155"/>
      <c r="M1082" s="155"/>
      <c r="N1082" s="155"/>
      <c r="O1082" s="155"/>
    </row>
    <row r="1083" spans="1:15" ht="264">
      <c r="A1083" s="395"/>
      <c r="B1083" s="69" t="s">
        <v>2816</v>
      </c>
      <c r="C1083" s="70" t="s">
        <v>9303</v>
      </c>
      <c r="D1083" s="70" t="s">
        <v>9304</v>
      </c>
      <c r="E1083" s="92" t="s">
        <v>5909</v>
      </c>
      <c r="F1083" s="45" t="s">
        <v>9305</v>
      </c>
      <c r="G1083" s="46" t="s">
        <v>9306</v>
      </c>
      <c r="H1083" s="62" t="s">
        <v>2279</v>
      </c>
      <c r="I1083" s="133"/>
      <c r="J1083" s="155"/>
      <c r="K1083" s="155"/>
      <c r="L1083" s="155"/>
      <c r="M1083" s="155"/>
      <c r="N1083" s="155"/>
      <c r="O1083" s="155"/>
    </row>
    <row r="1084" spans="1:15" ht="264">
      <c r="A1084" s="395"/>
      <c r="B1084" s="69" t="s">
        <v>2816</v>
      </c>
      <c r="C1084" s="70" t="s">
        <v>9307</v>
      </c>
      <c r="D1084" s="70" t="s">
        <v>9308</v>
      </c>
      <c r="E1084" s="91" t="s">
        <v>9144</v>
      </c>
      <c r="F1084" s="53" t="s">
        <v>9309</v>
      </c>
      <c r="G1084" s="60" t="s">
        <v>9306</v>
      </c>
      <c r="H1084" s="62" t="s">
        <v>2279</v>
      </c>
      <c r="I1084" s="133"/>
      <c r="J1084" s="155"/>
      <c r="K1084" s="155"/>
      <c r="L1084" s="155"/>
      <c r="M1084" s="155"/>
      <c r="N1084" s="155"/>
      <c r="O1084" s="155"/>
    </row>
    <row r="1085" spans="1:15" ht="264">
      <c r="A1085" s="395"/>
      <c r="B1085" s="69" t="s">
        <v>2816</v>
      </c>
      <c r="C1085" s="70" t="s">
        <v>9310</v>
      </c>
      <c r="D1085" s="70" t="s">
        <v>9311</v>
      </c>
      <c r="E1085" s="91" t="s">
        <v>9141</v>
      </c>
      <c r="F1085" s="53" t="s">
        <v>9312</v>
      </c>
      <c r="G1085" s="60" t="s">
        <v>9313</v>
      </c>
      <c r="H1085" s="62" t="s">
        <v>2279</v>
      </c>
      <c r="I1085" s="133"/>
      <c r="J1085" s="155"/>
      <c r="K1085" s="155"/>
      <c r="L1085" s="155"/>
      <c r="M1085" s="155"/>
      <c r="N1085" s="155"/>
      <c r="O1085" s="155"/>
    </row>
    <row r="1086" spans="1:15" ht="264">
      <c r="A1086" s="395"/>
      <c r="B1086" s="69" t="s">
        <v>2816</v>
      </c>
      <c r="C1086" s="70" t="s">
        <v>9314</v>
      </c>
      <c r="D1086" s="70" t="s">
        <v>9315</v>
      </c>
      <c r="E1086" s="91" t="s">
        <v>9141</v>
      </c>
      <c r="F1086" s="53" t="s">
        <v>9316</v>
      </c>
      <c r="G1086" s="60" t="s">
        <v>9313</v>
      </c>
      <c r="H1086" s="62" t="s">
        <v>2279</v>
      </c>
      <c r="I1086" s="133"/>
      <c r="J1086" s="155"/>
      <c r="K1086" s="155"/>
      <c r="L1086" s="155"/>
      <c r="M1086" s="155"/>
      <c r="N1086" s="155"/>
      <c r="O1086" s="155"/>
    </row>
    <row r="1087" spans="1:15" ht="264">
      <c r="A1087" s="395"/>
      <c r="B1087" s="69" t="s">
        <v>2816</v>
      </c>
      <c r="C1087" s="70" t="s">
        <v>9317</v>
      </c>
      <c r="D1087" s="70" t="s">
        <v>9318</v>
      </c>
      <c r="E1087" s="91" t="s">
        <v>9141</v>
      </c>
      <c r="F1087" s="53" t="s">
        <v>9319</v>
      </c>
      <c r="G1087" s="60" t="s">
        <v>9320</v>
      </c>
      <c r="H1087" s="62" t="s">
        <v>2279</v>
      </c>
      <c r="I1087" s="133"/>
      <c r="J1087" s="155"/>
      <c r="K1087" s="155"/>
      <c r="L1087" s="155"/>
      <c r="M1087" s="155"/>
      <c r="N1087" s="155"/>
      <c r="O1087" s="155"/>
    </row>
    <row r="1088" spans="1:15" ht="264">
      <c r="A1088" s="395"/>
      <c r="B1088" s="69" t="s">
        <v>2816</v>
      </c>
      <c r="C1088" s="70" t="s">
        <v>9321</v>
      </c>
      <c r="D1088" s="70" t="s">
        <v>9322</v>
      </c>
      <c r="E1088" s="91" t="s">
        <v>9144</v>
      </c>
      <c r="F1088" s="53" t="s">
        <v>9323</v>
      </c>
      <c r="G1088" s="60" t="s">
        <v>9306</v>
      </c>
      <c r="H1088" s="62" t="s">
        <v>2279</v>
      </c>
      <c r="I1088" s="133"/>
      <c r="J1088" s="155"/>
      <c r="K1088" s="155"/>
      <c r="L1088" s="155"/>
      <c r="M1088" s="155"/>
      <c r="N1088" s="155"/>
      <c r="O1088" s="155"/>
    </row>
    <row r="1089" spans="1:15" ht="264">
      <c r="A1089" s="395"/>
      <c r="B1089" s="69" t="s">
        <v>2816</v>
      </c>
      <c r="C1089" s="70" t="s">
        <v>9324</v>
      </c>
      <c r="D1089" s="70" t="s">
        <v>2832</v>
      </c>
      <c r="E1089" s="91" t="s">
        <v>9325</v>
      </c>
      <c r="F1089" s="45" t="s">
        <v>9326</v>
      </c>
      <c r="G1089" s="46" t="s">
        <v>2834</v>
      </c>
      <c r="H1089" s="62" t="s">
        <v>2279</v>
      </c>
      <c r="I1089" s="133"/>
      <c r="J1089" s="155"/>
      <c r="K1089" s="155"/>
      <c r="L1089" s="155"/>
      <c r="M1089" s="155"/>
      <c r="N1089" s="155"/>
      <c r="O1089" s="155"/>
    </row>
    <row r="1090" spans="1:15" ht="264">
      <c r="A1090" s="395"/>
      <c r="B1090" s="69" t="s">
        <v>2816</v>
      </c>
      <c r="C1090" s="70" t="s">
        <v>9327</v>
      </c>
      <c r="D1090" s="70" t="s">
        <v>2836</v>
      </c>
      <c r="E1090" s="92" t="s">
        <v>9328</v>
      </c>
      <c r="F1090" s="45" t="s">
        <v>9329</v>
      </c>
      <c r="G1090" s="46" t="s">
        <v>9330</v>
      </c>
      <c r="H1090" s="62" t="s">
        <v>2279</v>
      </c>
      <c r="I1090" s="133"/>
      <c r="J1090" s="155"/>
      <c r="K1090" s="155"/>
      <c r="L1090" s="155"/>
      <c r="M1090" s="155"/>
      <c r="N1090" s="155"/>
      <c r="O1090" s="155"/>
    </row>
    <row r="1091" spans="1:15" ht="247.5">
      <c r="A1091" s="395"/>
      <c r="B1091" s="69" t="s">
        <v>2816</v>
      </c>
      <c r="C1091" s="70" t="s">
        <v>9331</v>
      </c>
      <c r="D1091" s="70" t="s">
        <v>2839</v>
      </c>
      <c r="E1091" s="92" t="s">
        <v>9328</v>
      </c>
      <c r="F1091" s="45" t="s">
        <v>9332</v>
      </c>
      <c r="G1091" s="46" t="s">
        <v>2840</v>
      </c>
      <c r="H1091" s="62" t="s">
        <v>2279</v>
      </c>
      <c r="I1091" s="133"/>
      <c r="J1091" s="155"/>
      <c r="K1091" s="155"/>
      <c r="L1091" s="155"/>
      <c r="M1091" s="155"/>
      <c r="N1091" s="155"/>
      <c r="O1091" s="155"/>
    </row>
    <row r="1092" spans="1:15" ht="264">
      <c r="A1092" s="395"/>
      <c r="B1092" s="69" t="s">
        <v>2816</v>
      </c>
      <c r="C1092" s="70" t="s">
        <v>9333</v>
      </c>
      <c r="D1092" s="70" t="s">
        <v>9334</v>
      </c>
      <c r="E1092" s="78" t="s">
        <v>9335</v>
      </c>
      <c r="F1092" s="45" t="s">
        <v>9336</v>
      </c>
      <c r="G1092" s="46" t="s">
        <v>9337</v>
      </c>
      <c r="H1092" s="62" t="s">
        <v>2279</v>
      </c>
      <c r="I1092" s="133"/>
      <c r="J1092" s="155"/>
      <c r="K1092" s="155"/>
      <c r="L1092" s="155"/>
      <c r="M1092" s="155"/>
      <c r="N1092" s="155"/>
      <c r="O1092" s="155"/>
    </row>
    <row r="1093" spans="1:15" ht="264">
      <c r="A1093" s="395"/>
      <c r="B1093" s="69" t="s">
        <v>2816</v>
      </c>
      <c r="C1093" s="70" t="s">
        <v>9338</v>
      </c>
      <c r="D1093" s="70" t="s">
        <v>9339</v>
      </c>
      <c r="E1093" s="78" t="s">
        <v>9335</v>
      </c>
      <c r="F1093" s="45" t="s">
        <v>9340</v>
      </c>
      <c r="G1093" s="46" t="s">
        <v>9341</v>
      </c>
      <c r="H1093" s="62" t="s">
        <v>2279</v>
      </c>
      <c r="I1093" s="133"/>
      <c r="J1093" s="155"/>
      <c r="K1093" s="155"/>
      <c r="L1093" s="155"/>
      <c r="M1093" s="155"/>
      <c r="N1093" s="155"/>
      <c r="O1093" s="155"/>
    </row>
    <row r="1094" spans="1:15" ht="264">
      <c r="A1094" s="395"/>
      <c r="B1094" s="69" t="s">
        <v>2816</v>
      </c>
      <c r="C1094" s="70" t="s">
        <v>9342</v>
      </c>
      <c r="D1094" s="70" t="s">
        <v>9343</v>
      </c>
      <c r="E1094" s="78" t="s">
        <v>9335</v>
      </c>
      <c r="F1094" s="45" t="s">
        <v>9344</v>
      </c>
      <c r="G1094" s="46" t="s">
        <v>9345</v>
      </c>
      <c r="H1094" s="62" t="s">
        <v>2279</v>
      </c>
      <c r="I1094" s="133"/>
      <c r="J1094" s="155"/>
      <c r="K1094" s="155"/>
      <c r="L1094" s="155"/>
      <c r="M1094" s="155"/>
      <c r="N1094" s="155"/>
      <c r="O1094" s="155"/>
    </row>
    <row r="1095" spans="1:15" ht="214.5">
      <c r="A1095" s="395"/>
      <c r="B1095" s="69" t="s">
        <v>2816</v>
      </c>
      <c r="C1095" s="70" t="s">
        <v>9346</v>
      </c>
      <c r="D1095" s="70" t="s">
        <v>9347</v>
      </c>
      <c r="E1095" s="78" t="s">
        <v>9348</v>
      </c>
      <c r="F1095" s="45" t="s">
        <v>9349</v>
      </c>
      <c r="G1095" s="46" t="s">
        <v>9350</v>
      </c>
      <c r="H1095" s="62" t="s">
        <v>2279</v>
      </c>
      <c r="I1095" s="133"/>
      <c r="J1095" s="155"/>
      <c r="K1095" s="155"/>
      <c r="L1095" s="155"/>
      <c r="M1095" s="155"/>
      <c r="N1095" s="155"/>
      <c r="O1095" s="155"/>
    </row>
    <row r="1096" spans="1:15" ht="264">
      <c r="A1096" s="395"/>
      <c r="B1096" s="69" t="s">
        <v>2816</v>
      </c>
      <c r="C1096" s="70" t="s">
        <v>9351</v>
      </c>
      <c r="D1096" s="70" t="s">
        <v>9352</v>
      </c>
      <c r="E1096" s="78" t="s">
        <v>9353</v>
      </c>
      <c r="F1096" s="45" t="s">
        <v>9354</v>
      </c>
      <c r="G1096" s="46" t="s">
        <v>9355</v>
      </c>
      <c r="H1096" s="62" t="s">
        <v>2279</v>
      </c>
      <c r="I1096" s="133"/>
      <c r="J1096" s="155"/>
      <c r="K1096" s="155"/>
      <c r="L1096" s="155"/>
      <c r="M1096" s="155"/>
      <c r="N1096" s="155"/>
      <c r="O1096" s="155"/>
    </row>
    <row r="1097" spans="1:15" ht="264">
      <c r="A1097" s="395"/>
      <c r="B1097" s="69" t="s">
        <v>2816</v>
      </c>
      <c r="C1097" s="70" t="s">
        <v>9356</v>
      </c>
      <c r="D1097" s="70" t="s">
        <v>9357</v>
      </c>
      <c r="E1097" s="78" t="s">
        <v>9358</v>
      </c>
      <c r="F1097" s="45" t="s">
        <v>9359</v>
      </c>
      <c r="G1097" s="46" t="s">
        <v>9360</v>
      </c>
      <c r="H1097" s="62" t="s">
        <v>2279</v>
      </c>
      <c r="I1097" s="133"/>
      <c r="J1097" s="155"/>
      <c r="K1097" s="155"/>
      <c r="L1097" s="155"/>
      <c r="M1097" s="155"/>
      <c r="N1097" s="155"/>
      <c r="O1097" s="155"/>
    </row>
    <row r="1098" spans="1:15" ht="247.5">
      <c r="A1098" s="395"/>
      <c r="B1098" s="69" t="s">
        <v>2816</v>
      </c>
      <c r="C1098" s="70" t="s">
        <v>9356</v>
      </c>
      <c r="D1098" s="70" t="s">
        <v>2842</v>
      </c>
      <c r="E1098" s="78" t="s">
        <v>9353</v>
      </c>
      <c r="F1098" s="45" t="s">
        <v>9361</v>
      </c>
      <c r="G1098" s="46" t="s">
        <v>2843</v>
      </c>
      <c r="H1098" s="47" t="s">
        <v>24</v>
      </c>
      <c r="I1098" s="133"/>
      <c r="J1098" s="155"/>
      <c r="K1098" s="155"/>
      <c r="L1098" s="155"/>
      <c r="M1098" s="155"/>
      <c r="N1098" s="155"/>
      <c r="O1098" s="155"/>
    </row>
    <row r="1099" spans="1:15" ht="247.5">
      <c r="A1099" s="395"/>
      <c r="B1099" s="69" t="s">
        <v>2816</v>
      </c>
      <c r="C1099" s="93" t="s">
        <v>9356</v>
      </c>
      <c r="D1099" s="93" t="s">
        <v>2845</v>
      </c>
      <c r="E1099" s="78" t="s">
        <v>9353</v>
      </c>
      <c r="F1099" s="45" t="s">
        <v>9362</v>
      </c>
      <c r="G1099" s="46" t="s">
        <v>2847</v>
      </c>
      <c r="H1099" s="47" t="s">
        <v>24</v>
      </c>
      <c r="I1099" s="133"/>
      <c r="J1099" s="155"/>
      <c r="K1099" s="155"/>
      <c r="L1099" s="155"/>
      <c r="M1099" s="155"/>
      <c r="N1099" s="155"/>
      <c r="O1099" s="155"/>
    </row>
    <row r="1100" spans="1:15" ht="247.5">
      <c r="A1100" s="395"/>
      <c r="B1100" s="69" t="s">
        <v>2816</v>
      </c>
      <c r="C1100" s="93" t="s">
        <v>9356</v>
      </c>
      <c r="D1100" s="93" t="s">
        <v>2848</v>
      </c>
      <c r="E1100" s="78" t="s">
        <v>9353</v>
      </c>
      <c r="F1100" s="45" t="s">
        <v>9363</v>
      </c>
      <c r="G1100" s="46" t="s">
        <v>2849</v>
      </c>
      <c r="H1100" s="47" t="s">
        <v>24</v>
      </c>
      <c r="I1100" s="133"/>
      <c r="J1100" s="155"/>
      <c r="K1100" s="155"/>
      <c r="L1100" s="155"/>
      <c r="M1100" s="155"/>
      <c r="N1100" s="155"/>
      <c r="O1100" s="155"/>
    </row>
    <row r="1101" spans="1:15" ht="82.5">
      <c r="A1101" s="395"/>
      <c r="B1101" s="69" t="s">
        <v>2816</v>
      </c>
      <c r="C1101" s="93" t="s">
        <v>9364</v>
      </c>
      <c r="D1101" s="59" t="s">
        <v>2850</v>
      </c>
      <c r="E1101" s="78" t="s">
        <v>9365</v>
      </c>
      <c r="F1101" s="45" t="s">
        <v>9366</v>
      </c>
      <c r="G1101" s="46" t="s">
        <v>2851</v>
      </c>
      <c r="H1101" s="47" t="s">
        <v>24</v>
      </c>
      <c r="I1101" s="133"/>
      <c r="J1101" s="155"/>
      <c r="K1101" s="155"/>
      <c r="L1101" s="155"/>
      <c r="M1101" s="155"/>
      <c r="N1101" s="155"/>
      <c r="O1101" s="155"/>
    </row>
    <row r="1102" spans="1:15" ht="132">
      <c r="A1102" s="395"/>
      <c r="B1102" s="69" t="s">
        <v>2816</v>
      </c>
      <c r="C1102" s="93" t="s">
        <v>9367</v>
      </c>
      <c r="D1102" s="59" t="s">
        <v>907</v>
      </c>
      <c r="E1102" s="78" t="s">
        <v>9368</v>
      </c>
      <c r="F1102" s="45" t="s">
        <v>9369</v>
      </c>
      <c r="G1102" s="46" t="s">
        <v>2851</v>
      </c>
      <c r="H1102" s="47" t="s">
        <v>36</v>
      </c>
      <c r="I1102" s="133"/>
      <c r="J1102" s="155"/>
      <c r="K1102" s="155"/>
      <c r="L1102" s="155"/>
      <c r="M1102" s="155"/>
      <c r="N1102" s="155"/>
      <c r="O1102" s="155"/>
    </row>
    <row r="1103" spans="1:15" ht="181.5">
      <c r="A1103" s="395"/>
      <c r="B1103" s="69" t="s">
        <v>2816</v>
      </c>
      <c r="C1103" s="93" t="s">
        <v>9370</v>
      </c>
      <c r="D1103" s="59" t="s">
        <v>9371</v>
      </c>
      <c r="E1103" s="78" t="s">
        <v>9372</v>
      </c>
      <c r="F1103" s="45" t="s">
        <v>9373</v>
      </c>
      <c r="G1103" s="46" t="s">
        <v>2856</v>
      </c>
      <c r="H1103" s="47" t="s">
        <v>36</v>
      </c>
      <c r="I1103" s="133"/>
      <c r="J1103" s="155"/>
      <c r="K1103" s="155"/>
      <c r="L1103" s="155"/>
      <c r="M1103" s="155"/>
      <c r="N1103" s="155"/>
      <c r="O1103" s="155"/>
    </row>
    <row r="1104" spans="1:15" ht="379.5">
      <c r="A1104" s="395"/>
      <c r="B1104" s="69" t="s">
        <v>2816</v>
      </c>
      <c r="C1104" s="70" t="s">
        <v>9374</v>
      </c>
      <c r="D1104" s="70" t="s">
        <v>9375</v>
      </c>
      <c r="E1104" s="92" t="s">
        <v>5909</v>
      </c>
      <c r="F1104" s="45" t="s">
        <v>9376</v>
      </c>
      <c r="G1104" s="46" t="s">
        <v>2860</v>
      </c>
      <c r="H1104" s="62" t="s">
        <v>2279</v>
      </c>
      <c r="I1104" s="133"/>
      <c r="J1104" s="155"/>
      <c r="K1104" s="155"/>
      <c r="L1104" s="155"/>
      <c r="M1104" s="155"/>
      <c r="N1104" s="155"/>
      <c r="O1104" s="155"/>
    </row>
    <row r="1105" spans="1:15" ht="115.5">
      <c r="A1105" s="395"/>
      <c r="B1105" s="69" t="s">
        <v>2816</v>
      </c>
      <c r="C1105" s="70" t="s">
        <v>9377</v>
      </c>
      <c r="D1105" s="70" t="s">
        <v>2862</v>
      </c>
      <c r="E1105" s="91" t="s">
        <v>9141</v>
      </c>
      <c r="F1105" s="53" t="s">
        <v>9378</v>
      </c>
      <c r="G1105" s="60" t="s">
        <v>2864</v>
      </c>
      <c r="H1105" s="62" t="s">
        <v>36</v>
      </c>
      <c r="I1105" s="133"/>
      <c r="J1105" s="155"/>
      <c r="K1105" s="155"/>
      <c r="L1105" s="155"/>
      <c r="M1105" s="155"/>
      <c r="N1105" s="155"/>
      <c r="O1105" s="155"/>
    </row>
    <row r="1106" spans="1:15" ht="115.5">
      <c r="A1106" s="395"/>
      <c r="B1106" s="69" t="s">
        <v>2816</v>
      </c>
      <c r="C1106" s="70" t="s">
        <v>9379</v>
      </c>
      <c r="D1106" s="70" t="s">
        <v>2866</v>
      </c>
      <c r="E1106" s="91" t="s">
        <v>9141</v>
      </c>
      <c r="F1106" s="45" t="s">
        <v>2867</v>
      </c>
      <c r="G1106" s="60" t="s">
        <v>2868</v>
      </c>
      <c r="H1106" s="62" t="s">
        <v>36</v>
      </c>
      <c r="I1106" s="133"/>
      <c r="J1106" s="155"/>
      <c r="K1106" s="155"/>
      <c r="L1106" s="155"/>
      <c r="M1106" s="155"/>
      <c r="N1106" s="155"/>
      <c r="O1106" s="155"/>
    </row>
    <row r="1107" spans="1:15" ht="132">
      <c r="A1107" s="395"/>
      <c r="B1107" s="69" t="s">
        <v>2816</v>
      </c>
      <c r="C1107" s="70" t="s">
        <v>9380</v>
      </c>
      <c r="D1107" s="70" t="s">
        <v>9381</v>
      </c>
      <c r="E1107" s="91" t="s">
        <v>9141</v>
      </c>
      <c r="F1107" s="53" t="s">
        <v>9382</v>
      </c>
      <c r="G1107" s="46" t="s">
        <v>9383</v>
      </c>
      <c r="H1107" s="62" t="s">
        <v>36</v>
      </c>
      <c r="I1107" s="133"/>
      <c r="J1107" s="155"/>
      <c r="K1107" s="155"/>
      <c r="L1107" s="155"/>
      <c r="M1107" s="155"/>
      <c r="N1107" s="155"/>
      <c r="O1107" s="155"/>
    </row>
    <row r="1108" spans="1:15" ht="82.5">
      <c r="A1108" s="395"/>
      <c r="B1108" s="69" t="s">
        <v>9384</v>
      </c>
      <c r="C1108" s="70" t="s">
        <v>9385</v>
      </c>
      <c r="D1108" s="70" t="s">
        <v>9386</v>
      </c>
      <c r="E1108" s="91" t="s">
        <v>9141</v>
      </c>
      <c r="F1108" s="45" t="s">
        <v>9387</v>
      </c>
      <c r="G1108" s="46" t="s">
        <v>9388</v>
      </c>
      <c r="H1108" s="62" t="s">
        <v>36</v>
      </c>
      <c r="I1108" s="133"/>
      <c r="J1108" s="155"/>
      <c r="K1108" s="155"/>
      <c r="L1108" s="155"/>
      <c r="M1108" s="155"/>
      <c r="N1108" s="155"/>
      <c r="O1108" s="155"/>
    </row>
    <row r="1109" spans="1:15" ht="99">
      <c r="A1109" s="395"/>
      <c r="B1109" s="69" t="s">
        <v>9384</v>
      </c>
      <c r="C1109" s="70" t="s">
        <v>9389</v>
      </c>
      <c r="D1109" s="70" t="s">
        <v>9390</v>
      </c>
      <c r="E1109" s="91" t="s">
        <v>9141</v>
      </c>
      <c r="F1109" s="53" t="s">
        <v>9391</v>
      </c>
      <c r="G1109" s="60" t="s">
        <v>9392</v>
      </c>
      <c r="H1109" s="62" t="s">
        <v>36</v>
      </c>
      <c r="I1109" s="133"/>
      <c r="J1109" s="155"/>
      <c r="K1109" s="155"/>
      <c r="L1109" s="155"/>
      <c r="M1109" s="155"/>
      <c r="N1109" s="155"/>
      <c r="O1109" s="155"/>
    </row>
    <row r="1110" spans="1:15" ht="330">
      <c r="A1110" s="395"/>
      <c r="B1110" s="69" t="s">
        <v>9384</v>
      </c>
      <c r="C1110" s="70" t="s">
        <v>9393</v>
      </c>
      <c r="D1110" s="70" t="s">
        <v>9394</v>
      </c>
      <c r="E1110" s="91" t="s">
        <v>9144</v>
      </c>
      <c r="F1110" s="53" t="s">
        <v>9395</v>
      </c>
      <c r="G1110" s="60" t="s">
        <v>9396</v>
      </c>
      <c r="H1110" s="62" t="s">
        <v>2196</v>
      </c>
      <c r="I1110" s="133"/>
      <c r="J1110" s="155"/>
      <c r="K1110" s="155"/>
      <c r="L1110" s="155"/>
      <c r="M1110" s="155"/>
      <c r="N1110" s="155"/>
      <c r="O1110" s="155"/>
    </row>
    <row r="1111" spans="1:15" ht="363">
      <c r="A1111" s="395"/>
      <c r="B1111" s="69" t="s">
        <v>9384</v>
      </c>
      <c r="C1111" s="70" t="s">
        <v>9397</v>
      </c>
      <c r="D1111" s="70" t="s">
        <v>9398</v>
      </c>
      <c r="E1111" s="91" t="s">
        <v>9144</v>
      </c>
      <c r="F1111" s="45" t="s">
        <v>9399</v>
      </c>
      <c r="G1111" s="46" t="s">
        <v>9400</v>
      </c>
      <c r="H1111" s="62" t="s">
        <v>41</v>
      </c>
      <c r="I1111" s="133"/>
      <c r="J1111" s="155"/>
      <c r="K1111" s="155"/>
      <c r="L1111" s="155"/>
      <c r="M1111" s="155"/>
      <c r="N1111" s="155"/>
      <c r="O1111" s="155"/>
    </row>
    <row r="1112" spans="1:15" ht="231">
      <c r="A1112" s="395"/>
      <c r="B1112" s="69" t="s">
        <v>9384</v>
      </c>
      <c r="C1112" s="70" t="s">
        <v>9401</v>
      </c>
      <c r="D1112" s="70" t="s">
        <v>9402</v>
      </c>
      <c r="E1112" s="91" t="s">
        <v>9144</v>
      </c>
      <c r="F1112" s="53" t="s">
        <v>9403</v>
      </c>
      <c r="G1112" s="60" t="s">
        <v>9404</v>
      </c>
      <c r="H1112" s="62" t="s">
        <v>30</v>
      </c>
      <c r="I1112" s="133"/>
      <c r="J1112" s="155"/>
      <c r="K1112" s="155"/>
      <c r="L1112" s="155"/>
      <c r="M1112" s="155"/>
      <c r="N1112" s="155"/>
      <c r="O1112" s="155"/>
    </row>
    <row r="1113" spans="1:15" ht="280.5">
      <c r="A1113" s="395"/>
      <c r="B1113" s="69" t="s">
        <v>9384</v>
      </c>
      <c r="C1113" s="70" t="s">
        <v>9405</v>
      </c>
      <c r="D1113" s="70" t="s">
        <v>9406</v>
      </c>
      <c r="E1113" s="92" t="s">
        <v>5909</v>
      </c>
      <c r="F1113" s="45" t="s">
        <v>9407</v>
      </c>
      <c r="G1113" s="46" t="s">
        <v>9408</v>
      </c>
      <c r="H1113" s="62" t="s">
        <v>24</v>
      </c>
      <c r="I1113" s="133"/>
      <c r="J1113" s="155"/>
      <c r="K1113" s="155"/>
      <c r="L1113" s="155"/>
      <c r="M1113" s="155"/>
      <c r="N1113" s="155"/>
      <c r="O1113" s="155"/>
    </row>
    <row r="1114" spans="1:15" ht="280.5">
      <c r="A1114" s="395"/>
      <c r="B1114" s="69" t="s">
        <v>9384</v>
      </c>
      <c r="C1114" s="70" t="s">
        <v>9409</v>
      </c>
      <c r="D1114" s="93" t="s">
        <v>9410</v>
      </c>
      <c r="E1114" s="92" t="s">
        <v>5909</v>
      </c>
      <c r="F1114" s="45" t="s">
        <v>9411</v>
      </c>
      <c r="G1114" s="46" t="s">
        <v>9412</v>
      </c>
      <c r="H1114" s="62" t="s">
        <v>41</v>
      </c>
      <c r="I1114" s="133"/>
      <c r="J1114" s="155"/>
      <c r="K1114" s="155"/>
      <c r="L1114" s="155"/>
      <c r="M1114" s="155"/>
      <c r="N1114" s="155"/>
      <c r="O1114" s="155"/>
    </row>
    <row r="1115" spans="1:15" ht="280.5">
      <c r="A1115" s="395"/>
      <c r="B1115" s="69" t="s">
        <v>9384</v>
      </c>
      <c r="C1115" s="70" t="s">
        <v>9413</v>
      </c>
      <c r="D1115" s="70" t="s">
        <v>9414</v>
      </c>
      <c r="E1115" s="91" t="s">
        <v>9144</v>
      </c>
      <c r="F1115" s="53" t="s">
        <v>9415</v>
      </c>
      <c r="G1115" s="60" t="s">
        <v>9416</v>
      </c>
      <c r="H1115" s="62" t="s">
        <v>24</v>
      </c>
      <c r="I1115" s="133"/>
      <c r="J1115" s="155"/>
      <c r="K1115" s="155"/>
      <c r="L1115" s="155"/>
      <c r="M1115" s="155"/>
      <c r="N1115" s="155"/>
      <c r="O1115" s="155"/>
    </row>
    <row r="1116" spans="1:15" ht="247.5">
      <c r="A1116" s="395"/>
      <c r="B1116" s="69" t="s">
        <v>9384</v>
      </c>
      <c r="C1116" s="70" t="s">
        <v>9417</v>
      </c>
      <c r="D1116" s="70" t="s">
        <v>9418</v>
      </c>
      <c r="E1116" s="91" t="s">
        <v>9141</v>
      </c>
      <c r="F1116" s="53" t="s">
        <v>9419</v>
      </c>
      <c r="G1116" s="60" t="s">
        <v>9420</v>
      </c>
      <c r="H1116" s="62" t="s">
        <v>62</v>
      </c>
      <c r="I1116" s="133"/>
      <c r="J1116" s="155"/>
      <c r="K1116" s="155"/>
      <c r="L1116" s="155"/>
      <c r="M1116" s="155"/>
      <c r="N1116" s="155"/>
      <c r="O1116" s="155"/>
    </row>
    <row r="1117" spans="1:15" ht="132">
      <c r="A1117" s="395"/>
      <c r="B1117" s="69" t="s">
        <v>9384</v>
      </c>
      <c r="C1117" s="70" t="s">
        <v>9421</v>
      </c>
      <c r="D1117" s="93" t="s">
        <v>9422</v>
      </c>
      <c r="E1117" s="91" t="s">
        <v>9141</v>
      </c>
      <c r="F1117" s="45" t="s">
        <v>9423</v>
      </c>
      <c r="G1117" s="46" t="s">
        <v>9424</v>
      </c>
      <c r="H1117" s="62" t="s">
        <v>36</v>
      </c>
      <c r="I1117" s="133"/>
      <c r="J1117" s="155"/>
      <c r="K1117" s="155"/>
      <c r="L1117" s="155"/>
      <c r="M1117" s="155"/>
      <c r="N1117" s="155"/>
      <c r="O1117" s="155"/>
    </row>
    <row r="1118" spans="1:15" ht="231">
      <c r="A1118" s="399" t="s">
        <v>2870</v>
      </c>
      <c r="B1118" s="63" t="s">
        <v>2870</v>
      </c>
      <c r="C1118" s="45" t="s">
        <v>9425</v>
      </c>
      <c r="D1118" s="45" t="s">
        <v>2872</v>
      </c>
      <c r="E1118" s="78" t="s">
        <v>5949</v>
      </c>
      <c r="F1118" s="45" t="s">
        <v>9426</v>
      </c>
      <c r="G1118" s="46" t="s">
        <v>2874</v>
      </c>
      <c r="H1118" s="62" t="s">
        <v>30</v>
      </c>
      <c r="I1118" s="133"/>
      <c r="J1118" s="155"/>
      <c r="K1118" s="155"/>
      <c r="L1118" s="155"/>
      <c r="M1118" s="155"/>
      <c r="N1118" s="155"/>
      <c r="O1118" s="155"/>
    </row>
    <row r="1119" spans="1:15" ht="148.5">
      <c r="A1119" s="399"/>
      <c r="B1119" s="63" t="s">
        <v>2870</v>
      </c>
      <c r="C1119" s="45" t="s">
        <v>9427</v>
      </c>
      <c r="D1119" s="53" t="s">
        <v>9428</v>
      </c>
      <c r="E1119" s="78" t="s">
        <v>2876</v>
      </c>
      <c r="F1119" s="45" t="s">
        <v>9429</v>
      </c>
      <c r="G1119" s="46" t="s">
        <v>2878</v>
      </c>
      <c r="H1119" s="62" t="s">
        <v>36</v>
      </c>
      <c r="I1119" s="133"/>
      <c r="J1119" s="155"/>
      <c r="K1119" s="155"/>
      <c r="L1119" s="155"/>
      <c r="M1119" s="155"/>
      <c r="N1119" s="155"/>
      <c r="O1119" s="155"/>
    </row>
    <row r="1120" spans="1:15" ht="99">
      <c r="A1120" s="399"/>
      <c r="B1120" s="63" t="s">
        <v>2870</v>
      </c>
      <c r="C1120" s="45" t="s">
        <v>9430</v>
      </c>
      <c r="D1120" s="45" t="s">
        <v>2880</v>
      </c>
      <c r="E1120" s="78" t="s">
        <v>2881</v>
      </c>
      <c r="F1120" s="45" t="s">
        <v>9431</v>
      </c>
      <c r="G1120" s="46" t="s">
        <v>2883</v>
      </c>
      <c r="H1120" s="62" t="s">
        <v>62</v>
      </c>
      <c r="I1120" s="133"/>
      <c r="J1120" s="155"/>
      <c r="K1120" s="155"/>
      <c r="L1120" s="155"/>
      <c r="M1120" s="155"/>
      <c r="N1120" s="155"/>
      <c r="O1120" s="155"/>
    </row>
    <row r="1121" spans="1:15" ht="66">
      <c r="A1121" s="399"/>
      <c r="B1121" s="63" t="s">
        <v>2870</v>
      </c>
      <c r="C1121" s="45" t="s">
        <v>9432</v>
      </c>
      <c r="D1121" s="45" t="s">
        <v>2885</v>
      </c>
      <c r="E1121" s="78" t="s">
        <v>2886</v>
      </c>
      <c r="F1121" s="45" t="s">
        <v>2887</v>
      </c>
      <c r="G1121" s="46" t="s">
        <v>2888</v>
      </c>
      <c r="H1121" s="62" t="s">
        <v>41</v>
      </c>
      <c r="I1121" s="133"/>
      <c r="J1121" s="155"/>
      <c r="K1121" s="155"/>
      <c r="L1121" s="155"/>
      <c r="M1121" s="155"/>
      <c r="N1121" s="155"/>
      <c r="O1121" s="155"/>
    </row>
    <row r="1122" spans="1:15" ht="231">
      <c r="A1122" s="399"/>
      <c r="B1122" s="63" t="s">
        <v>2870</v>
      </c>
      <c r="C1122" s="45" t="s">
        <v>9433</v>
      </c>
      <c r="D1122" s="45" t="s">
        <v>2890</v>
      </c>
      <c r="E1122" s="78" t="s">
        <v>2891</v>
      </c>
      <c r="F1122" s="45" t="s">
        <v>9434</v>
      </c>
      <c r="G1122" s="46" t="s">
        <v>2893</v>
      </c>
      <c r="H1122" s="62" t="s">
        <v>62</v>
      </c>
      <c r="I1122" s="133"/>
      <c r="J1122" s="155"/>
      <c r="K1122" s="155"/>
      <c r="L1122" s="155"/>
      <c r="M1122" s="155"/>
      <c r="N1122" s="155"/>
      <c r="O1122" s="155"/>
    </row>
    <row r="1123" spans="1:15" ht="132">
      <c r="A1123" s="399"/>
      <c r="B1123" s="63" t="s">
        <v>2870</v>
      </c>
      <c r="C1123" s="45" t="s">
        <v>9435</v>
      </c>
      <c r="D1123" s="45" t="s">
        <v>2895</v>
      </c>
      <c r="E1123" s="78" t="s">
        <v>2896</v>
      </c>
      <c r="F1123" s="45" t="s">
        <v>9436</v>
      </c>
      <c r="G1123" s="46" t="s">
        <v>2898</v>
      </c>
      <c r="H1123" s="62" t="s">
        <v>24</v>
      </c>
      <c r="I1123" s="133"/>
      <c r="J1123" s="155"/>
      <c r="K1123" s="155"/>
      <c r="L1123" s="155"/>
      <c r="M1123" s="155"/>
      <c r="N1123" s="155"/>
      <c r="O1123" s="155"/>
    </row>
    <row r="1124" spans="1:15" ht="231">
      <c r="A1124" s="399"/>
      <c r="B1124" s="63" t="s">
        <v>2870</v>
      </c>
      <c r="C1124" s="45" t="s">
        <v>9437</v>
      </c>
      <c r="D1124" s="45" t="s">
        <v>2900</v>
      </c>
      <c r="E1124" s="78" t="s">
        <v>2896</v>
      </c>
      <c r="F1124" s="45" t="s">
        <v>2901</v>
      </c>
      <c r="G1124" s="46" t="s">
        <v>2902</v>
      </c>
      <c r="H1124" s="62" t="s">
        <v>36</v>
      </c>
      <c r="I1124" s="133"/>
      <c r="J1124" s="155"/>
      <c r="K1124" s="155"/>
      <c r="L1124" s="155"/>
      <c r="M1124" s="155"/>
      <c r="N1124" s="155"/>
      <c r="O1124" s="155"/>
    </row>
    <row r="1125" spans="1:15" ht="409.5">
      <c r="A1125" s="399"/>
      <c r="B1125" s="63" t="s">
        <v>2870</v>
      </c>
      <c r="C1125" s="45" t="s">
        <v>9438</v>
      </c>
      <c r="D1125" s="45" t="s">
        <v>9439</v>
      </c>
      <c r="E1125" s="78" t="s">
        <v>2896</v>
      </c>
      <c r="F1125" s="45" t="s">
        <v>9440</v>
      </c>
      <c r="G1125" s="46" t="s">
        <v>9441</v>
      </c>
      <c r="H1125" s="62" t="s">
        <v>41</v>
      </c>
      <c r="I1125" s="133"/>
      <c r="J1125" s="155"/>
      <c r="K1125" s="155"/>
      <c r="L1125" s="155"/>
      <c r="M1125" s="155"/>
      <c r="N1125" s="155"/>
      <c r="O1125" s="155"/>
    </row>
    <row r="1126" spans="1:15" ht="231">
      <c r="A1126" s="399"/>
      <c r="B1126" s="63" t="s">
        <v>2870</v>
      </c>
      <c r="C1126" s="45" t="s">
        <v>9442</v>
      </c>
      <c r="D1126" s="45" t="s">
        <v>2904</v>
      </c>
      <c r="E1126" s="78" t="s">
        <v>2905</v>
      </c>
      <c r="F1126" s="45" t="s">
        <v>9434</v>
      </c>
      <c r="G1126" s="46" t="s">
        <v>2893</v>
      </c>
      <c r="H1126" s="62" t="s">
        <v>36</v>
      </c>
      <c r="I1126" s="133"/>
      <c r="J1126" s="155"/>
      <c r="K1126" s="155"/>
      <c r="L1126" s="155"/>
      <c r="M1126" s="155"/>
      <c r="N1126" s="155"/>
      <c r="O1126" s="155"/>
    </row>
    <row r="1127" spans="1:15" ht="132">
      <c r="A1127" s="399"/>
      <c r="B1127" s="63" t="s">
        <v>2870</v>
      </c>
      <c r="C1127" s="45" t="s">
        <v>9443</v>
      </c>
      <c r="D1127" s="45" t="s">
        <v>2907</v>
      </c>
      <c r="E1127" s="78" t="s">
        <v>2905</v>
      </c>
      <c r="F1127" s="45" t="s">
        <v>9436</v>
      </c>
      <c r="G1127" s="46" t="s">
        <v>2898</v>
      </c>
      <c r="H1127" s="62" t="s">
        <v>41</v>
      </c>
      <c r="I1127" s="133"/>
      <c r="J1127" s="155"/>
      <c r="K1127" s="155"/>
      <c r="L1127" s="155"/>
      <c r="M1127" s="155"/>
      <c r="N1127" s="155"/>
      <c r="O1127" s="155"/>
    </row>
    <row r="1128" spans="1:15" ht="214.5">
      <c r="A1128" s="399"/>
      <c r="B1128" s="63" t="s">
        <v>2870</v>
      </c>
      <c r="C1128" s="45" t="s">
        <v>9444</v>
      </c>
      <c r="D1128" s="45" t="s">
        <v>2909</v>
      </c>
      <c r="E1128" s="78" t="s">
        <v>2905</v>
      </c>
      <c r="F1128" s="45" t="s">
        <v>2910</v>
      </c>
      <c r="G1128" s="46" t="s">
        <v>2902</v>
      </c>
      <c r="H1128" s="62" t="s">
        <v>24</v>
      </c>
      <c r="I1128" s="133"/>
      <c r="J1128" s="155"/>
      <c r="K1128" s="155"/>
      <c r="L1128" s="155"/>
      <c r="M1128" s="155"/>
      <c r="N1128" s="155"/>
      <c r="O1128" s="155"/>
    </row>
    <row r="1129" spans="1:15" ht="165">
      <c r="A1129" s="399"/>
      <c r="B1129" s="63" t="s">
        <v>2870</v>
      </c>
      <c r="C1129" s="45" t="s">
        <v>9445</v>
      </c>
      <c r="D1129" s="45" t="s">
        <v>2927</v>
      </c>
      <c r="E1129" s="78" t="s">
        <v>2928</v>
      </c>
      <c r="F1129" s="45" t="s">
        <v>2929</v>
      </c>
      <c r="G1129" s="46" t="s">
        <v>2930</v>
      </c>
      <c r="H1129" s="62" t="s">
        <v>30</v>
      </c>
      <c r="I1129" s="133"/>
      <c r="J1129" s="155"/>
      <c r="K1129" s="155"/>
      <c r="L1129" s="155"/>
      <c r="M1129" s="155"/>
      <c r="N1129" s="155"/>
      <c r="O1129" s="155"/>
    </row>
    <row r="1130" spans="1:15" ht="165">
      <c r="A1130" s="399"/>
      <c r="B1130" s="63" t="s">
        <v>2870</v>
      </c>
      <c r="C1130" s="45" t="s">
        <v>9446</v>
      </c>
      <c r="D1130" s="45" t="s">
        <v>2931</v>
      </c>
      <c r="E1130" s="78" t="s">
        <v>2928</v>
      </c>
      <c r="F1130" s="45" t="s">
        <v>2932</v>
      </c>
      <c r="G1130" s="46" t="s">
        <v>2930</v>
      </c>
      <c r="H1130" s="62" t="s">
        <v>30</v>
      </c>
      <c r="I1130" s="133"/>
      <c r="J1130" s="155"/>
      <c r="K1130" s="155"/>
      <c r="L1130" s="155"/>
      <c r="M1130" s="155"/>
      <c r="N1130" s="155"/>
      <c r="O1130" s="155"/>
    </row>
    <row r="1131" spans="1:15" ht="82.5">
      <c r="A1131" s="399"/>
      <c r="B1131" s="63" t="s">
        <v>2870</v>
      </c>
      <c r="C1131" s="45" t="s">
        <v>9447</v>
      </c>
      <c r="D1131" s="45" t="s">
        <v>2934</v>
      </c>
      <c r="E1131" s="78" t="s">
        <v>2935</v>
      </c>
      <c r="F1131" s="45" t="s">
        <v>2936</v>
      </c>
      <c r="G1131" s="46" t="s">
        <v>2937</v>
      </c>
      <c r="H1131" s="62" t="s">
        <v>30</v>
      </c>
      <c r="I1131" s="133"/>
      <c r="J1131" s="155"/>
      <c r="K1131" s="155"/>
      <c r="L1131" s="155"/>
      <c r="M1131" s="155"/>
      <c r="N1131" s="155"/>
      <c r="O1131" s="155"/>
    </row>
    <row r="1132" spans="1:15" ht="82.5">
      <c r="A1132" s="399"/>
      <c r="B1132" s="63" t="s">
        <v>2870</v>
      </c>
      <c r="C1132" s="45" t="s">
        <v>9448</v>
      </c>
      <c r="D1132" s="45" t="s">
        <v>2939</v>
      </c>
      <c r="E1132" s="78" t="s">
        <v>2940</v>
      </c>
      <c r="F1132" s="45" t="s">
        <v>2941</v>
      </c>
      <c r="G1132" s="46" t="s">
        <v>2942</v>
      </c>
      <c r="H1132" s="62" t="s">
        <v>41</v>
      </c>
      <c r="I1132" s="133"/>
      <c r="J1132" s="155"/>
      <c r="K1132" s="155"/>
      <c r="L1132" s="155"/>
      <c r="M1132" s="155"/>
      <c r="N1132" s="155"/>
      <c r="O1132" s="155"/>
    </row>
    <row r="1133" spans="1:15" ht="82.5">
      <c r="A1133" s="399"/>
      <c r="B1133" s="63" t="s">
        <v>2870</v>
      </c>
      <c r="C1133" s="45" t="s">
        <v>9449</v>
      </c>
      <c r="D1133" s="45" t="s">
        <v>2944</v>
      </c>
      <c r="E1133" s="78" t="s">
        <v>2945</v>
      </c>
      <c r="F1133" s="45" t="s">
        <v>9450</v>
      </c>
      <c r="G1133" s="46" t="s">
        <v>2947</v>
      </c>
      <c r="H1133" s="62" t="s">
        <v>24</v>
      </c>
      <c r="I1133" s="133"/>
      <c r="J1133" s="155"/>
      <c r="K1133" s="155"/>
      <c r="L1133" s="155"/>
      <c r="M1133" s="155"/>
      <c r="N1133" s="155"/>
      <c r="O1133" s="155"/>
    </row>
    <row r="1134" spans="1:15" ht="82.5">
      <c r="A1134" s="399"/>
      <c r="B1134" s="63" t="s">
        <v>2870</v>
      </c>
      <c r="C1134" s="45" t="s">
        <v>9451</v>
      </c>
      <c r="D1134" s="45" t="s">
        <v>2949</v>
      </c>
      <c r="E1134" s="78" t="s">
        <v>2945</v>
      </c>
      <c r="F1134" s="45" t="s">
        <v>9452</v>
      </c>
      <c r="G1134" s="46" t="s">
        <v>2951</v>
      </c>
      <c r="H1134" s="62" t="s">
        <v>24</v>
      </c>
      <c r="I1134" s="133"/>
      <c r="J1134" s="155"/>
      <c r="K1134" s="155"/>
      <c r="L1134" s="155"/>
      <c r="M1134" s="155"/>
      <c r="N1134" s="155"/>
      <c r="O1134" s="155"/>
    </row>
    <row r="1135" spans="1:15" ht="82.5">
      <c r="A1135" s="399"/>
      <c r="B1135" s="63" t="s">
        <v>2870</v>
      </c>
      <c r="C1135" s="45" t="s">
        <v>9453</v>
      </c>
      <c r="D1135" s="45" t="s">
        <v>2953</v>
      </c>
      <c r="E1135" s="78" t="s">
        <v>2954</v>
      </c>
      <c r="F1135" s="45" t="s">
        <v>9454</v>
      </c>
      <c r="G1135" s="46" t="s">
        <v>2947</v>
      </c>
      <c r="H1135" s="62" t="s">
        <v>36</v>
      </c>
      <c r="I1135" s="133"/>
      <c r="J1135" s="155"/>
      <c r="K1135" s="155"/>
      <c r="L1135" s="155"/>
      <c r="M1135" s="155"/>
      <c r="N1135" s="155"/>
      <c r="O1135" s="155"/>
    </row>
    <row r="1136" spans="1:15" ht="82.5">
      <c r="A1136" s="399"/>
      <c r="B1136" s="63" t="s">
        <v>2870</v>
      </c>
      <c r="C1136" s="45" t="s">
        <v>9455</v>
      </c>
      <c r="D1136" s="45" t="s">
        <v>2957</v>
      </c>
      <c r="E1136" s="78" t="s">
        <v>2954</v>
      </c>
      <c r="F1136" s="45" t="s">
        <v>9456</v>
      </c>
      <c r="G1136" s="46" t="s">
        <v>2951</v>
      </c>
      <c r="H1136" s="62" t="s">
        <v>36</v>
      </c>
      <c r="I1136" s="133"/>
      <c r="J1136" s="155"/>
      <c r="K1136" s="155"/>
      <c r="L1136" s="155"/>
      <c r="M1136" s="155"/>
      <c r="N1136" s="155"/>
      <c r="O1136" s="155"/>
    </row>
    <row r="1137" spans="1:15" ht="66">
      <c r="A1137" s="399"/>
      <c r="B1137" s="63" t="s">
        <v>2870</v>
      </c>
      <c r="C1137" s="45" t="s">
        <v>9457</v>
      </c>
      <c r="D1137" s="45" t="s">
        <v>2960</v>
      </c>
      <c r="E1137" s="78" t="s">
        <v>2961</v>
      </c>
      <c r="F1137" s="45" t="s">
        <v>2962</v>
      </c>
      <c r="G1137" s="46" t="s">
        <v>2963</v>
      </c>
      <c r="H1137" s="62" t="s">
        <v>24</v>
      </c>
      <c r="I1137" s="133"/>
      <c r="J1137" s="155"/>
      <c r="K1137" s="155"/>
      <c r="L1137" s="155"/>
      <c r="M1137" s="155"/>
      <c r="N1137" s="155"/>
      <c r="O1137" s="155"/>
    </row>
    <row r="1138" spans="1:15" ht="66">
      <c r="A1138" s="399"/>
      <c r="B1138" s="63" t="s">
        <v>2870</v>
      </c>
      <c r="C1138" s="45" t="s">
        <v>9458</v>
      </c>
      <c r="D1138" s="45" t="s">
        <v>2965</v>
      </c>
      <c r="E1138" s="78" t="s">
        <v>2966</v>
      </c>
      <c r="F1138" s="45" t="s">
        <v>2967</v>
      </c>
      <c r="G1138" s="46" t="s">
        <v>2968</v>
      </c>
      <c r="H1138" s="62" t="s">
        <v>24</v>
      </c>
      <c r="I1138" s="133"/>
      <c r="J1138" s="155"/>
      <c r="K1138" s="155"/>
      <c r="L1138" s="155"/>
      <c r="M1138" s="155"/>
      <c r="N1138" s="155"/>
      <c r="O1138" s="155"/>
    </row>
    <row r="1139" spans="1:15" ht="66">
      <c r="A1139" s="399"/>
      <c r="B1139" s="63" t="s">
        <v>2870</v>
      </c>
      <c r="C1139" s="45" t="s">
        <v>9459</v>
      </c>
      <c r="D1139" s="45" t="s">
        <v>2970</v>
      </c>
      <c r="E1139" s="78" t="s">
        <v>2971</v>
      </c>
      <c r="F1139" s="45" t="s">
        <v>2972</v>
      </c>
      <c r="G1139" s="46" t="s">
        <v>2963</v>
      </c>
      <c r="H1139" s="62" t="s">
        <v>24</v>
      </c>
      <c r="I1139" s="133"/>
      <c r="J1139" s="155"/>
      <c r="K1139" s="155"/>
      <c r="L1139" s="155"/>
      <c r="M1139" s="155"/>
      <c r="N1139" s="155"/>
      <c r="O1139" s="155"/>
    </row>
    <row r="1140" spans="1:15" ht="66">
      <c r="A1140" s="399"/>
      <c r="B1140" s="63" t="s">
        <v>2870</v>
      </c>
      <c r="C1140" s="45" t="s">
        <v>9460</v>
      </c>
      <c r="D1140" s="45" t="s">
        <v>2974</v>
      </c>
      <c r="E1140" s="78" t="s">
        <v>2975</v>
      </c>
      <c r="F1140" s="45" t="s">
        <v>2976</v>
      </c>
      <c r="G1140" s="46" t="s">
        <v>2968</v>
      </c>
      <c r="H1140" s="62" t="s">
        <v>24</v>
      </c>
      <c r="I1140" s="133"/>
      <c r="J1140" s="155"/>
      <c r="K1140" s="155"/>
      <c r="L1140" s="155"/>
      <c r="M1140" s="155"/>
      <c r="N1140" s="155"/>
      <c r="O1140" s="155"/>
    </row>
    <row r="1141" spans="1:15" ht="66">
      <c r="A1141" s="399"/>
      <c r="B1141" s="63" t="s">
        <v>2870</v>
      </c>
      <c r="C1141" s="45" t="s">
        <v>9461</v>
      </c>
      <c r="D1141" s="45" t="s">
        <v>2978</v>
      </c>
      <c r="E1141" s="78" t="s">
        <v>2975</v>
      </c>
      <c r="F1141" s="45" t="s">
        <v>2979</v>
      </c>
      <c r="G1141" s="46" t="s">
        <v>2980</v>
      </c>
      <c r="H1141" s="62" t="s">
        <v>24</v>
      </c>
      <c r="I1141" s="133"/>
      <c r="J1141" s="155"/>
      <c r="K1141" s="155"/>
      <c r="L1141" s="155"/>
      <c r="M1141" s="155"/>
      <c r="N1141" s="155"/>
      <c r="O1141" s="155"/>
    </row>
    <row r="1142" spans="1:15" ht="132">
      <c r="A1142" s="395" t="s">
        <v>2981</v>
      </c>
      <c r="B1142" s="65" t="s">
        <v>2981</v>
      </c>
      <c r="C1142" s="45" t="s">
        <v>9462</v>
      </c>
      <c r="D1142" s="45" t="s">
        <v>2983</v>
      </c>
      <c r="E1142" s="78" t="s">
        <v>9463</v>
      </c>
      <c r="F1142" s="45" t="s">
        <v>9464</v>
      </c>
      <c r="G1142" s="46" t="s">
        <v>2986</v>
      </c>
      <c r="H1142" s="62" t="s">
        <v>30</v>
      </c>
      <c r="I1142" s="133"/>
      <c r="J1142" s="155"/>
      <c r="K1142" s="155"/>
      <c r="L1142" s="155"/>
      <c r="M1142" s="155"/>
      <c r="N1142" s="155"/>
      <c r="O1142" s="155"/>
    </row>
    <row r="1143" spans="1:15" ht="148.5">
      <c r="A1143" s="395"/>
      <c r="B1143" s="65" t="s">
        <v>2981</v>
      </c>
      <c r="C1143" s="45" t="s">
        <v>9465</v>
      </c>
      <c r="D1143" s="45" t="s">
        <v>2988</v>
      </c>
      <c r="E1143" s="78" t="s">
        <v>9463</v>
      </c>
      <c r="F1143" s="45" t="s">
        <v>9466</v>
      </c>
      <c r="G1143" s="46" t="s">
        <v>2990</v>
      </c>
      <c r="H1143" s="62" t="s">
        <v>36</v>
      </c>
      <c r="I1143" s="133"/>
      <c r="J1143" s="155"/>
      <c r="K1143" s="155"/>
      <c r="L1143" s="155"/>
      <c r="M1143" s="155"/>
      <c r="N1143" s="155"/>
      <c r="O1143" s="155"/>
    </row>
    <row r="1144" spans="1:15" ht="231">
      <c r="A1144" s="395"/>
      <c r="B1144" s="65" t="s">
        <v>2981</v>
      </c>
      <c r="C1144" s="45" t="s">
        <v>9467</v>
      </c>
      <c r="D1144" s="45" t="s">
        <v>2992</v>
      </c>
      <c r="E1144" s="78" t="s">
        <v>9463</v>
      </c>
      <c r="F1144" s="45" t="s">
        <v>9468</v>
      </c>
      <c r="G1144" s="46" t="s">
        <v>2994</v>
      </c>
      <c r="H1144" s="62" t="s">
        <v>24</v>
      </c>
      <c r="I1144" s="133"/>
      <c r="J1144" s="155"/>
      <c r="K1144" s="155"/>
      <c r="L1144" s="155"/>
      <c r="M1144" s="155"/>
      <c r="N1144" s="155"/>
      <c r="O1144" s="155"/>
    </row>
    <row r="1145" spans="1:15" ht="132">
      <c r="A1145" s="395"/>
      <c r="B1145" s="65" t="s">
        <v>2981</v>
      </c>
      <c r="C1145" s="45" t="s">
        <v>9469</v>
      </c>
      <c r="D1145" s="45" t="s">
        <v>2996</v>
      </c>
      <c r="E1145" s="78" t="s">
        <v>9463</v>
      </c>
      <c r="F1145" s="45" t="s">
        <v>9470</v>
      </c>
      <c r="G1145" s="46" t="s">
        <v>2998</v>
      </c>
      <c r="H1145" s="62" t="s">
        <v>24</v>
      </c>
      <c r="I1145" s="133"/>
      <c r="J1145" s="155"/>
      <c r="K1145" s="155"/>
      <c r="L1145" s="155"/>
      <c r="M1145" s="155"/>
      <c r="N1145" s="155"/>
      <c r="O1145" s="155"/>
    </row>
    <row r="1146" spans="1:15" ht="115.5">
      <c r="A1146" s="395"/>
      <c r="B1146" s="65" t="s">
        <v>2981</v>
      </c>
      <c r="C1146" s="45" t="s">
        <v>9471</v>
      </c>
      <c r="D1146" s="45" t="s">
        <v>3000</v>
      </c>
      <c r="E1146" s="78" t="s">
        <v>9463</v>
      </c>
      <c r="F1146" s="45" t="s">
        <v>9472</v>
      </c>
      <c r="G1146" s="46" t="s">
        <v>3002</v>
      </c>
      <c r="H1146" s="62" t="s">
        <v>24</v>
      </c>
      <c r="I1146" s="133"/>
      <c r="J1146" s="155"/>
      <c r="K1146" s="155"/>
      <c r="L1146" s="155"/>
      <c r="M1146" s="155"/>
      <c r="N1146" s="155"/>
      <c r="O1146" s="155"/>
    </row>
    <row r="1147" spans="1:15" ht="115.5">
      <c r="A1147" s="395"/>
      <c r="B1147" s="65" t="s">
        <v>2981</v>
      </c>
      <c r="C1147" s="45" t="s">
        <v>9473</v>
      </c>
      <c r="D1147" s="45" t="s">
        <v>3004</v>
      </c>
      <c r="E1147" s="78" t="s">
        <v>9463</v>
      </c>
      <c r="F1147" s="45" t="s">
        <v>9474</v>
      </c>
      <c r="G1147" s="46" t="s">
        <v>3006</v>
      </c>
      <c r="H1147" s="62" t="s">
        <v>24</v>
      </c>
      <c r="I1147" s="133"/>
      <c r="J1147" s="155"/>
      <c r="K1147" s="155"/>
      <c r="L1147" s="155"/>
      <c r="M1147" s="155"/>
      <c r="N1147" s="155"/>
      <c r="O1147" s="155"/>
    </row>
    <row r="1148" spans="1:15" ht="132">
      <c r="A1148" s="395"/>
      <c r="B1148" s="65" t="s">
        <v>2981</v>
      </c>
      <c r="C1148" s="45" t="s">
        <v>9475</v>
      </c>
      <c r="D1148" s="45" t="s">
        <v>3008</v>
      </c>
      <c r="E1148" s="78" t="s">
        <v>9463</v>
      </c>
      <c r="F1148" s="45" t="s">
        <v>9476</v>
      </c>
      <c r="G1148" s="46" t="s">
        <v>3010</v>
      </c>
      <c r="H1148" s="62" t="s">
        <v>24</v>
      </c>
      <c r="I1148" s="133"/>
      <c r="J1148" s="155"/>
      <c r="K1148" s="155"/>
      <c r="L1148" s="155"/>
      <c r="M1148" s="155"/>
      <c r="N1148" s="155"/>
      <c r="O1148" s="155"/>
    </row>
    <row r="1149" spans="1:15" ht="231">
      <c r="A1149" s="395"/>
      <c r="B1149" s="65" t="s">
        <v>2981</v>
      </c>
      <c r="C1149" s="45" t="s">
        <v>9477</v>
      </c>
      <c r="D1149" s="45" t="s">
        <v>3012</v>
      </c>
      <c r="E1149" s="78" t="s">
        <v>9463</v>
      </c>
      <c r="F1149" s="45" t="s">
        <v>9478</v>
      </c>
      <c r="G1149" s="46" t="s">
        <v>3014</v>
      </c>
      <c r="H1149" s="62" t="s">
        <v>24</v>
      </c>
      <c r="I1149" s="133"/>
      <c r="J1149" s="155"/>
      <c r="K1149" s="155"/>
      <c r="L1149" s="155"/>
      <c r="M1149" s="155"/>
      <c r="N1149" s="155"/>
      <c r="O1149" s="155"/>
    </row>
    <row r="1150" spans="1:15" ht="99">
      <c r="A1150" s="395"/>
      <c r="B1150" s="65" t="s">
        <v>2981</v>
      </c>
      <c r="C1150" s="45" t="s">
        <v>9479</v>
      </c>
      <c r="D1150" s="45" t="s">
        <v>3016</v>
      </c>
      <c r="E1150" s="78" t="s">
        <v>9463</v>
      </c>
      <c r="F1150" s="45" t="s">
        <v>3017</v>
      </c>
      <c r="G1150" s="46" t="s">
        <v>2986</v>
      </c>
      <c r="H1150" s="62" t="s">
        <v>41</v>
      </c>
      <c r="I1150" s="133"/>
      <c r="J1150" s="155"/>
      <c r="K1150" s="155"/>
      <c r="L1150" s="155"/>
      <c r="M1150" s="155"/>
      <c r="N1150" s="155"/>
      <c r="O1150" s="155"/>
    </row>
    <row r="1151" spans="1:15" ht="115.5">
      <c r="A1151" s="395"/>
      <c r="B1151" s="65" t="s">
        <v>2981</v>
      </c>
      <c r="C1151" s="45" t="s">
        <v>9480</v>
      </c>
      <c r="D1151" s="45" t="s">
        <v>3019</v>
      </c>
      <c r="E1151" s="78" t="s">
        <v>9463</v>
      </c>
      <c r="F1151" s="45" t="s">
        <v>3020</v>
      </c>
      <c r="G1151" s="46" t="s">
        <v>3021</v>
      </c>
      <c r="H1151" s="62" t="s">
        <v>30</v>
      </c>
      <c r="I1151" s="133"/>
      <c r="J1151" s="155"/>
      <c r="K1151" s="155"/>
      <c r="L1151" s="155"/>
      <c r="M1151" s="155"/>
      <c r="N1151" s="155"/>
      <c r="O1151" s="155"/>
    </row>
    <row r="1152" spans="1:15" ht="99">
      <c r="A1152" s="395"/>
      <c r="B1152" s="65" t="s">
        <v>2981</v>
      </c>
      <c r="C1152" s="45" t="s">
        <v>9481</v>
      </c>
      <c r="D1152" s="45" t="s">
        <v>3023</v>
      </c>
      <c r="E1152" s="78" t="s">
        <v>9463</v>
      </c>
      <c r="F1152" s="45" t="s">
        <v>3024</v>
      </c>
      <c r="G1152" s="46" t="s">
        <v>3025</v>
      </c>
      <c r="H1152" s="62" t="s">
        <v>41</v>
      </c>
      <c r="I1152" s="133"/>
      <c r="J1152" s="155"/>
      <c r="K1152" s="155"/>
      <c r="L1152" s="155"/>
      <c r="M1152" s="155"/>
      <c r="N1152" s="155"/>
      <c r="O1152" s="155"/>
    </row>
    <row r="1153" spans="1:15" ht="198">
      <c r="A1153" s="395"/>
      <c r="B1153" s="65" t="s">
        <v>2981</v>
      </c>
      <c r="C1153" s="45" t="s">
        <v>9482</v>
      </c>
      <c r="D1153" s="45" t="s">
        <v>3027</v>
      </c>
      <c r="E1153" s="78" t="s">
        <v>9483</v>
      </c>
      <c r="F1153" s="45" t="s">
        <v>3029</v>
      </c>
      <c r="G1153" s="46" t="s">
        <v>3030</v>
      </c>
      <c r="H1153" s="62" t="s">
        <v>30</v>
      </c>
      <c r="I1153" s="133"/>
      <c r="J1153" s="155"/>
      <c r="K1153" s="155"/>
      <c r="L1153" s="155"/>
      <c r="M1153" s="155"/>
      <c r="N1153" s="155"/>
      <c r="O1153" s="155"/>
    </row>
    <row r="1154" spans="1:15" ht="198">
      <c r="A1154" s="395"/>
      <c r="B1154" s="65" t="s">
        <v>2981</v>
      </c>
      <c r="C1154" s="45" t="s">
        <v>9484</v>
      </c>
      <c r="D1154" s="45" t="s">
        <v>3032</v>
      </c>
      <c r="E1154" s="78" t="s">
        <v>9483</v>
      </c>
      <c r="F1154" s="45" t="s">
        <v>3033</v>
      </c>
      <c r="G1154" s="46" t="s">
        <v>3034</v>
      </c>
      <c r="H1154" s="62" t="s">
        <v>41</v>
      </c>
      <c r="I1154" s="133"/>
      <c r="J1154" s="155"/>
      <c r="K1154" s="155"/>
      <c r="L1154" s="155"/>
      <c r="M1154" s="155"/>
      <c r="N1154" s="155"/>
      <c r="O1154" s="155"/>
    </row>
    <row r="1155" spans="1:15" ht="148.5">
      <c r="A1155" s="395"/>
      <c r="B1155" s="65" t="s">
        <v>2981</v>
      </c>
      <c r="C1155" s="45" t="s">
        <v>9485</v>
      </c>
      <c r="D1155" s="45" t="s">
        <v>3036</v>
      </c>
      <c r="E1155" s="78" t="s">
        <v>9483</v>
      </c>
      <c r="F1155" s="45" t="s">
        <v>3037</v>
      </c>
      <c r="G1155" s="46" t="s">
        <v>3038</v>
      </c>
      <c r="H1155" s="62" t="s">
        <v>36</v>
      </c>
      <c r="I1155" s="133"/>
      <c r="J1155" s="155"/>
      <c r="K1155" s="155"/>
      <c r="L1155" s="155"/>
      <c r="M1155" s="155"/>
      <c r="N1155" s="155"/>
      <c r="O1155" s="155"/>
    </row>
    <row r="1156" spans="1:15" ht="99">
      <c r="A1156" s="395"/>
      <c r="B1156" s="65" t="s">
        <v>2981</v>
      </c>
      <c r="C1156" s="45" t="s">
        <v>9486</v>
      </c>
      <c r="D1156" s="45" t="s">
        <v>3040</v>
      </c>
      <c r="E1156" s="78" t="s">
        <v>9483</v>
      </c>
      <c r="F1156" s="45" t="s">
        <v>3041</v>
      </c>
      <c r="G1156" s="46" t="s">
        <v>3042</v>
      </c>
      <c r="H1156" s="62" t="s">
        <v>36</v>
      </c>
      <c r="I1156" s="133"/>
      <c r="J1156" s="155"/>
      <c r="K1156" s="155"/>
      <c r="L1156" s="155"/>
      <c r="M1156" s="155"/>
      <c r="N1156" s="155"/>
      <c r="O1156" s="155"/>
    </row>
    <row r="1157" spans="1:15" ht="198">
      <c r="A1157" s="395"/>
      <c r="B1157" s="65" t="s">
        <v>2981</v>
      </c>
      <c r="C1157" s="45" t="s">
        <v>9487</v>
      </c>
      <c r="D1157" s="45" t="s">
        <v>3044</v>
      </c>
      <c r="E1157" s="78" t="s">
        <v>9463</v>
      </c>
      <c r="F1157" s="45" t="s">
        <v>3045</v>
      </c>
      <c r="G1157" s="46" t="s">
        <v>3046</v>
      </c>
      <c r="H1157" s="62" t="s">
        <v>41</v>
      </c>
      <c r="I1157" s="133"/>
      <c r="J1157" s="155"/>
      <c r="K1157" s="155"/>
      <c r="L1157" s="155"/>
      <c r="M1157" s="155"/>
      <c r="N1157" s="155"/>
      <c r="O1157" s="155"/>
    </row>
    <row r="1158" spans="1:15" ht="198">
      <c r="A1158" s="395"/>
      <c r="B1158" s="65" t="s">
        <v>2981</v>
      </c>
      <c r="C1158" s="45" t="s">
        <v>9488</v>
      </c>
      <c r="D1158" s="45" t="s">
        <v>3048</v>
      </c>
      <c r="E1158" s="78" t="s">
        <v>9463</v>
      </c>
      <c r="F1158" s="45" t="s">
        <v>3049</v>
      </c>
      <c r="G1158" s="46" t="s">
        <v>3050</v>
      </c>
      <c r="H1158" s="62" t="s">
        <v>24</v>
      </c>
      <c r="I1158" s="133"/>
      <c r="J1158" s="155"/>
      <c r="K1158" s="155"/>
      <c r="L1158" s="155"/>
      <c r="M1158" s="155"/>
      <c r="N1158" s="155"/>
      <c r="O1158" s="155"/>
    </row>
    <row r="1159" spans="1:15" ht="181.5">
      <c r="A1159" s="395"/>
      <c r="B1159" s="65" t="s">
        <v>2981</v>
      </c>
      <c r="C1159" s="45" t="s">
        <v>9489</v>
      </c>
      <c r="D1159" s="45" t="s">
        <v>3052</v>
      </c>
      <c r="E1159" s="78" t="s">
        <v>9490</v>
      </c>
      <c r="F1159" s="45" t="s">
        <v>3054</v>
      </c>
      <c r="G1159" s="46" t="s">
        <v>3055</v>
      </c>
      <c r="H1159" s="62" t="s">
        <v>62</v>
      </c>
      <c r="I1159" s="133"/>
      <c r="J1159" s="155"/>
      <c r="K1159" s="155"/>
      <c r="L1159" s="155"/>
      <c r="M1159" s="155"/>
      <c r="N1159" s="155"/>
      <c r="O1159" s="155"/>
    </row>
    <row r="1160" spans="1:15" ht="181.5">
      <c r="A1160" s="395"/>
      <c r="B1160" s="65" t="s">
        <v>2981</v>
      </c>
      <c r="C1160" s="45" t="s">
        <v>9491</v>
      </c>
      <c r="D1160" s="45" t="s">
        <v>3057</v>
      </c>
      <c r="E1160" s="78" t="s">
        <v>9463</v>
      </c>
      <c r="F1160" s="45" t="s">
        <v>3058</v>
      </c>
      <c r="G1160" s="46" t="s">
        <v>3059</v>
      </c>
      <c r="H1160" s="62" t="s">
        <v>41</v>
      </c>
      <c r="I1160" s="133"/>
      <c r="J1160" s="155"/>
      <c r="K1160" s="155"/>
      <c r="L1160" s="155"/>
      <c r="M1160" s="155"/>
      <c r="N1160" s="155"/>
      <c r="O1160" s="155"/>
    </row>
    <row r="1161" spans="1:15" ht="198">
      <c r="A1161" s="395"/>
      <c r="B1161" s="65" t="s">
        <v>2981</v>
      </c>
      <c r="C1161" s="45" t="s">
        <v>9492</v>
      </c>
      <c r="D1161" s="45" t="s">
        <v>3061</v>
      </c>
      <c r="E1161" s="78" t="s">
        <v>9463</v>
      </c>
      <c r="F1161" s="45" t="s">
        <v>9493</v>
      </c>
      <c r="G1161" s="46" t="s">
        <v>3034</v>
      </c>
      <c r="H1161" s="62" t="s">
        <v>24</v>
      </c>
      <c r="I1161" s="133"/>
      <c r="J1161" s="155"/>
      <c r="K1161" s="155"/>
      <c r="L1161" s="155"/>
      <c r="M1161" s="155"/>
      <c r="N1161" s="155"/>
      <c r="O1161" s="155"/>
    </row>
    <row r="1162" spans="1:15" ht="148.5">
      <c r="A1162" s="395"/>
      <c r="B1162" s="65" t="s">
        <v>2981</v>
      </c>
      <c r="C1162" s="45" t="s">
        <v>9494</v>
      </c>
      <c r="D1162" s="45" t="s">
        <v>3064</v>
      </c>
      <c r="E1162" s="78" t="s">
        <v>9463</v>
      </c>
      <c r="F1162" s="45" t="s">
        <v>3065</v>
      </c>
      <c r="G1162" s="46" t="s">
        <v>3066</v>
      </c>
      <c r="H1162" s="62" t="s">
        <v>24</v>
      </c>
      <c r="I1162" s="133"/>
      <c r="J1162" s="155"/>
      <c r="K1162" s="155"/>
      <c r="L1162" s="155"/>
      <c r="M1162" s="155"/>
      <c r="N1162" s="155"/>
      <c r="O1162" s="155"/>
    </row>
    <row r="1163" spans="1:15" ht="99">
      <c r="A1163" s="395"/>
      <c r="B1163" s="65" t="s">
        <v>2981</v>
      </c>
      <c r="C1163" s="45" t="s">
        <v>9495</v>
      </c>
      <c r="D1163" s="45" t="s">
        <v>3068</v>
      </c>
      <c r="E1163" s="78" t="s">
        <v>9463</v>
      </c>
      <c r="F1163" s="45" t="s">
        <v>3069</v>
      </c>
      <c r="G1163" s="46" t="s">
        <v>3070</v>
      </c>
      <c r="H1163" s="62" t="s">
        <v>36</v>
      </c>
      <c r="I1163" s="133"/>
      <c r="J1163" s="155"/>
      <c r="K1163" s="155"/>
      <c r="L1163" s="155"/>
      <c r="M1163" s="155"/>
      <c r="N1163" s="155"/>
      <c r="O1163" s="155"/>
    </row>
    <row r="1164" spans="1:15" ht="198">
      <c r="A1164" s="395"/>
      <c r="B1164" s="65" t="s">
        <v>2981</v>
      </c>
      <c r="C1164" s="45" t="s">
        <v>9496</v>
      </c>
      <c r="D1164" s="45" t="s">
        <v>3072</v>
      </c>
      <c r="E1164" s="78" t="s">
        <v>9463</v>
      </c>
      <c r="F1164" s="45" t="s">
        <v>3073</v>
      </c>
      <c r="G1164" s="46" t="s">
        <v>3074</v>
      </c>
      <c r="H1164" s="62" t="s">
        <v>24</v>
      </c>
      <c r="I1164" s="133"/>
      <c r="J1164" s="155"/>
      <c r="K1164" s="155"/>
      <c r="L1164" s="155"/>
      <c r="M1164" s="155"/>
      <c r="N1164" s="155"/>
      <c r="O1164" s="155"/>
    </row>
    <row r="1165" spans="1:15" ht="198">
      <c r="A1165" s="395"/>
      <c r="B1165" s="65" t="s">
        <v>2981</v>
      </c>
      <c r="C1165" s="45" t="s">
        <v>9497</v>
      </c>
      <c r="D1165" s="45" t="s">
        <v>3076</v>
      </c>
      <c r="E1165" s="78" t="s">
        <v>9463</v>
      </c>
      <c r="F1165" s="45" t="s">
        <v>3077</v>
      </c>
      <c r="G1165" s="46" t="s">
        <v>3078</v>
      </c>
      <c r="H1165" s="62" t="s">
        <v>24</v>
      </c>
      <c r="I1165" s="133"/>
      <c r="J1165" s="155"/>
      <c r="K1165" s="155"/>
      <c r="L1165" s="155"/>
      <c r="M1165" s="155"/>
      <c r="N1165" s="155"/>
      <c r="O1165" s="155"/>
    </row>
    <row r="1166" spans="1:15" ht="132">
      <c r="A1166" s="395"/>
      <c r="B1166" s="65" t="s">
        <v>2981</v>
      </c>
      <c r="C1166" s="45" t="s">
        <v>9498</v>
      </c>
      <c r="D1166" s="45" t="s">
        <v>3080</v>
      </c>
      <c r="E1166" s="78" t="s">
        <v>9463</v>
      </c>
      <c r="F1166" s="45" t="s">
        <v>3081</v>
      </c>
      <c r="G1166" s="46" t="s">
        <v>3082</v>
      </c>
      <c r="H1166" s="62" t="s">
        <v>41</v>
      </c>
      <c r="I1166" s="133"/>
      <c r="J1166" s="155"/>
      <c r="K1166" s="155"/>
      <c r="L1166" s="155"/>
      <c r="M1166" s="155"/>
      <c r="N1166" s="155"/>
      <c r="O1166" s="155"/>
    </row>
    <row r="1167" spans="1:15" ht="181.5">
      <c r="A1167" s="395"/>
      <c r="B1167" s="65" t="s">
        <v>2981</v>
      </c>
      <c r="C1167" s="53" t="s">
        <v>9499</v>
      </c>
      <c r="D1167" s="45" t="s">
        <v>3084</v>
      </c>
      <c r="E1167" s="78" t="s">
        <v>9490</v>
      </c>
      <c r="F1167" s="45" t="s">
        <v>3085</v>
      </c>
      <c r="G1167" s="46" t="s">
        <v>3086</v>
      </c>
      <c r="H1167" s="62" t="s">
        <v>62</v>
      </c>
      <c r="I1167" s="133"/>
      <c r="J1167" s="155"/>
      <c r="K1167" s="155"/>
      <c r="L1167" s="155"/>
      <c r="M1167" s="155"/>
      <c r="N1167" s="155"/>
      <c r="O1167" s="155"/>
    </row>
    <row r="1168" spans="1:15" ht="99">
      <c r="A1168" s="395"/>
      <c r="B1168" s="65" t="s">
        <v>2981</v>
      </c>
      <c r="C1168" s="53" t="s">
        <v>9500</v>
      </c>
      <c r="D1168" s="45" t="s">
        <v>3088</v>
      </c>
      <c r="E1168" s="78" t="s">
        <v>9490</v>
      </c>
      <c r="F1168" s="45" t="s">
        <v>3089</v>
      </c>
      <c r="G1168" s="46" t="s">
        <v>3090</v>
      </c>
      <c r="H1168" s="62" t="s">
        <v>41</v>
      </c>
      <c r="I1168" s="133"/>
      <c r="J1168" s="155"/>
      <c r="K1168" s="155"/>
      <c r="L1168" s="155"/>
      <c r="M1168" s="155"/>
      <c r="N1168" s="155"/>
      <c r="O1168" s="155"/>
    </row>
    <row r="1169" spans="1:15" ht="198">
      <c r="A1169" s="395"/>
      <c r="B1169" s="65" t="s">
        <v>2981</v>
      </c>
      <c r="C1169" s="45" t="s">
        <v>9501</v>
      </c>
      <c r="D1169" s="45" t="s">
        <v>3092</v>
      </c>
      <c r="E1169" s="78" t="s">
        <v>9463</v>
      </c>
      <c r="F1169" s="45" t="s">
        <v>9502</v>
      </c>
      <c r="G1169" s="46" t="s">
        <v>3094</v>
      </c>
      <c r="H1169" s="62" t="s">
        <v>62</v>
      </c>
      <c r="I1169" s="133"/>
      <c r="J1169" s="155"/>
      <c r="K1169" s="155"/>
      <c r="L1169" s="155"/>
      <c r="M1169" s="155"/>
      <c r="N1169" s="155"/>
      <c r="O1169" s="155"/>
    </row>
    <row r="1170" spans="1:15" ht="409.5">
      <c r="A1170" s="395"/>
      <c r="B1170" s="65" t="s">
        <v>2981</v>
      </c>
      <c r="C1170" s="45" t="s">
        <v>9503</v>
      </c>
      <c r="D1170" s="45" t="s">
        <v>3095</v>
      </c>
      <c r="E1170" s="78" t="s">
        <v>9463</v>
      </c>
      <c r="F1170" s="45" t="s">
        <v>9504</v>
      </c>
      <c r="G1170" s="46" t="s">
        <v>3096</v>
      </c>
      <c r="H1170" s="62" t="s">
        <v>36</v>
      </c>
      <c r="I1170" s="133"/>
      <c r="J1170" s="155"/>
      <c r="K1170" s="155"/>
      <c r="L1170" s="155"/>
      <c r="M1170" s="155"/>
      <c r="N1170" s="155"/>
      <c r="O1170" s="155"/>
    </row>
    <row r="1171" spans="1:15" ht="231">
      <c r="A1171" s="395"/>
      <c r="B1171" s="65" t="s">
        <v>2981</v>
      </c>
      <c r="C1171" s="45" t="s">
        <v>9505</v>
      </c>
      <c r="D1171" s="45" t="s">
        <v>3097</v>
      </c>
      <c r="E1171" s="78" t="s">
        <v>9463</v>
      </c>
      <c r="F1171" s="45" t="s">
        <v>9506</v>
      </c>
      <c r="G1171" s="46" t="s">
        <v>3099</v>
      </c>
      <c r="H1171" s="62" t="s">
        <v>24</v>
      </c>
      <c r="I1171" s="133"/>
      <c r="J1171" s="155"/>
      <c r="K1171" s="155"/>
      <c r="L1171" s="155"/>
      <c r="M1171" s="155"/>
      <c r="N1171" s="155"/>
      <c r="O1171" s="155"/>
    </row>
    <row r="1172" spans="1:15" ht="409.5">
      <c r="A1172" s="395"/>
      <c r="B1172" s="65" t="s">
        <v>2981</v>
      </c>
      <c r="C1172" s="45" t="s">
        <v>9507</v>
      </c>
      <c r="D1172" s="45" t="s">
        <v>3101</v>
      </c>
      <c r="E1172" s="78" t="s">
        <v>9463</v>
      </c>
      <c r="F1172" s="45" t="s">
        <v>9508</v>
      </c>
      <c r="G1172" s="46" t="s">
        <v>3103</v>
      </c>
      <c r="H1172" s="62" t="s">
        <v>30</v>
      </c>
      <c r="I1172" s="133"/>
      <c r="J1172" s="155"/>
      <c r="K1172" s="155"/>
      <c r="L1172" s="155"/>
      <c r="M1172" s="155"/>
      <c r="N1172" s="155"/>
      <c r="O1172" s="155"/>
    </row>
    <row r="1173" spans="1:15" ht="165">
      <c r="A1173" s="83"/>
      <c r="B1173" s="65" t="s">
        <v>2981</v>
      </c>
      <c r="C1173" s="45" t="s">
        <v>9509</v>
      </c>
      <c r="D1173" s="45" t="s">
        <v>3104</v>
      </c>
      <c r="E1173" s="78" t="s">
        <v>9463</v>
      </c>
      <c r="F1173" s="45" t="s">
        <v>3105</v>
      </c>
      <c r="G1173" s="46" t="s">
        <v>3106</v>
      </c>
      <c r="H1173" s="62" t="s">
        <v>41</v>
      </c>
      <c r="I1173" s="133"/>
      <c r="J1173" s="155"/>
      <c r="K1173" s="155"/>
      <c r="L1173" s="155"/>
      <c r="M1173" s="155"/>
      <c r="N1173" s="155"/>
      <c r="O1173" s="155"/>
    </row>
    <row r="1174" spans="1:15" ht="247.5">
      <c r="A1174" s="85" t="s">
        <v>3107</v>
      </c>
      <c r="B1174" s="63" t="s">
        <v>3107</v>
      </c>
      <c r="C1174" s="45" t="s">
        <v>9510</v>
      </c>
      <c r="D1174" s="45" t="s">
        <v>3109</v>
      </c>
      <c r="E1174" s="78" t="s">
        <v>9511</v>
      </c>
      <c r="F1174" s="45" t="s">
        <v>9512</v>
      </c>
      <c r="G1174" s="46" t="s">
        <v>3112</v>
      </c>
      <c r="H1174" s="62" t="s">
        <v>30</v>
      </c>
      <c r="I1174" s="133"/>
      <c r="J1174" s="155"/>
      <c r="K1174" s="155"/>
      <c r="L1174" s="155"/>
      <c r="M1174" s="155"/>
      <c r="N1174" s="155"/>
      <c r="O1174" s="155"/>
    </row>
    <row r="1175" spans="1:15" ht="132">
      <c r="A1175" s="86"/>
      <c r="B1175" s="63" t="s">
        <v>3107</v>
      </c>
      <c r="C1175" s="45" t="s">
        <v>9513</v>
      </c>
      <c r="D1175" s="45" t="s">
        <v>3114</v>
      </c>
      <c r="E1175" s="78" t="s">
        <v>9511</v>
      </c>
      <c r="F1175" s="45" t="s">
        <v>9514</v>
      </c>
      <c r="G1175" s="46" t="s">
        <v>3116</v>
      </c>
      <c r="H1175" s="62" t="s">
        <v>24</v>
      </c>
      <c r="I1175" s="133"/>
      <c r="J1175" s="155"/>
      <c r="K1175" s="155"/>
      <c r="L1175" s="155"/>
      <c r="M1175" s="155"/>
      <c r="N1175" s="155"/>
      <c r="O1175" s="155"/>
    </row>
    <row r="1176" spans="1:15" ht="231">
      <c r="A1176" s="86"/>
      <c r="B1176" s="63" t="s">
        <v>3107</v>
      </c>
      <c r="C1176" s="45" t="s">
        <v>9515</v>
      </c>
      <c r="D1176" s="45" t="s">
        <v>3118</v>
      </c>
      <c r="E1176" s="78" t="s">
        <v>9516</v>
      </c>
      <c r="F1176" s="45" t="s">
        <v>9517</v>
      </c>
      <c r="G1176" s="46" t="s">
        <v>3121</v>
      </c>
      <c r="H1176" s="62" t="s">
        <v>30</v>
      </c>
      <c r="I1176" s="133"/>
      <c r="J1176" s="155"/>
      <c r="K1176" s="155"/>
      <c r="L1176" s="155"/>
      <c r="M1176" s="155"/>
      <c r="N1176" s="155"/>
      <c r="O1176" s="155"/>
    </row>
    <row r="1177" spans="1:15" ht="115.5">
      <c r="A1177" s="86"/>
      <c r="B1177" s="63" t="s">
        <v>3107</v>
      </c>
      <c r="C1177" s="45" t="s">
        <v>9518</v>
      </c>
      <c r="D1177" s="45" t="s">
        <v>3123</v>
      </c>
      <c r="E1177" s="78" t="s">
        <v>9511</v>
      </c>
      <c r="F1177" s="45" t="s">
        <v>9519</v>
      </c>
      <c r="G1177" s="46" t="s">
        <v>3125</v>
      </c>
      <c r="H1177" s="62" t="s">
        <v>36</v>
      </c>
      <c r="I1177" s="133"/>
      <c r="J1177" s="155"/>
      <c r="K1177" s="155"/>
      <c r="L1177" s="155"/>
      <c r="M1177" s="155"/>
      <c r="N1177" s="155"/>
      <c r="O1177" s="155"/>
    </row>
    <row r="1178" spans="1:15" ht="132">
      <c r="A1178" s="86"/>
      <c r="B1178" s="63" t="s">
        <v>3107</v>
      </c>
      <c r="C1178" s="45" t="s">
        <v>9520</v>
      </c>
      <c r="D1178" s="45" t="s">
        <v>3127</v>
      </c>
      <c r="E1178" s="78" t="s">
        <v>9511</v>
      </c>
      <c r="F1178" s="45" t="s">
        <v>9521</v>
      </c>
      <c r="G1178" s="46" t="s">
        <v>3129</v>
      </c>
      <c r="H1178" s="62" t="s">
        <v>24</v>
      </c>
      <c r="I1178" s="133"/>
      <c r="J1178" s="155"/>
      <c r="K1178" s="155"/>
      <c r="L1178" s="155"/>
      <c r="M1178" s="155"/>
      <c r="N1178" s="155"/>
      <c r="O1178" s="155"/>
    </row>
    <row r="1179" spans="1:15" ht="132">
      <c r="A1179" s="86"/>
      <c r="B1179" s="63" t="s">
        <v>3107</v>
      </c>
      <c r="C1179" s="45" t="s">
        <v>9522</v>
      </c>
      <c r="D1179" s="45" t="s">
        <v>3131</v>
      </c>
      <c r="E1179" s="78" t="s">
        <v>9511</v>
      </c>
      <c r="F1179" s="45" t="s">
        <v>9523</v>
      </c>
      <c r="G1179" s="46" t="s">
        <v>3133</v>
      </c>
      <c r="H1179" s="62" t="s">
        <v>24</v>
      </c>
      <c r="I1179" s="133"/>
      <c r="J1179" s="155"/>
      <c r="K1179" s="155"/>
      <c r="L1179" s="155"/>
      <c r="M1179" s="155"/>
      <c r="N1179" s="155"/>
      <c r="O1179" s="155"/>
    </row>
    <row r="1180" spans="1:15" ht="99">
      <c r="A1180" s="86"/>
      <c r="B1180" s="63" t="s">
        <v>3107</v>
      </c>
      <c r="C1180" s="45" t="s">
        <v>9524</v>
      </c>
      <c r="D1180" s="45" t="s">
        <v>3134</v>
      </c>
      <c r="E1180" s="78" t="s">
        <v>9511</v>
      </c>
      <c r="F1180" s="45" t="s">
        <v>9525</v>
      </c>
      <c r="G1180" s="46" t="s">
        <v>3135</v>
      </c>
      <c r="H1180" s="62" t="s">
        <v>36</v>
      </c>
      <c r="I1180" s="133"/>
      <c r="J1180" s="155"/>
      <c r="K1180" s="155"/>
      <c r="L1180" s="155"/>
      <c r="M1180" s="155"/>
      <c r="N1180" s="155"/>
      <c r="O1180" s="155"/>
    </row>
    <row r="1181" spans="1:15" ht="132">
      <c r="A1181" s="86"/>
      <c r="B1181" s="63" t="s">
        <v>3107</v>
      </c>
      <c r="C1181" s="45" t="s">
        <v>9526</v>
      </c>
      <c r="D1181" s="45" t="s">
        <v>3137</v>
      </c>
      <c r="E1181" s="78" t="s">
        <v>9511</v>
      </c>
      <c r="F1181" s="45" t="s">
        <v>9527</v>
      </c>
      <c r="G1181" s="46" t="s">
        <v>3139</v>
      </c>
      <c r="H1181" s="62" t="s">
        <v>36</v>
      </c>
      <c r="I1181" s="133"/>
      <c r="J1181" s="155"/>
      <c r="K1181" s="155"/>
      <c r="L1181" s="155"/>
      <c r="M1181" s="155"/>
      <c r="N1181" s="155"/>
      <c r="O1181" s="155"/>
    </row>
    <row r="1182" spans="1:15" ht="165">
      <c r="A1182" s="86"/>
      <c r="B1182" s="63" t="s">
        <v>3107</v>
      </c>
      <c r="C1182" s="45" t="s">
        <v>9528</v>
      </c>
      <c r="D1182" s="45" t="s">
        <v>3141</v>
      </c>
      <c r="E1182" s="78" t="s">
        <v>9511</v>
      </c>
      <c r="F1182" s="45" t="s">
        <v>9529</v>
      </c>
      <c r="G1182" s="46" t="s">
        <v>3143</v>
      </c>
      <c r="H1182" s="62" t="s">
        <v>24</v>
      </c>
      <c r="I1182" s="133"/>
      <c r="J1182" s="155"/>
      <c r="K1182" s="155"/>
      <c r="L1182" s="155"/>
      <c r="M1182" s="155"/>
      <c r="N1182" s="155"/>
      <c r="O1182" s="155"/>
    </row>
    <row r="1183" spans="1:15" ht="132">
      <c r="A1183" s="86"/>
      <c r="B1183" s="63" t="s">
        <v>3107</v>
      </c>
      <c r="C1183" s="45" t="s">
        <v>9530</v>
      </c>
      <c r="D1183" s="45" t="s">
        <v>3145</v>
      </c>
      <c r="E1183" s="78" t="s">
        <v>9531</v>
      </c>
      <c r="F1183" s="45" t="s">
        <v>9532</v>
      </c>
      <c r="G1183" s="46" t="s">
        <v>3148</v>
      </c>
      <c r="H1183" s="62" t="s">
        <v>30</v>
      </c>
      <c r="I1183" s="133"/>
      <c r="J1183" s="155"/>
      <c r="K1183" s="155"/>
      <c r="L1183" s="155"/>
      <c r="M1183" s="155"/>
      <c r="N1183" s="155"/>
      <c r="O1183" s="155"/>
    </row>
    <row r="1184" spans="1:15" ht="214.5">
      <c r="A1184" s="86"/>
      <c r="B1184" s="63" t="s">
        <v>3107</v>
      </c>
      <c r="C1184" s="45" t="s">
        <v>9533</v>
      </c>
      <c r="D1184" s="45" t="s">
        <v>3153</v>
      </c>
      <c r="E1184" s="78" t="s">
        <v>9511</v>
      </c>
      <c r="F1184" s="45" t="s">
        <v>9534</v>
      </c>
      <c r="G1184" s="46" t="s">
        <v>3154</v>
      </c>
      <c r="H1184" s="62" t="s">
        <v>41</v>
      </c>
      <c r="I1184" s="133"/>
      <c r="J1184" s="155"/>
      <c r="K1184" s="155"/>
      <c r="L1184" s="155"/>
      <c r="M1184" s="155"/>
      <c r="N1184" s="155"/>
      <c r="O1184" s="155"/>
    </row>
    <row r="1185" spans="1:15" ht="214.5">
      <c r="A1185" s="86"/>
      <c r="B1185" s="63" t="s">
        <v>3107</v>
      </c>
      <c r="C1185" s="45" t="s">
        <v>9535</v>
      </c>
      <c r="D1185" s="45" t="s">
        <v>3156</v>
      </c>
      <c r="E1185" s="78" t="s">
        <v>9511</v>
      </c>
      <c r="F1185" s="45" t="s">
        <v>9536</v>
      </c>
      <c r="G1185" s="46" t="s">
        <v>3157</v>
      </c>
      <c r="H1185" s="62" t="s">
        <v>41</v>
      </c>
      <c r="I1185" s="133"/>
      <c r="J1185" s="155"/>
      <c r="K1185" s="155"/>
      <c r="L1185" s="155"/>
      <c r="M1185" s="155"/>
      <c r="N1185" s="155"/>
      <c r="O1185" s="155"/>
    </row>
    <row r="1186" spans="1:15" ht="214.5">
      <c r="A1186" s="86"/>
      <c r="B1186" s="63" t="s">
        <v>3107</v>
      </c>
      <c r="C1186" s="45" t="s">
        <v>9537</v>
      </c>
      <c r="D1186" s="45" t="s">
        <v>3159</v>
      </c>
      <c r="E1186" s="78" t="s">
        <v>9511</v>
      </c>
      <c r="F1186" s="116" t="s">
        <v>9538</v>
      </c>
      <c r="G1186" s="46" t="s">
        <v>3160</v>
      </c>
      <c r="H1186" s="62" t="s">
        <v>41</v>
      </c>
      <c r="I1186" s="133"/>
      <c r="J1186" s="155"/>
      <c r="K1186" s="155"/>
      <c r="L1186" s="155"/>
      <c r="M1186" s="155"/>
      <c r="N1186" s="155"/>
      <c r="O1186" s="155"/>
    </row>
    <row r="1187" spans="1:15" ht="214.5">
      <c r="A1187" s="86"/>
      <c r="B1187" s="63" t="s">
        <v>3107</v>
      </c>
      <c r="C1187" s="45" t="s">
        <v>9539</v>
      </c>
      <c r="D1187" s="45" t="s">
        <v>3162</v>
      </c>
      <c r="E1187" s="78" t="s">
        <v>9511</v>
      </c>
      <c r="F1187" s="45" t="s">
        <v>9540</v>
      </c>
      <c r="G1187" s="46" t="s">
        <v>3163</v>
      </c>
      <c r="H1187" s="62" t="s">
        <v>41</v>
      </c>
      <c r="I1187" s="133"/>
      <c r="J1187" s="155"/>
      <c r="K1187" s="155"/>
      <c r="L1187" s="155"/>
      <c r="M1187" s="155"/>
      <c r="N1187" s="155"/>
      <c r="O1187" s="155"/>
    </row>
    <row r="1188" spans="1:15" ht="231">
      <c r="A1188" s="86"/>
      <c r="B1188" s="63" t="s">
        <v>3107</v>
      </c>
      <c r="C1188" s="45" t="s">
        <v>9541</v>
      </c>
      <c r="D1188" s="45" t="s">
        <v>3165</v>
      </c>
      <c r="E1188" s="78" t="s">
        <v>9511</v>
      </c>
      <c r="F1188" s="45" t="s">
        <v>9542</v>
      </c>
      <c r="G1188" s="46" t="s">
        <v>3166</v>
      </c>
      <c r="H1188" s="62" t="s">
        <v>41</v>
      </c>
      <c r="I1188" s="133"/>
      <c r="J1188" s="155"/>
      <c r="K1188" s="155"/>
      <c r="L1188" s="155"/>
      <c r="M1188" s="155"/>
      <c r="N1188" s="155"/>
      <c r="O1188" s="155"/>
    </row>
    <row r="1189" spans="1:15" ht="115.5">
      <c r="A1189" s="86"/>
      <c r="B1189" s="63" t="s">
        <v>3107</v>
      </c>
      <c r="C1189" s="45" t="s">
        <v>9543</v>
      </c>
      <c r="D1189" s="45" t="s">
        <v>3168</v>
      </c>
      <c r="E1189" s="78" t="s">
        <v>9511</v>
      </c>
      <c r="F1189" s="45" t="s">
        <v>9544</v>
      </c>
      <c r="G1189" s="46" t="s">
        <v>3170</v>
      </c>
      <c r="H1189" s="62" t="s">
        <v>24</v>
      </c>
      <c r="I1189" s="133"/>
      <c r="J1189" s="155"/>
      <c r="K1189" s="155"/>
      <c r="L1189" s="155"/>
      <c r="M1189" s="155"/>
      <c r="N1189" s="155"/>
      <c r="O1189" s="155"/>
    </row>
    <row r="1190" spans="1:15" ht="264">
      <c r="A1190" s="86"/>
      <c r="B1190" s="63" t="s">
        <v>3107</v>
      </c>
      <c r="C1190" s="45" t="s">
        <v>9545</v>
      </c>
      <c r="D1190" s="45" t="s">
        <v>3172</v>
      </c>
      <c r="E1190" s="78" t="s">
        <v>9511</v>
      </c>
      <c r="F1190" s="45" t="s">
        <v>9546</v>
      </c>
      <c r="G1190" s="46" t="s">
        <v>3173</v>
      </c>
      <c r="H1190" s="62" t="s">
        <v>36</v>
      </c>
      <c r="I1190" s="133"/>
      <c r="J1190" s="155"/>
      <c r="K1190" s="155"/>
      <c r="L1190" s="155"/>
      <c r="M1190" s="155"/>
      <c r="N1190" s="155"/>
      <c r="O1190" s="155"/>
    </row>
    <row r="1191" spans="1:15" ht="264">
      <c r="A1191" s="86"/>
      <c r="B1191" s="63" t="s">
        <v>3107</v>
      </c>
      <c r="C1191" s="45" t="s">
        <v>9547</v>
      </c>
      <c r="D1191" s="45" t="s">
        <v>3174</v>
      </c>
      <c r="E1191" s="78" t="s">
        <v>9511</v>
      </c>
      <c r="F1191" s="45" t="s">
        <v>9548</v>
      </c>
      <c r="G1191" s="46" t="s">
        <v>3175</v>
      </c>
      <c r="H1191" s="62" t="s">
        <v>36</v>
      </c>
      <c r="I1191" s="133"/>
      <c r="J1191" s="155"/>
      <c r="K1191" s="155"/>
      <c r="L1191" s="155"/>
      <c r="M1191" s="155"/>
      <c r="N1191" s="155"/>
      <c r="O1191" s="155"/>
    </row>
    <row r="1192" spans="1:15" ht="132">
      <c r="A1192" s="86"/>
      <c r="B1192" s="63" t="s">
        <v>3107</v>
      </c>
      <c r="C1192" s="45" t="s">
        <v>9549</v>
      </c>
      <c r="D1192" s="45" t="s">
        <v>3177</v>
      </c>
      <c r="E1192" s="78" t="s">
        <v>9511</v>
      </c>
      <c r="F1192" s="45" t="s">
        <v>9550</v>
      </c>
      <c r="G1192" s="46" t="s">
        <v>3179</v>
      </c>
      <c r="H1192" s="62" t="s">
        <v>24</v>
      </c>
      <c r="I1192" s="133"/>
      <c r="J1192" s="155"/>
      <c r="K1192" s="155"/>
      <c r="L1192" s="155"/>
      <c r="M1192" s="155"/>
      <c r="N1192" s="155"/>
      <c r="O1192" s="155"/>
    </row>
    <row r="1193" spans="1:15" ht="132">
      <c r="A1193" s="86"/>
      <c r="B1193" s="63" t="s">
        <v>3107</v>
      </c>
      <c r="C1193" s="45" t="s">
        <v>9551</v>
      </c>
      <c r="D1193" s="45" t="s">
        <v>3181</v>
      </c>
      <c r="E1193" s="78" t="s">
        <v>9552</v>
      </c>
      <c r="F1193" s="45" t="s">
        <v>9553</v>
      </c>
      <c r="G1193" s="46" t="s">
        <v>3184</v>
      </c>
      <c r="H1193" s="62" t="s">
        <v>30</v>
      </c>
      <c r="I1193" s="133"/>
      <c r="J1193" s="155"/>
      <c r="K1193" s="155"/>
      <c r="L1193" s="155"/>
      <c r="M1193" s="155"/>
      <c r="N1193" s="155"/>
      <c r="O1193" s="155"/>
    </row>
    <row r="1194" spans="1:15" ht="82.5">
      <c r="A1194" s="86"/>
      <c r="B1194" s="63" t="s">
        <v>3107</v>
      </c>
      <c r="C1194" s="45" t="s">
        <v>9554</v>
      </c>
      <c r="D1194" s="45" t="s">
        <v>3186</v>
      </c>
      <c r="E1194" s="78" t="s">
        <v>6622</v>
      </c>
      <c r="F1194" s="45" t="s">
        <v>9555</v>
      </c>
      <c r="G1194" s="46" t="s">
        <v>3188</v>
      </c>
      <c r="H1194" s="62" t="s">
        <v>24</v>
      </c>
      <c r="I1194" s="133"/>
      <c r="J1194" s="155"/>
      <c r="K1194" s="155"/>
      <c r="L1194" s="155"/>
      <c r="M1194" s="155"/>
      <c r="N1194" s="155"/>
      <c r="O1194" s="155"/>
    </row>
    <row r="1195" spans="1:15" ht="198">
      <c r="A1195" s="86"/>
      <c r="B1195" s="63" t="s">
        <v>3107</v>
      </c>
      <c r="C1195" s="45" t="s">
        <v>9556</v>
      </c>
      <c r="D1195" s="45" t="s">
        <v>3190</v>
      </c>
      <c r="E1195" s="78" t="s">
        <v>9511</v>
      </c>
      <c r="F1195" s="45" t="s">
        <v>9557</v>
      </c>
      <c r="G1195" s="46" t="s">
        <v>3191</v>
      </c>
      <c r="H1195" s="62" t="s">
        <v>24</v>
      </c>
      <c r="I1195" s="133"/>
      <c r="J1195" s="155"/>
      <c r="K1195" s="155"/>
      <c r="L1195" s="155"/>
      <c r="M1195" s="155"/>
      <c r="N1195" s="155"/>
      <c r="O1195" s="155"/>
    </row>
    <row r="1196" spans="1:15" ht="214.5">
      <c r="A1196" s="86"/>
      <c r="B1196" s="63" t="s">
        <v>3107</v>
      </c>
      <c r="C1196" s="45" t="s">
        <v>9558</v>
      </c>
      <c r="D1196" s="45" t="s">
        <v>3193</v>
      </c>
      <c r="E1196" s="78" t="s">
        <v>9511</v>
      </c>
      <c r="F1196" s="45" t="s">
        <v>9559</v>
      </c>
      <c r="G1196" s="46" t="s">
        <v>3194</v>
      </c>
      <c r="H1196" s="62" t="s">
        <v>24</v>
      </c>
      <c r="I1196" s="133"/>
      <c r="J1196" s="155"/>
      <c r="K1196" s="155"/>
      <c r="L1196" s="155"/>
      <c r="M1196" s="155"/>
      <c r="N1196" s="155"/>
      <c r="O1196" s="155"/>
    </row>
    <row r="1197" spans="1:15" ht="148.5">
      <c r="A1197" s="86"/>
      <c r="B1197" s="63" t="s">
        <v>3107</v>
      </c>
      <c r="C1197" s="45" t="s">
        <v>9560</v>
      </c>
      <c r="D1197" s="45" t="s">
        <v>3196</v>
      </c>
      <c r="E1197" s="78" t="s">
        <v>9511</v>
      </c>
      <c r="F1197" s="45" t="s">
        <v>9561</v>
      </c>
      <c r="G1197" s="46" t="s">
        <v>3198</v>
      </c>
      <c r="H1197" s="62" t="s">
        <v>36</v>
      </c>
      <c r="I1197" s="133"/>
      <c r="J1197" s="155"/>
      <c r="K1197" s="155"/>
      <c r="L1197" s="155"/>
      <c r="M1197" s="155"/>
      <c r="N1197" s="155"/>
      <c r="O1197" s="155"/>
    </row>
    <row r="1198" spans="1:15" ht="181.5">
      <c r="A1198" s="86"/>
      <c r="B1198" s="63" t="s">
        <v>3107</v>
      </c>
      <c r="C1198" s="45" t="s">
        <v>9562</v>
      </c>
      <c r="D1198" s="45" t="s">
        <v>3200</v>
      </c>
      <c r="E1198" s="78" t="s">
        <v>9511</v>
      </c>
      <c r="F1198" s="45" t="s">
        <v>9563</v>
      </c>
      <c r="G1198" s="46" t="s">
        <v>3202</v>
      </c>
      <c r="H1198" s="62" t="s">
        <v>24</v>
      </c>
      <c r="I1198" s="133"/>
      <c r="J1198" s="155"/>
      <c r="K1198" s="155"/>
      <c r="L1198" s="155"/>
      <c r="M1198" s="155"/>
      <c r="N1198" s="155"/>
      <c r="O1198" s="155"/>
    </row>
    <row r="1199" spans="1:15" ht="148.5">
      <c r="A1199" s="86"/>
      <c r="B1199" s="63" t="s">
        <v>3107</v>
      </c>
      <c r="C1199" s="45" t="s">
        <v>9564</v>
      </c>
      <c r="D1199" s="45" t="s">
        <v>9565</v>
      </c>
      <c r="E1199" s="78" t="s">
        <v>9511</v>
      </c>
      <c r="F1199" s="45" t="s">
        <v>9566</v>
      </c>
      <c r="G1199" s="46" t="s">
        <v>9567</v>
      </c>
      <c r="H1199" s="62" t="s">
        <v>36</v>
      </c>
      <c r="I1199" s="133"/>
      <c r="J1199" s="155"/>
      <c r="K1199" s="155"/>
      <c r="L1199" s="155"/>
      <c r="M1199" s="155"/>
      <c r="N1199" s="155"/>
      <c r="O1199" s="155"/>
    </row>
    <row r="1200" spans="1:15" ht="165">
      <c r="A1200" s="86"/>
      <c r="B1200" s="63" t="s">
        <v>3107</v>
      </c>
      <c r="C1200" s="45" t="s">
        <v>9568</v>
      </c>
      <c r="D1200" s="45" t="s">
        <v>3206</v>
      </c>
      <c r="E1200" s="78" t="s">
        <v>9511</v>
      </c>
      <c r="F1200" s="45" t="s">
        <v>3207</v>
      </c>
      <c r="G1200" s="46" t="s">
        <v>3208</v>
      </c>
      <c r="H1200" s="62" t="s">
        <v>24</v>
      </c>
      <c r="I1200" s="133"/>
      <c r="J1200" s="155"/>
      <c r="K1200" s="155"/>
      <c r="L1200" s="155"/>
      <c r="M1200" s="155"/>
      <c r="N1200" s="155"/>
      <c r="O1200" s="155"/>
    </row>
    <row r="1201" spans="1:15" ht="132">
      <c r="A1201" s="86"/>
      <c r="B1201" s="66" t="s">
        <v>3107</v>
      </c>
      <c r="C1201" s="59" t="s">
        <v>9569</v>
      </c>
      <c r="D1201" s="59" t="s">
        <v>3210</v>
      </c>
      <c r="E1201" s="82" t="s">
        <v>9516</v>
      </c>
      <c r="F1201" s="59" t="s">
        <v>3211</v>
      </c>
      <c r="G1201" s="89" t="s">
        <v>3212</v>
      </c>
      <c r="H1201" s="123" t="s">
        <v>24</v>
      </c>
      <c r="I1201" s="134"/>
      <c r="J1201" s="155"/>
      <c r="K1201" s="155"/>
      <c r="L1201" s="155"/>
      <c r="M1201" s="155"/>
      <c r="N1201" s="155"/>
      <c r="O1201" s="155"/>
    </row>
    <row r="1202" spans="1:15" ht="99">
      <c r="A1202" s="86"/>
      <c r="B1202" s="63" t="s">
        <v>3107</v>
      </c>
      <c r="C1202" s="45" t="s">
        <v>9570</v>
      </c>
      <c r="D1202" s="45" t="s">
        <v>3214</v>
      </c>
      <c r="E1202" s="78" t="s">
        <v>9511</v>
      </c>
      <c r="F1202" s="45" t="s">
        <v>9571</v>
      </c>
      <c r="G1202" s="46" t="s">
        <v>3215</v>
      </c>
      <c r="H1202" s="62" t="s">
        <v>24</v>
      </c>
      <c r="I1202" s="133"/>
      <c r="J1202" s="155"/>
      <c r="K1202" s="155"/>
      <c r="L1202" s="155"/>
      <c r="M1202" s="155"/>
      <c r="N1202" s="155"/>
      <c r="O1202" s="155"/>
    </row>
    <row r="1203" spans="1:15" ht="115.5">
      <c r="A1203" s="86"/>
      <c r="B1203" s="63" t="s">
        <v>3107</v>
      </c>
      <c r="C1203" s="45" t="s">
        <v>9572</v>
      </c>
      <c r="D1203" s="45" t="s">
        <v>3217</v>
      </c>
      <c r="E1203" s="78" t="s">
        <v>9511</v>
      </c>
      <c r="F1203" s="45" t="s">
        <v>9573</v>
      </c>
      <c r="G1203" s="46" t="s">
        <v>3219</v>
      </c>
      <c r="H1203" s="62" t="s">
        <v>24</v>
      </c>
      <c r="I1203" s="133"/>
      <c r="J1203" s="155"/>
      <c r="K1203" s="155"/>
      <c r="L1203" s="155"/>
      <c r="M1203" s="155"/>
      <c r="N1203" s="155"/>
      <c r="O1203" s="155"/>
    </row>
    <row r="1204" spans="1:15" ht="82.5">
      <c r="A1204" s="86"/>
      <c r="B1204" s="63" t="s">
        <v>3107</v>
      </c>
      <c r="C1204" s="45" t="s">
        <v>9574</v>
      </c>
      <c r="D1204" s="45" t="s">
        <v>3221</v>
      </c>
      <c r="E1204" s="78" t="s">
        <v>9511</v>
      </c>
      <c r="F1204" s="45" t="s">
        <v>3222</v>
      </c>
      <c r="G1204" s="46" t="s">
        <v>3223</v>
      </c>
      <c r="H1204" s="62" t="s">
        <v>36</v>
      </c>
      <c r="I1204" s="133"/>
      <c r="J1204" s="155"/>
      <c r="K1204" s="155"/>
      <c r="L1204" s="155"/>
      <c r="M1204" s="155"/>
      <c r="N1204" s="155"/>
      <c r="O1204" s="155"/>
    </row>
    <row r="1205" spans="1:15" ht="99">
      <c r="A1205" s="86"/>
      <c r="B1205" s="63" t="s">
        <v>3107</v>
      </c>
      <c r="C1205" s="45" t="s">
        <v>9575</v>
      </c>
      <c r="D1205" s="45" t="s">
        <v>3225</v>
      </c>
      <c r="E1205" s="78" t="s">
        <v>9511</v>
      </c>
      <c r="F1205" s="45" t="s">
        <v>9576</v>
      </c>
      <c r="G1205" s="46" t="s">
        <v>3227</v>
      </c>
      <c r="H1205" s="62" t="s">
        <v>24</v>
      </c>
      <c r="I1205" s="133"/>
      <c r="J1205" s="155"/>
      <c r="K1205" s="155"/>
      <c r="L1205" s="155"/>
      <c r="M1205" s="155"/>
      <c r="N1205" s="155"/>
      <c r="O1205" s="155"/>
    </row>
    <row r="1206" spans="1:15" ht="99">
      <c r="A1206" s="86"/>
      <c r="B1206" s="63" t="s">
        <v>3107</v>
      </c>
      <c r="C1206" s="45" t="s">
        <v>9577</v>
      </c>
      <c r="D1206" s="45" t="s">
        <v>3228</v>
      </c>
      <c r="E1206" s="78" t="s">
        <v>9511</v>
      </c>
      <c r="F1206" s="45" t="s">
        <v>9578</v>
      </c>
      <c r="G1206" s="46" t="s">
        <v>3230</v>
      </c>
      <c r="H1206" s="62" t="s">
        <v>24</v>
      </c>
      <c r="I1206" s="133"/>
      <c r="J1206" s="155"/>
      <c r="K1206" s="155"/>
      <c r="L1206" s="155"/>
      <c r="M1206" s="155"/>
      <c r="N1206" s="155"/>
      <c r="O1206" s="155"/>
    </row>
    <row r="1207" spans="1:15" ht="82.5">
      <c r="A1207" s="86"/>
      <c r="B1207" s="63" t="s">
        <v>3107</v>
      </c>
      <c r="C1207" s="45" t="s">
        <v>9579</v>
      </c>
      <c r="D1207" s="45" t="s">
        <v>3232</v>
      </c>
      <c r="E1207" s="78" t="s">
        <v>9511</v>
      </c>
      <c r="F1207" s="45" t="s">
        <v>3233</v>
      </c>
      <c r="G1207" s="46" t="s">
        <v>3234</v>
      </c>
      <c r="H1207" s="62" t="s">
        <v>62</v>
      </c>
      <c r="I1207" s="133"/>
      <c r="J1207" s="155"/>
      <c r="K1207" s="155"/>
      <c r="L1207" s="155"/>
      <c r="M1207" s="155"/>
      <c r="N1207" s="155"/>
      <c r="O1207" s="155"/>
    </row>
    <row r="1208" spans="1:15" ht="82.5">
      <c r="A1208" s="86"/>
      <c r="B1208" s="63" t="s">
        <v>3107</v>
      </c>
      <c r="C1208" s="45" t="s">
        <v>9580</v>
      </c>
      <c r="D1208" s="45" t="s">
        <v>3235</v>
      </c>
      <c r="E1208" s="78" t="s">
        <v>5909</v>
      </c>
      <c r="F1208" s="45" t="s">
        <v>9581</v>
      </c>
      <c r="G1208" s="46" t="s">
        <v>3236</v>
      </c>
      <c r="H1208" s="62" t="s">
        <v>24</v>
      </c>
      <c r="I1208" s="133"/>
      <c r="J1208" s="155"/>
      <c r="K1208" s="155"/>
      <c r="L1208" s="155"/>
      <c r="M1208" s="155"/>
      <c r="N1208" s="155"/>
      <c r="O1208" s="155"/>
    </row>
    <row r="1209" spans="1:15" ht="82.5">
      <c r="A1209" s="86"/>
      <c r="B1209" s="63" t="s">
        <v>3107</v>
      </c>
      <c r="C1209" s="45" t="s">
        <v>9582</v>
      </c>
      <c r="D1209" s="45" t="s">
        <v>3238</v>
      </c>
      <c r="E1209" s="78" t="s">
        <v>5909</v>
      </c>
      <c r="F1209" s="45" t="s">
        <v>9583</v>
      </c>
      <c r="G1209" s="46" t="s">
        <v>3240</v>
      </c>
      <c r="H1209" s="62" t="s">
        <v>41</v>
      </c>
      <c r="I1209" s="133"/>
      <c r="J1209" s="155"/>
      <c r="K1209" s="155"/>
      <c r="L1209" s="155"/>
      <c r="M1209" s="155"/>
      <c r="N1209" s="155"/>
      <c r="O1209" s="155"/>
    </row>
    <row r="1210" spans="1:15" ht="165">
      <c r="A1210" s="86"/>
      <c r="B1210" s="63" t="s">
        <v>3107</v>
      </c>
      <c r="C1210" s="45" t="s">
        <v>9584</v>
      </c>
      <c r="D1210" s="45" t="s">
        <v>3241</v>
      </c>
      <c r="E1210" s="78" t="s">
        <v>9511</v>
      </c>
      <c r="F1210" s="45" t="s">
        <v>9585</v>
      </c>
      <c r="G1210" s="46" t="s">
        <v>3242</v>
      </c>
      <c r="H1210" s="62" t="s">
        <v>24</v>
      </c>
      <c r="I1210" s="133"/>
      <c r="J1210" s="155"/>
      <c r="K1210" s="155"/>
      <c r="L1210" s="155"/>
      <c r="M1210" s="155"/>
      <c r="N1210" s="155"/>
      <c r="O1210" s="155"/>
    </row>
    <row r="1211" spans="1:15" ht="165">
      <c r="A1211" s="86"/>
      <c r="B1211" s="63" t="s">
        <v>3107</v>
      </c>
      <c r="C1211" s="45" t="s">
        <v>9586</v>
      </c>
      <c r="D1211" s="45" t="s">
        <v>3244</v>
      </c>
      <c r="E1211" s="78" t="s">
        <v>9511</v>
      </c>
      <c r="F1211" s="45" t="s">
        <v>9587</v>
      </c>
      <c r="G1211" s="46" t="s">
        <v>3246</v>
      </c>
      <c r="H1211" s="62" t="s">
        <v>30</v>
      </c>
      <c r="I1211" s="133"/>
      <c r="J1211" s="155"/>
      <c r="K1211" s="155"/>
      <c r="L1211" s="155"/>
      <c r="M1211" s="155"/>
      <c r="N1211" s="155"/>
      <c r="O1211" s="155"/>
    </row>
    <row r="1212" spans="1:15" ht="165">
      <c r="A1212" s="86"/>
      <c r="B1212" s="63" t="s">
        <v>3107</v>
      </c>
      <c r="C1212" s="45" t="s">
        <v>9588</v>
      </c>
      <c r="D1212" s="45" t="s">
        <v>3248</v>
      </c>
      <c r="E1212" s="78" t="s">
        <v>9511</v>
      </c>
      <c r="F1212" s="45" t="s">
        <v>9589</v>
      </c>
      <c r="G1212" s="46" t="s">
        <v>3250</v>
      </c>
      <c r="H1212" s="62" t="s">
        <v>24</v>
      </c>
      <c r="I1212" s="133"/>
      <c r="J1212" s="155"/>
      <c r="K1212" s="155"/>
      <c r="L1212" s="155"/>
      <c r="M1212" s="155"/>
      <c r="N1212" s="155"/>
      <c r="O1212" s="155"/>
    </row>
    <row r="1213" spans="1:15" ht="165">
      <c r="A1213" s="86"/>
      <c r="B1213" s="63" t="s">
        <v>3107</v>
      </c>
      <c r="C1213" s="45" t="s">
        <v>9590</v>
      </c>
      <c r="D1213" s="45" t="s">
        <v>3252</v>
      </c>
      <c r="E1213" s="78" t="s">
        <v>9511</v>
      </c>
      <c r="F1213" s="45" t="s">
        <v>9591</v>
      </c>
      <c r="G1213" s="46" t="s">
        <v>3254</v>
      </c>
      <c r="H1213" s="62" t="s">
        <v>24</v>
      </c>
      <c r="I1213" s="133"/>
      <c r="J1213" s="155"/>
      <c r="K1213" s="155"/>
      <c r="L1213" s="155"/>
      <c r="M1213" s="155"/>
      <c r="N1213" s="155"/>
      <c r="O1213" s="155"/>
    </row>
    <row r="1214" spans="1:15" ht="181.5">
      <c r="A1214" s="86"/>
      <c r="B1214" s="63" t="s">
        <v>3107</v>
      </c>
      <c r="C1214" s="45" t="s">
        <v>9592</v>
      </c>
      <c r="D1214" s="45" t="s">
        <v>3256</v>
      </c>
      <c r="E1214" s="78" t="s">
        <v>9511</v>
      </c>
      <c r="F1214" s="45" t="s">
        <v>9593</v>
      </c>
      <c r="G1214" s="46" t="s">
        <v>3258</v>
      </c>
      <c r="H1214" s="62" t="s">
        <v>24</v>
      </c>
      <c r="I1214" s="133"/>
      <c r="J1214" s="155"/>
      <c r="K1214" s="155"/>
      <c r="L1214" s="155"/>
      <c r="M1214" s="155"/>
      <c r="N1214" s="155"/>
      <c r="O1214" s="155"/>
    </row>
    <row r="1215" spans="1:15" ht="82.5">
      <c r="A1215" s="86"/>
      <c r="B1215" s="63" t="s">
        <v>3107</v>
      </c>
      <c r="C1215" s="45" t="s">
        <v>9594</v>
      </c>
      <c r="D1215" s="45" t="s">
        <v>3260</v>
      </c>
      <c r="E1215" s="78" t="s">
        <v>3261</v>
      </c>
      <c r="F1215" s="45" t="s">
        <v>9595</v>
      </c>
      <c r="G1215" s="46" t="s">
        <v>3263</v>
      </c>
      <c r="H1215" s="62" t="s">
        <v>24</v>
      </c>
      <c r="I1215" s="133"/>
      <c r="J1215" s="155"/>
      <c r="K1215" s="155"/>
      <c r="L1215" s="155"/>
      <c r="M1215" s="155"/>
      <c r="N1215" s="155"/>
      <c r="O1215" s="155"/>
    </row>
    <row r="1216" spans="1:15" ht="82.5">
      <c r="A1216" s="86"/>
      <c r="B1216" s="63" t="s">
        <v>3107</v>
      </c>
      <c r="C1216" s="45" t="s">
        <v>9596</v>
      </c>
      <c r="D1216" s="45" t="s">
        <v>3265</v>
      </c>
      <c r="E1216" s="78" t="s">
        <v>5909</v>
      </c>
      <c r="F1216" s="45" t="s">
        <v>9597</v>
      </c>
      <c r="G1216" s="46" t="s">
        <v>3267</v>
      </c>
      <c r="H1216" s="62" t="s">
        <v>41</v>
      </c>
      <c r="I1216" s="133"/>
      <c r="J1216" s="155"/>
      <c r="K1216" s="155"/>
      <c r="L1216" s="155"/>
      <c r="M1216" s="155"/>
      <c r="N1216" s="155"/>
      <c r="O1216" s="155"/>
    </row>
    <row r="1217" spans="1:15" ht="115.5">
      <c r="A1217" s="86"/>
      <c r="B1217" s="63" t="s">
        <v>3107</v>
      </c>
      <c r="C1217" s="45" t="s">
        <v>9598</v>
      </c>
      <c r="D1217" s="45" t="s">
        <v>3269</v>
      </c>
      <c r="E1217" s="78" t="s">
        <v>9511</v>
      </c>
      <c r="F1217" s="45" t="s">
        <v>9599</v>
      </c>
      <c r="G1217" s="46" t="s">
        <v>3270</v>
      </c>
      <c r="H1217" s="62" t="s">
        <v>24</v>
      </c>
      <c r="I1217" s="133"/>
      <c r="J1217" s="155"/>
      <c r="K1217" s="155"/>
      <c r="L1217" s="155"/>
      <c r="M1217" s="155"/>
      <c r="N1217" s="155"/>
      <c r="O1217" s="155"/>
    </row>
    <row r="1218" spans="1:15" ht="132">
      <c r="A1218" s="86"/>
      <c r="B1218" s="63" t="s">
        <v>3107</v>
      </c>
      <c r="C1218" s="45" t="s">
        <v>9600</v>
      </c>
      <c r="D1218" s="45" t="s">
        <v>3272</v>
      </c>
      <c r="E1218" s="78" t="s">
        <v>5909</v>
      </c>
      <c r="F1218" s="45" t="s">
        <v>3273</v>
      </c>
      <c r="G1218" s="46" t="s">
        <v>3274</v>
      </c>
      <c r="H1218" s="62" t="s">
        <v>36</v>
      </c>
      <c r="I1218" s="133"/>
      <c r="J1218" s="155"/>
      <c r="K1218" s="155"/>
      <c r="L1218" s="155"/>
      <c r="M1218" s="155"/>
      <c r="N1218" s="155"/>
      <c r="O1218" s="155"/>
    </row>
    <row r="1219" spans="1:15" ht="132">
      <c r="A1219" s="86"/>
      <c r="B1219" s="63" t="s">
        <v>3107</v>
      </c>
      <c r="C1219" s="45" t="s">
        <v>9601</v>
      </c>
      <c r="D1219" s="45" t="s">
        <v>3276</v>
      </c>
      <c r="E1219" s="78" t="s">
        <v>5909</v>
      </c>
      <c r="F1219" s="45" t="s">
        <v>3277</v>
      </c>
      <c r="G1219" s="46" t="s">
        <v>3278</v>
      </c>
      <c r="H1219" s="62" t="s">
        <v>36</v>
      </c>
      <c r="I1219" s="133"/>
      <c r="J1219" s="155"/>
      <c r="K1219" s="155"/>
      <c r="L1219" s="155"/>
      <c r="M1219" s="155"/>
      <c r="N1219" s="155"/>
      <c r="O1219" s="155"/>
    </row>
    <row r="1220" spans="1:15" ht="132">
      <c r="A1220" s="86"/>
      <c r="B1220" s="63" t="s">
        <v>3107</v>
      </c>
      <c r="C1220" s="45" t="s">
        <v>9602</v>
      </c>
      <c r="D1220" s="45" t="s">
        <v>9603</v>
      </c>
      <c r="E1220" s="78" t="s">
        <v>9511</v>
      </c>
      <c r="F1220" s="45" t="s">
        <v>9604</v>
      </c>
      <c r="G1220" s="46" t="s">
        <v>9605</v>
      </c>
      <c r="H1220" s="62" t="s">
        <v>184</v>
      </c>
      <c r="I1220" s="133"/>
      <c r="J1220" s="155"/>
      <c r="K1220" s="155"/>
      <c r="L1220" s="155"/>
      <c r="M1220" s="155"/>
      <c r="N1220" s="155"/>
      <c r="O1220" s="155"/>
    </row>
    <row r="1221" spans="1:15" ht="165">
      <c r="A1221" s="86"/>
      <c r="B1221" s="63" t="s">
        <v>3107</v>
      </c>
      <c r="C1221" s="45" t="s">
        <v>9606</v>
      </c>
      <c r="D1221" s="45" t="s">
        <v>9607</v>
      </c>
      <c r="E1221" s="78" t="s">
        <v>9511</v>
      </c>
      <c r="F1221" s="45" t="s">
        <v>9608</v>
      </c>
      <c r="G1221" s="46" t="s">
        <v>9609</v>
      </c>
      <c r="H1221" s="62" t="s">
        <v>36</v>
      </c>
      <c r="I1221" s="133"/>
      <c r="J1221" s="155"/>
      <c r="K1221" s="155"/>
      <c r="L1221" s="155"/>
      <c r="M1221" s="155"/>
      <c r="N1221" s="155"/>
      <c r="O1221" s="155"/>
    </row>
    <row r="1222" spans="1:15" ht="148.5">
      <c r="A1222" s="86"/>
      <c r="B1222" s="63" t="s">
        <v>3107</v>
      </c>
      <c r="C1222" s="45" t="s">
        <v>9610</v>
      </c>
      <c r="D1222" s="45" t="s">
        <v>9611</v>
      </c>
      <c r="E1222" s="78" t="s">
        <v>9511</v>
      </c>
      <c r="F1222" s="45" t="s">
        <v>9612</v>
      </c>
      <c r="G1222" s="46" t="s">
        <v>9613</v>
      </c>
      <c r="H1222" s="62" t="s">
        <v>36</v>
      </c>
      <c r="I1222" s="133"/>
      <c r="J1222" s="155"/>
      <c r="K1222" s="155"/>
      <c r="L1222" s="155"/>
      <c r="M1222" s="155"/>
      <c r="N1222" s="155"/>
      <c r="O1222" s="155"/>
    </row>
    <row r="1223" spans="1:15" ht="181.5">
      <c r="A1223" s="86"/>
      <c r="B1223" s="66" t="s">
        <v>3107</v>
      </c>
      <c r="C1223" s="53" t="s">
        <v>9614</v>
      </c>
      <c r="D1223" s="53" t="s">
        <v>3286</v>
      </c>
      <c r="E1223" s="73" t="s">
        <v>3287</v>
      </c>
      <c r="F1223" s="53" t="s">
        <v>9615</v>
      </c>
      <c r="G1223" s="60" t="s">
        <v>3288</v>
      </c>
      <c r="H1223" s="62" t="s">
        <v>62</v>
      </c>
      <c r="I1223" s="133"/>
      <c r="J1223" s="155"/>
      <c r="K1223" s="155"/>
      <c r="L1223" s="155"/>
      <c r="M1223" s="155"/>
      <c r="N1223" s="155"/>
      <c r="O1223" s="155"/>
    </row>
    <row r="1224" spans="1:15" ht="148.5">
      <c r="A1224" s="86"/>
      <c r="B1224" s="66" t="s">
        <v>3107</v>
      </c>
      <c r="C1224" s="53" t="s">
        <v>9616</v>
      </c>
      <c r="D1224" s="53" t="s">
        <v>3289</v>
      </c>
      <c r="E1224" s="73" t="s">
        <v>3287</v>
      </c>
      <c r="F1224" s="53" t="s">
        <v>9617</v>
      </c>
      <c r="G1224" s="60" t="s">
        <v>3290</v>
      </c>
      <c r="H1224" s="62" t="s">
        <v>62</v>
      </c>
      <c r="I1224" s="133"/>
      <c r="J1224" s="155"/>
      <c r="K1224" s="155"/>
      <c r="L1224" s="155"/>
      <c r="M1224" s="155"/>
      <c r="N1224" s="155"/>
      <c r="O1224" s="155"/>
    </row>
    <row r="1225" spans="1:15" ht="181.5">
      <c r="A1225" s="86"/>
      <c r="B1225" s="66" t="s">
        <v>3107</v>
      </c>
      <c r="C1225" s="53" t="s">
        <v>9618</v>
      </c>
      <c r="D1225" s="53" t="s">
        <v>3292</v>
      </c>
      <c r="E1225" s="73" t="s">
        <v>2876</v>
      </c>
      <c r="F1225" s="53" t="s">
        <v>3293</v>
      </c>
      <c r="G1225" s="60" t="s">
        <v>3294</v>
      </c>
      <c r="H1225" s="62" t="s">
        <v>62</v>
      </c>
      <c r="I1225" s="133"/>
      <c r="J1225" s="155"/>
      <c r="K1225" s="155"/>
      <c r="L1225" s="155"/>
      <c r="M1225" s="155"/>
      <c r="N1225" s="155"/>
      <c r="O1225" s="155"/>
    </row>
    <row r="1226" spans="1:15" ht="181.5">
      <c r="A1226" s="86"/>
      <c r="B1226" s="66" t="s">
        <v>3107</v>
      </c>
      <c r="C1226" s="53" t="s">
        <v>9619</v>
      </c>
      <c r="D1226" s="53" t="s">
        <v>3296</v>
      </c>
      <c r="E1226" s="73" t="s">
        <v>2876</v>
      </c>
      <c r="F1226" s="53" t="s">
        <v>9620</v>
      </c>
      <c r="G1226" s="60" t="s">
        <v>3298</v>
      </c>
      <c r="H1226" s="62" t="s">
        <v>62</v>
      </c>
      <c r="I1226" s="133"/>
      <c r="J1226" s="155"/>
      <c r="K1226" s="155"/>
      <c r="L1226" s="155"/>
      <c r="M1226" s="155"/>
      <c r="N1226" s="155"/>
      <c r="O1226" s="155"/>
    </row>
    <row r="1227" spans="1:15" ht="181.5">
      <c r="A1227" s="86"/>
      <c r="B1227" s="66" t="s">
        <v>3107</v>
      </c>
      <c r="C1227" s="53" t="s">
        <v>9621</v>
      </c>
      <c r="D1227" s="45" t="s">
        <v>3300</v>
      </c>
      <c r="E1227" s="73" t="s">
        <v>2876</v>
      </c>
      <c r="F1227" s="45" t="s">
        <v>9622</v>
      </c>
      <c r="G1227" s="60" t="s">
        <v>3302</v>
      </c>
      <c r="H1227" s="62" t="s">
        <v>62</v>
      </c>
      <c r="I1227" s="133"/>
      <c r="J1227" s="155"/>
      <c r="K1227" s="155"/>
      <c r="L1227" s="155"/>
      <c r="M1227" s="155"/>
      <c r="N1227" s="155"/>
      <c r="O1227" s="155"/>
    </row>
    <row r="1228" spans="1:15" ht="82.5">
      <c r="A1228" s="86"/>
      <c r="B1228" s="63" t="s">
        <v>3107</v>
      </c>
      <c r="C1228" s="45" t="s">
        <v>9623</v>
      </c>
      <c r="D1228" s="45" t="s">
        <v>3304</v>
      </c>
      <c r="E1228" s="78" t="s">
        <v>9511</v>
      </c>
      <c r="F1228" s="45" t="s">
        <v>9624</v>
      </c>
      <c r="G1228" s="46" t="s">
        <v>9625</v>
      </c>
      <c r="H1228" s="62" t="s">
        <v>24</v>
      </c>
      <c r="I1228" s="133"/>
      <c r="J1228" s="155"/>
      <c r="K1228" s="155"/>
      <c r="L1228" s="155"/>
      <c r="M1228" s="155"/>
      <c r="N1228" s="155"/>
      <c r="O1228" s="155"/>
    </row>
    <row r="1229" spans="1:15" ht="132">
      <c r="A1229" s="86"/>
      <c r="B1229" s="63" t="s">
        <v>3107</v>
      </c>
      <c r="C1229" s="45" t="s">
        <v>9626</v>
      </c>
      <c r="D1229" s="45" t="s">
        <v>3308</v>
      </c>
      <c r="E1229" s="78" t="s">
        <v>9511</v>
      </c>
      <c r="F1229" s="45" t="s">
        <v>3309</v>
      </c>
      <c r="G1229" s="46" t="s">
        <v>3310</v>
      </c>
      <c r="H1229" s="62" t="s">
        <v>36</v>
      </c>
      <c r="I1229" s="133"/>
      <c r="J1229" s="155"/>
      <c r="K1229" s="155"/>
      <c r="L1229" s="155"/>
      <c r="M1229" s="155"/>
      <c r="N1229" s="155"/>
      <c r="O1229" s="155"/>
    </row>
    <row r="1230" spans="1:15" ht="115.5">
      <c r="A1230" s="86"/>
      <c r="B1230" s="66" t="s">
        <v>3107</v>
      </c>
      <c r="C1230" s="45" t="s">
        <v>9627</v>
      </c>
      <c r="D1230" s="45" t="s">
        <v>3312</v>
      </c>
      <c r="E1230" s="78" t="s">
        <v>9511</v>
      </c>
      <c r="F1230" s="45" t="s">
        <v>3313</v>
      </c>
      <c r="G1230" s="46" t="s">
        <v>3314</v>
      </c>
      <c r="H1230" s="62" t="s">
        <v>41</v>
      </c>
      <c r="I1230" s="133"/>
      <c r="J1230" s="155"/>
      <c r="K1230" s="155"/>
      <c r="L1230" s="155"/>
      <c r="M1230" s="155"/>
      <c r="N1230" s="155"/>
      <c r="O1230" s="155"/>
    </row>
    <row r="1231" spans="1:15" ht="115.5">
      <c r="A1231" s="86"/>
      <c r="B1231" s="63" t="s">
        <v>3107</v>
      </c>
      <c r="C1231" s="45" t="s">
        <v>9628</v>
      </c>
      <c r="D1231" s="45" t="s">
        <v>3316</v>
      </c>
      <c r="E1231" s="78" t="s">
        <v>9511</v>
      </c>
      <c r="F1231" s="45" t="s">
        <v>3317</v>
      </c>
      <c r="G1231" s="46" t="s">
        <v>3318</v>
      </c>
      <c r="H1231" s="62" t="s">
        <v>36</v>
      </c>
      <c r="I1231" s="133"/>
      <c r="J1231" s="155"/>
      <c r="K1231" s="155"/>
      <c r="L1231" s="155"/>
      <c r="M1231" s="155"/>
      <c r="N1231" s="155"/>
      <c r="O1231" s="155"/>
    </row>
    <row r="1232" spans="1:15" ht="115.5">
      <c r="A1232" s="86"/>
      <c r="B1232" s="66" t="s">
        <v>3107</v>
      </c>
      <c r="C1232" s="45" t="s">
        <v>9629</v>
      </c>
      <c r="D1232" s="45" t="s">
        <v>3320</v>
      </c>
      <c r="E1232" s="78" t="s">
        <v>9511</v>
      </c>
      <c r="F1232" s="45" t="s">
        <v>3321</v>
      </c>
      <c r="G1232" s="46" t="s">
        <v>3322</v>
      </c>
      <c r="H1232" s="62" t="s">
        <v>36</v>
      </c>
      <c r="I1232" s="133"/>
      <c r="J1232" s="155"/>
      <c r="K1232" s="155"/>
      <c r="L1232" s="155"/>
      <c r="M1232" s="155"/>
      <c r="N1232" s="155"/>
      <c r="O1232" s="155"/>
    </row>
    <row r="1233" spans="1:15" ht="115.5">
      <c r="A1233" s="86"/>
      <c r="B1233" s="63" t="s">
        <v>3107</v>
      </c>
      <c r="C1233" s="45" t="s">
        <v>9630</v>
      </c>
      <c r="D1233" s="45" t="s">
        <v>3324</v>
      </c>
      <c r="E1233" s="78" t="s">
        <v>9511</v>
      </c>
      <c r="F1233" s="45" t="s">
        <v>3325</v>
      </c>
      <c r="G1233" s="46" t="s">
        <v>3326</v>
      </c>
      <c r="H1233" s="62" t="s">
        <v>24</v>
      </c>
      <c r="I1233" s="133"/>
      <c r="J1233" s="155"/>
      <c r="K1233" s="155"/>
      <c r="L1233" s="155"/>
      <c r="M1233" s="155"/>
      <c r="N1233" s="155"/>
      <c r="O1233" s="155"/>
    </row>
    <row r="1234" spans="1:15" ht="165">
      <c r="A1234" s="86"/>
      <c r="B1234" s="63" t="s">
        <v>3107</v>
      </c>
      <c r="C1234" s="45" t="s">
        <v>9631</v>
      </c>
      <c r="D1234" s="45" t="s">
        <v>3327</v>
      </c>
      <c r="E1234" s="78" t="s">
        <v>9632</v>
      </c>
      <c r="F1234" s="53" t="s">
        <v>3329</v>
      </c>
      <c r="G1234" s="46" t="s">
        <v>3330</v>
      </c>
      <c r="H1234" s="62" t="s">
        <v>62</v>
      </c>
      <c r="I1234" s="133"/>
      <c r="J1234" s="155"/>
      <c r="K1234" s="155"/>
      <c r="L1234" s="155"/>
      <c r="M1234" s="155"/>
      <c r="N1234" s="155"/>
      <c r="O1234" s="155"/>
    </row>
    <row r="1235" spans="1:15" ht="165">
      <c r="A1235" s="86"/>
      <c r="B1235" s="63" t="s">
        <v>3107</v>
      </c>
      <c r="C1235" s="45" t="s">
        <v>9633</v>
      </c>
      <c r="D1235" s="45" t="s">
        <v>3331</v>
      </c>
      <c r="E1235" s="78" t="s">
        <v>5909</v>
      </c>
      <c r="F1235" s="45" t="s">
        <v>3332</v>
      </c>
      <c r="G1235" s="46" t="s">
        <v>3333</v>
      </c>
      <c r="H1235" s="62" t="s">
        <v>62</v>
      </c>
      <c r="I1235" s="133"/>
      <c r="J1235" s="155"/>
      <c r="K1235" s="155"/>
      <c r="L1235" s="155"/>
      <c r="M1235" s="155"/>
      <c r="N1235" s="155"/>
      <c r="O1235" s="155"/>
    </row>
    <row r="1236" spans="1:15" ht="82.5">
      <c r="A1236" s="86"/>
      <c r="B1236" s="63" t="s">
        <v>3107</v>
      </c>
      <c r="C1236" s="45" t="s">
        <v>9634</v>
      </c>
      <c r="D1236" s="45" t="s">
        <v>3335</v>
      </c>
      <c r="E1236" s="78" t="s">
        <v>5909</v>
      </c>
      <c r="F1236" s="45" t="s">
        <v>9635</v>
      </c>
      <c r="G1236" s="46" t="s">
        <v>3337</v>
      </c>
      <c r="H1236" s="62" t="s">
        <v>41</v>
      </c>
      <c r="I1236" s="133"/>
      <c r="J1236" s="155"/>
      <c r="K1236" s="155"/>
      <c r="L1236" s="155"/>
      <c r="M1236" s="155"/>
      <c r="N1236" s="155"/>
      <c r="O1236" s="155"/>
    </row>
    <row r="1237" spans="1:15" ht="82.5">
      <c r="A1237" s="86"/>
      <c r="B1237" s="63" t="s">
        <v>3107</v>
      </c>
      <c r="C1237" s="45" t="s">
        <v>9636</v>
      </c>
      <c r="D1237" s="45" t="s">
        <v>3339</v>
      </c>
      <c r="E1237" s="78" t="s">
        <v>5909</v>
      </c>
      <c r="F1237" s="53" t="s">
        <v>3340</v>
      </c>
      <c r="G1237" s="46" t="s">
        <v>3341</v>
      </c>
      <c r="H1237" s="62" t="s">
        <v>62</v>
      </c>
      <c r="I1237" s="133"/>
      <c r="J1237" s="155"/>
      <c r="K1237" s="155"/>
      <c r="L1237" s="155"/>
      <c r="M1237" s="155"/>
      <c r="N1237" s="155"/>
      <c r="O1237" s="155"/>
    </row>
    <row r="1238" spans="1:15" ht="115.5">
      <c r="A1238" s="86"/>
      <c r="B1238" s="63" t="s">
        <v>3107</v>
      </c>
      <c r="C1238" s="45" t="s">
        <v>9637</v>
      </c>
      <c r="D1238" s="45" t="s">
        <v>3343</v>
      </c>
      <c r="E1238" s="78" t="s">
        <v>5909</v>
      </c>
      <c r="F1238" s="45" t="s">
        <v>3344</v>
      </c>
      <c r="G1238" s="46" t="s">
        <v>3345</v>
      </c>
      <c r="H1238" s="62" t="s">
        <v>41</v>
      </c>
      <c r="I1238" s="133"/>
      <c r="J1238" s="155"/>
      <c r="K1238" s="155"/>
      <c r="L1238" s="155"/>
      <c r="M1238" s="155"/>
      <c r="N1238" s="155"/>
      <c r="O1238" s="155"/>
    </row>
    <row r="1239" spans="1:15" ht="115.5">
      <c r="A1239" s="86"/>
      <c r="B1239" s="63" t="s">
        <v>3107</v>
      </c>
      <c r="C1239" s="45" t="s">
        <v>9638</v>
      </c>
      <c r="D1239" s="45" t="s">
        <v>3347</v>
      </c>
      <c r="E1239" s="78" t="s">
        <v>5909</v>
      </c>
      <c r="F1239" s="45" t="s">
        <v>3348</v>
      </c>
      <c r="G1239" s="46" t="s">
        <v>3349</v>
      </c>
      <c r="H1239" s="62" t="s">
        <v>41</v>
      </c>
      <c r="I1239" s="133"/>
      <c r="J1239" s="155"/>
      <c r="K1239" s="155"/>
      <c r="L1239" s="155"/>
      <c r="M1239" s="155"/>
      <c r="N1239" s="155"/>
      <c r="O1239" s="155"/>
    </row>
    <row r="1240" spans="1:15" ht="165">
      <c r="A1240" s="86"/>
      <c r="B1240" s="63" t="s">
        <v>3107</v>
      </c>
      <c r="C1240" s="45" t="s">
        <v>9639</v>
      </c>
      <c r="D1240" s="45" t="s">
        <v>9640</v>
      </c>
      <c r="E1240" s="78" t="s">
        <v>5909</v>
      </c>
      <c r="F1240" s="45" t="s">
        <v>3352</v>
      </c>
      <c r="G1240" s="46" t="s">
        <v>3353</v>
      </c>
      <c r="H1240" s="62" t="s">
        <v>62</v>
      </c>
      <c r="I1240" s="133"/>
      <c r="J1240" s="155"/>
      <c r="K1240" s="155"/>
      <c r="L1240" s="155"/>
      <c r="M1240" s="155"/>
      <c r="N1240" s="155"/>
      <c r="O1240" s="155"/>
    </row>
    <row r="1241" spans="1:15" ht="115.5">
      <c r="A1241" s="86"/>
      <c r="B1241" s="63" t="s">
        <v>3107</v>
      </c>
      <c r="C1241" s="45" t="s">
        <v>9641</v>
      </c>
      <c r="D1241" s="45" t="s">
        <v>3355</v>
      </c>
      <c r="E1241" s="78" t="s">
        <v>5909</v>
      </c>
      <c r="F1241" s="45" t="s">
        <v>3356</v>
      </c>
      <c r="G1241" s="46" t="s">
        <v>3345</v>
      </c>
      <c r="H1241" s="62" t="s">
        <v>41</v>
      </c>
      <c r="I1241" s="133"/>
      <c r="J1241" s="155"/>
      <c r="K1241" s="155"/>
      <c r="L1241" s="155"/>
      <c r="M1241" s="155"/>
      <c r="N1241" s="155"/>
      <c r="O1241" s="155"/>
    </row>
    <row r="1242" spans="1:15" ht="115.5">
      <c r="A1242" s="86"/>
      <c r="B1242" s="63" t="s">
        <v>3107</v>
      </c>
      <c r="C1242" s="45" t="s">
        <v>9642</v>
      </c>
      <c r="D1242" s="45" t="s">
        <v>3358</v>
      </c>
      <c r="E1242" s="78" t="s">
        <v>5909</v>
      </c>
      <c r="F1242" s="45" t="s">
        <v>3359</v>
      </c>
      <c r="G1242" s="46" t="s">
        <v>3349</v>
      </c>
      <c r="H1242" s="62" t="s">
        <v>41</v>
      </c>
      <c r="I1242" s="133"/>
      <c r="J1242" s="155"/>
      <c r="K1242" s="155"/>
      <c r="L1242" s="155"/>
      <c r="M1242" s="155"/>
      <c r="N1242" s="155"/>
      <c r="O1242" s="155"/>
    </row>
    <row r="1243" spans="1:15" ht="165">
      <c r="A1243" s="86"/>
      <c r="B1243" s="63" t="s">
        <v>3107</v>
      </c>
      <c r="C1243" s="45" t="s">
        <v>9643</v>
      </c>
      <c r="D1243" s="45" t="s">
        <v>3360</v>
      </c>
      <c r="E1243" s="78" t="s">
        <v>5909</v>
      </c>
      <c r="F1243" s="45" t="s">
        <v>3361</v>
      </c>
      <c r="G1243" s="46" t="s">
        <v>3353</v>
      </c>
      <c r="H1243" s="62" t="s">
        <v>62</v>
      </c>
      <c r="I1243" s="133"/>
      <c r="J1243" s="155"/>
      <c r="K1243" s="155"/>
      <c r="L1243" s="155"/>
      <c r="M1243" s="155"/>
      <c r="N1243" s="155"/>
      <c r="O1243" s="155"/>
    </row>
    <row r="1244" spans="1:15" ht="148.5">
      <c r="A1244" s="86"/>
      <c r="B1244" s="63" t="s">
        <v>3107</v>
      </c>
      <c r="C1244" s="45" t="s">
        <v>9644</v>
      </c>
      <c r="D1244" s="45" t="s">
        <v>3362</v>
      </c>
      <c r="E1244" s="78" t="s">
        <v>9645</v>
      </c>
      <c r="F1244" s="45" t="s">
        <v>3364</v>
      </c>
      <c r="G1244" s="46" t="s">
        <v>3365</v>
      </c>
      <c r="H1244" s="62" t="s">
        <v>41</v>
      </c>
      <c r="I1244" s="133"/>
      <c r="J1244" s="155"/>
      <c r="K1244" s="155"/>
      <c r="L1244" s="155"/>
      <c r="M1244" s="155"/>
      <c r="N1244" s="155"/>
      <c r="O1244" s="155"/>
    </row>
    <row r="1245" spans="1:15" ht="115.5">
      <c r="A1245" s="86"/>
      <c r="B1245" s="63" t="s">
        <v>3107</v>
      </c>
      <c r="C1245" s="45" t="s">
        <v>9646</v>
      </c>
      <c r="D1245" s="45" t="s">
        <v>3366</v>
      </c>
      <c r="E1245" s="78" t="s">
        <v>9645</v>
      </c>
      <c r="F1245" s="45" t="s">
        <v>3367</v>
      </c>
      <c r="G1245" s="46" t="s">
        <v>3368</v>
      </c>
      <c r="H1245" s="62" t="s">
        <v>41</v>
      </c>
      <c r="I1245" s="133"/>
      <c r="J1245" s="155"/>
      <c r="K1245" s="155"/>
      <c r="L1245" s="155"/>
      <c r="M1245" s="155"/>
      <c r="N1245" s="155"/>
      <c r="O1245" s="155"/>
    </row>
    <row r="1246" spans="1:15" ht="132">
      <c r="A1246" s="86"/>
      <c r="B1246" s="63" t="s">
        <v>3107</v>
      </c>
      <c r="C1246" s="45" t="s">
        <v>9647</v>
      </c>
      <c r="D1246" s="45" t="s">
        <v>3370</v>
      </c>
      <c r="E1246" s="78" t="s">
        <v>9645</v>
      </c>
      <c r="F1246" s="45" t="s">
        <v>3371</v>
      </c>
      <c r="G1246" s="46" t="s">
        <v>3372</v>
      </c>
      <c r="H1246" s="62" t="s">
        <v>41</v>
      </c>
      <c r="I1246" s="133"/>
      <c r="J1246" s="155"/>
      <c r="K1246" s="155"/>
      <c r="L1246" s="155"/>
      <c r="M1246" s="155"/>
      <c r="N1246" s="155"/>
      <c r="O1246" s="155"/>
    </row>
    <row r="1247" spans="1:15" ht="181.5">
      <c r="A1247" s="86"/>
      <c r="B1247" s="63" t="s">
        <v>3107</v>
      </c>
      <c r="C1247" s="45" t="s">
        <v>9648</v>
      </c>
      <c r="D1247" s="45" t="s">
        <v>3374</v>
      </c>
      <c r="E1247" s="78" t="s">
        <v>9645</v>
      </c>
      <c r="F1247" s="45" t="s">
        <v>3375</v>
      </c>
      <c r="G1247" s="46" t="s">
        <v>3376</v>
      </c>
      <c r="H1247" s="62" t="s">
        <v>24</v>
      </c>
      <c r="I1247" s="133"/>
      <c r="J1247" s="155"/>
      <c r="K1247" s="155"/>
      <c r="L1247" s="155"/>
      <c r="M1247" s="155"/>
      <c r="N1247" s="155"/>
      <c r="O1247" s="155"/>
    </row>
    <row r="1248" spans="1:15" ht="165">
      <c r="A1248" s="86"/>
      <c r="B1248" s="63" t="s">
        <v>3107</v>
      </c>
      <c r="C1248" s="45" t="s">
        <v>9649</v>
      </c>
      <c r="D1248" s="45" t="s">
        <v>3378</v>
      </c>
      <c r="E1248" s="78" t="s">
        <v>9645</v>
      </c>
      <c r="F1248" s="45" t="s">
        <v>3379</v>
      </c>
      <c r="G1248" s="46" t="s">
        <v>3380</v>
      </c>
      <c r="H1248" s="62" t="s">
        <v>24</v>
      </c>
      <c r="I1248" s="133"/>
      <c r="J1248" s="155"/>
      <c r="K1248" s="155"/>
      <c r="L1248" s="155"/>
      <c r="M1248" s="155"/>
      <c r="N1248" s="155"/>
      <c r="O1248" s="155"/>
    </row>
    <row r="1249" spans="1:15" ht="181.5">
      <c r="A1249" s="86"/>
      <c r="B1249" s="63" t="s">
        <v>3107</v>
      </c>
      <c r="C1249" s="45" t="s">
        <v>9650</v>
      </c>
      <c r="D1249" s="45" t="s">
        <v>3382</v>
      </c>
      <c r="E1249" s="78" t="s">
        <v>9645</v>
      </c>
      <c r="F1249" s="73" t="s">
        <v>3383</v>
      </c>
      <c r="G1249" s="46" t="s">
        <v>3384</v>
      </c>
      <c r="H1249" s="62" t="s">
        <v>41</v>
      </c>
      <c r="I1249" s="133"/>
      <c r="J1249" s="155"/>
      <c r="K1249" s="155"/>
      <c r="L1249" s="155"/>
      <c r="M1249" s="155"/>
      <c r="N1249" s="155"/>
      <c r="O1249" s="155"/>
    </row>
    <row r="1250" spans="1:15" ht="247.5">
      <c r="A1250" s="86"/>
      <c r="B1250" s="63" t="s">
        <v>3107</v>
      </c>
      <c r="C1250" s="45" t="s">
        <v>9651</v>
      </c>
      <c r="D1250" s="45" t="s">
        <v>3386</v>
      </c>
      <c r="E1250" s="78" t="s">
        <v>9652</v>
      </c>
      <c r="F1250" s="73" t="s">
        <v>3387</v>
      </c>
      <c r="G1250" s="46" t="s">
        <v>3388</v>
      </c>
      <c r="H1250" s="62"/>
      <c r="I1250" s="133"/>
      <c r="J1250" s="155"/>
      <c r="K1250" s="155"/>
      <c r="L1250" s="155"/>
      <c r="M1250" s="155"/>
      <c r="N1250" s="155"/>
      <c r="O1250" s="155"/>
    </row>
    <row r="1251" spans="1:15" ht="297">
      <c r="A1251" s="86"/>
      <c r="B1251" s="63" t="s">
        <v>3107</v>
      </c>
      <c r="C1251" s="45" t="s">
        <v>9653</v>
      </c>
      <c r="D1251" s="45" t="s">
        <v>3389</v>
      </c>
      <c r="E1251" s="78" t="s">
        <v>9654</v>
      </c>
      <c r="F1251" s="73" t="s">
        <v>3391</v>
      </c>
      <c r="G1251" s="46" t="s">
        <v>3392</v>
      </c>
      <c r="H1251" s="62"/>
      <c r="I1251" s="133"/>
      <c r="J1251" s="155"/>
      <c r="K1251" s="155"/>
      <c r="L1251" s="155"/>
      <c r="M1251" s="155"/>
      <c r="N1251" s="155"/>
      <c r="O1251" s="155"/>
    </row>
    <row r="1252" spans="1:15" ht="132">
      <c r="A1252" s="86"/>
      <c r="B1252" s="63" t="s">
        <v>3107</v>
      </c>
      <c r="C1252" s="45" t="s">
        <v>9655</v>
      </c>
      <c r="D1252" s="45" t="s">
        <v>3394</v>
      </c>
      <c r="E1252" s="78" t="s">
        <v>9654</v>
      </c>
      <c r="F1252" s="73" t="s">
        <v>3395</v>
      </c>
      <c r="G1252" s="46" t="s">
        <v>3396</v>
      </c>
      <c r="H1252" s="62"/>
      <c r="I1252" s="133"/>
      <c r="J1252" s="155"/>
      <c r="K1252" s="155"/>
      <c r="L1252" s="155"/>
      <c r="M1252" s="155"/>
      <c r="N1252" s="155"/>
      <c r="O1252" s="155"/>
    </row>
    <row r="1253" spans="1:15" ht="148.5">
      <c r="A1253" s="86"/>
      <c r="B1253" s="63" t="s">
        <v>3107</v>
      </c>
      <c r="C1253" s="45" t="s">
        <v>9656</v>
      </c>
      <c r="D1253" s="45" t="s">
        <v>3397</v>
      </c>
      <c r="E1253" s="78" t="s">
        <v>3398</v>
      </c>
      <c r="F1253" s="73" t="s">
        <v>3399</v>
      </c>
      <c r="G1253" s="46" t="s">
        <v>3400</v>
      </c>
      <c r="H1253" s="62"/>
      <c r="I1253" s="133"/>
      <c r="J1253" s="155"/>
      <c r="K1253" s="155"/>
      <c r="L1253" s="155"/>
      <c r="M1253" s="155"/>
      <c r="N1253" s="155"/>
      <c r="O1253" s="155"/>
    </row>
    <row r="1254" spans="1:15" ht="165">
      <c r="A1254" s="86"/>
      <c r="B1254" s="63" t="s">
        <v>3107</v>
      </c>
      <c r="C1254" s="45" t="s">
        <v>9657</v>
      </c>
      <c r="D1254" s="45" t="s">
        <v>3401</v>
      </c>
      <c r="E1254" s="78" t="s">
        <v>3398</v>
      </c>
      <c r="F1254" s="73" t="s">
        <v>3402</v>
      </c>
      <c r="G1254" s="46" t="s">
        <v>3403</v>
      </c>
      <c r="H1254" s="62"/>
      <c r="I1254" s="133"/>
      <c r="J1254" s="155"/>
      <c r="K1254" s="155"/>
      <c r="L1254" s="155"/>
      <c r="M1254" s="155"/>
      <c r="N1254" s="155"/>
      <c r="O1254" s="155"/>
    </row>
    <row r="1255" spans="1:15" ht="148.5">
      <c r="A1255" s="86"/>
      <c r="B1255" s="63" t="s">
        <v>3107</v>
      </c>
      <c r="C1255" s="45" t="s">
        <v>9658</v>
      </c>
      <c r="D1255" s="45" t="s">
        <v>3404</v>
      </c>
      <c r="E1255" s="78" t="s">
        <v>9659</v>
      </c>
      <c r="F1255" s="73" t="s">
        <v>3406</v>
      </c>
      <c r="G1255" s="46" t="s">
        <v>3407</v>
      </c>
      <c r="H1255" s="62"/>
      <c r="I1255" s="133"/>
      <c r="J1255" s="155"/>
      <c r="K1255" s="155"/>
      <c r="L1255" s="155"/>
      <c r="M1255" s="155"/>
      <c r="N1255" s="155"/>
      <c r="O1255" s="155"/>
    </row>
    <row r="1256" spans="1:15" ht="148.5">
      <c r="A1256" s="86"/>
      <c r="B1256" s="63" t="s">
        <v>3107</v>
      </c>
      <c r="C1256" s="45" t="s">
        <v>9660</v>
      </c>
      <c r="D1256" s="45" t="s">
        <v>3409</v>
      </c>
      <c r="E1256" s="78" t="s">
        <v>9659</v>
      </c>
      <c r="F1256" s="73" t="s">
        <v>3410</v>
      </c>
      <c r="G1256" s="46" t="s">
        <v>3411</v>
      </c>
      <c r="H1256" s="62"/>
      <c r="I1256" s="133"/>
      <c r="J1256" s="155"/>
      <c r="K1256" s="155"/>
      <c r="L1256" s="155"/>
      <c r="M1256" s="155"/>
      <c r="N1256" s="155"/>
      <c r="O1256" s="155"/>
    </row>
    <row r="1257" spans="1:15" ht="165">
      <c r="A1257" s="88"/>
      <c r="B1257" s="63" t="s">
        <v>3107</v>
      </c>
      <c r="C1257" s="45" t="s">
        <v>9661</v>
      </c>
      <c r="D1257" s="45" t="s">
        <v>3413</v>
      </c>
      <c r="E1257" s="78" t="s">
        <v>9659</v>
      </c>
      <c r="F1257" s="73" t="s">
        <v>3414</v>
      </c>
      <c r="G1257" s="46" t="s">
        <v>3407</v>
      </c>
      <c r="H1257" s="62"/>
      <c r="I1257" s="133"/>
      <c r="J1257" s="155"/>
      <c r="K1257" s="155"/>
      <c r="L1257" s="155"/>
      <c r="M1257" s="155"/>
      <c r="N1257" s="155"/>
      <c r="O1257" s="155"/>
    </row>
    <row r="1258" spans="1:15" ht="99">
      <c r="A1258" s="396" t="s">
        <v>3415</v>
      </c>
      <c r="B1258" s="65" t="s">
        <v>3416</v>
      </c>
      <c r="C1258" s="45" t="s">
        <v>9662</v>
      </c>
      <c r="D1258" s="45" t="s">
        <v>9663</v>
      </c>
      <c r="E1258" s="78" t="s">
        <v>9664</v>
      </c>
      <c r="F1258" s="45" t="s">
        <v>9665</v>
      </c>
      <c r="G1258" s="46" t="s">
        <v>9666</v>
      </c>
      <c r="H1258" s="62" t="s">
        <v>30</v>
      </c>
      <c r="I1258" s="133"/>
      <c r="J1258" s="155"/>
      <c r="K1258" s="155"/>
      <c r="L1258" s="155"/>
      <c r="M1258" s="155"/>
      <c r="N1258" s="155"/>
      <c r="O1258" s="155"/>
    </row>
    <row r="1259" spans="1:15" ht="99">
      <c r="A1259" s="397"/>
      <c r="B1259" s="65" t="s">
        <v>3416</v>
      </c>
      <c r="C1259" s="45" t="s">
        <v>9667</v>
      </c>
      <c r="D1259" s="45" t="s">
        <v>9668</v>
      </c>
      <c r="E1259" s="78" t="s">
        <v>9664</v>
      </c>
      <c r="F1259" s="45" t="s">
        <v>9669</v>
      </c>
      <c r="G1259" s="46" t="s">
        <v>9670</v>
      </c>
      <c r="H1259" s="62" t="s">
        <v>41</v>
      </c>
      <c r="I1259" s="133"/>
      <c r="J1259" s="155"/>
      <c r="K1259" s="155"/>
      <c r="L1259" s="155"/>
      <c r="M1259" s="155"/>
      <c r="N1259" s="155"/>
      <c r="O1259" s="155"/>
    </row>
    <row r="1260" spans="1:15" ht="99">
      <c r="A1260" s="397"/>
      <c r="B1260" s="65" t="s">
        <v>3416</v>
      </c>
      <c r="C1260" s="45" t="s">
        <v>9671</v>
      </c>
      <c r="D1260" s="45" t="s">
        <v>9672</v>
      </c>
      <c r="E1260" s="78" t="s">
        <v>9664</v>
      </c>
      <c r="F1260" s="45" t="s">
        <v>9673</v>
      </c>
      <c r="G1260" s="46" t="s">
        <v>9670</v>
      </c>
      <c r="H1260" s="62" t="s">
        <v>41</v>
      </c>
      <c r="I1260" s="133"/>
      <c r="J1260" s="155"/>
      <c r="K1260" s="155"/>
      <c r="L1260" s="155"/>
      <c r="M1260" s="155"/>
      <c r="N1260" s="155"/>
      <c r="O1260" s="155"/>
    </row>
    <row r="1261" spans="1:15" ht="82.5">
      <c r="A1261" s="397"/>
      <c r="B1261" s="65" t="s">
        <v>3416</v>
      </c>
      <c r="C1261" s="45" t="s">
        <v>9674</v>
      </c>
      <c r="D1261" s="45" t="s">
        <v>9675</v>
      </c>
      <c r="E1261" s="78" t="s">
        <v>9664</v>
      </c>
      <c r="F1261" s="45" t="s">
        <v>9676</v>
      </c>
      <c r="G1261" s="46" t="s">
        <v>9670</v>
      </c>
      <c r="H1261" s="62" t="s">
        <v>24</v>
      </c>
      <c r="I1261" s="133"/>
      <c r="J1261" s="155"/>
      <c r="K1261" s="155"/>
      <c r="L1261" s="155"/>
      <c r="M1261" s="155"/>
      <c r="N1261" s="155"/>
      <c r="O1261" s="155"/>
    </row>
    <row r="1262" spans="1:15" ht="99">
      <c r="A1262" s="397"/>
      <c r="B1262" s="65" t="s">
        <v>3416</v>
      </c>
      <c r="C1262" s="45" t="s">
        <v>9677</v>
      </c>
      <c r="D1262" s="45" t="s">
        <v>9678</v>
      </c>
      <c r="E1262" s="78" t="s">
        <v>9664</v>
      </c>
      <c r="F1262" s="45" t="s">
        <v>9679</v>
      </c>
      <c r="G1262" s="46" t="s">
        <v>9670</v>
      </c>
      <c r="H1262" s="62" t="s">
        <v>36</v>
      </c>
      <c r="I1262" s="133"/>
      <c r="J1262" s="155"/>
      <c r="K1262" s="155"/>
      <c r="L1262" s="155"/>
      <c r="M1262" s="155"/>
      <c r="N1262" s="155"/>
      <c r="O1262" s="155"/>
    </row>
    <row r="1263" spans="1:15" ht="99">
      <c r="A1263" s="397"/>
      <c r="B1263" s="65" t="s">
        <v>3416</v>
      </c>
      <c r="C1263" s="45" t="s">
        <v>9680</v>
      </c>
      <c r="D1263" s="45" t="s">
        <v>3437</v>
      </c>
      <c r="E1263" s="78" t="s">
        <v>5909</v>
      </c>
      <c r="F1263" s="45" t="s">
        <v>9681</v>
      </c>
      <c r="G1263" s="46" t="s">
        <v>9682</v>
      </c>
      <c r="H1263" s="62" t="s">
        <v>36</v>
      </c>
      <c r="I1263" s="133"/>
      <c r="J1263" s="155"/>
      <c r="K1263" s="155"/>
      <c r="L1263" s="155"/>
      <c r="M1263" s="155"/>
      <c r="N1263" s="155"/>
      <c r="O1263" s="155"/>
    </row>
    <row r="1264" spans="1:15" ht="99">
      <c r="A1264" s="397"/>
      <c r="B1264" s="65" t="s">
        <v>3416</v>
      </c>
      <c r="C1264" s="45" t="s">
        <v>9683</v>
      </c>
      <c r="D1264" s="45" t="s">
        <v>3441</v>
      </c>
      <c r="E1264" s="78" t="s">
        <v>5909</v>
      </c>
      <c r="F1264" s="45" t="s">
        <v>9684</v>
      </c>
      <c r="G1264" s="46" t="s">
        <v>3443</v>
      </c>
      <c r="H1264" s="62" t="s">
        <v>24</v>
      </c>
      <c r="I1264" s="133"/>
      <c r="J1264" s="155"/>
      <c r="K1264" s="155"/>
      <c r="L1264" s="155"/>
      <c r="M1264" s="155"/>
      <c r="N1264" s="155"/>
      <c r="O1264" s="155"/>
    </row>
    <row r="1265" spans="1:15" ht="231">
      <c r="A1265" s="397"/>
      <c r="B1265" s="65" t="s">
        <v>3416</v>
      </c>
      <c r="C1265" s="45" t="s">
        <v>9685</v>
      </c>
      <c r="D1265" s="45" t="s">
        <v>9686</v>
      </c>
      <c r="E1265" s="78" t="s">
        <v>5949</v>
      </c>
      <c r="F1265" s="45" t="s">
        <v>9687</v>
      </c>
      <c r="G1265" s="46" t="s">
        <v>9688</v>
      </c>
      <c r="H1265" s="62" t="s">
        <v>24</v>
      </c>
      <c r="I1265" s="133"/>
      <c r="J1265" s="155"/>
      <c r="K1265" s="155"/>
      <c r="L1265" s="155"/>
      <c r="M1265" s="155"/>
      <c r="N1265" s="155"/>
      <c r="O1265" s="155"/>
    </row>
    <row r="1266" spans="1:15" ht="165">
      <c r="A1266" s="397"/>
      <c r="B1266" s="65" t="s">
        <v>3416</v>
      </c>
      <c r="C1266" s="45" t="s">
        <v>9689</v>
      </c>
      <c r="D1266" s="45" t="s">
        <v>9690</v>
      </c>
      <c r="E1266" s="78" t="s">
        <v>5909</v>
      </c>
      <c r="F1266" s="45" t="s">
        <v>9691</v>
      </c>
      <c r="G1266" s="46" t="s">
        <v>3447</v>
      </c>
      <c r="H1266" s="62" t="s">
        <v>30</v>
      </c>
      <c r="I1266" s="133"/>
      <c r="J1266" s="155"/>
      <c r="K1266" s="155"/>
      <c r="L1266" s="155"/>
      <c r="M1266" s="155"/>
      <c r="N1266" s="155"/>
      <c r="O1266" s="155"/>
    </row>
    <row r="1267" spans="1:15" ht="165">
      <c r="A1267" s="397"/>
      <c r="B1267" s="65" t="s">
        <v>3416</v>
      </c>
      <c r="C1267" s="45" t="s">
        <v>9692</v>
      </c>
      <c r="D1267" s="45" t="s">
        <v>9693</v>
      </c>
      <c r="E1267" s="78" t="s">
        <v>5909</v>
      </c>
      <c r="F1267" s="45" t="s">
        <v>9694</v>
      </c>
      <c r="G1267" s="46" t="s">
        <v>3447</v>
      </c>
      <c r="H1267" s="62" t="s">
        <v>24</v>
      </c>
      <c r="I1267" s="133"/>
      <c r="J1267" s="155"/>
      <c r="K1267" s="155"/>
      <c r="L1267" s="155"/>
      <c r="M1267" s="155"/>
      <c r="N1267" s="155"/>
      <c r="O1267" s="155"/>
    </row>
    <row r="1268" spans="1:15" ht="165">
      <c r="A1268" s="397"/>
      <c r="B1268" s="65" t="s">
        <v>3416</v>
      </c>
      <c r="C1268" s="45" t="s">
        <v>9695</v>
      </c>
      <c r="D1268" s="45" t="s">
        <v>9696</v>
      </c>
      <c r="E1268" s="78" t="s">
        <v>5909</v>
      </c>
      <c r="F1268" s="45" t="s">
        <v>9697</v>
      </c>
      <c r="G1268" s="46" t="s">
        <v>3447</v>
      </c>
      <c r="H1268" s="62" t="s">
        <v>24</v>
      </c>
      <c r="I1268" s="133"/>
      <c r="J1268" s="155"/>
      <c r="K1268" s="155"/>
      <c r="L1268" s="155"/>
      <c r="M1268" s="155"/>
      <c r="N1268" s="155"/>
      <c r="O1268" s="155"/>
    </row>
    <row r="1269" spans="1:15" ht="181.5">
      <c r="A1269" s="397"/>
      <c r="B1269" s="65" t="s">
        <v>3416</v>
      </c>
      <c r="C1269" s="45" t="s">
        <v>9698</v>
      </c>
      <c r="D1269" s="45" t="s">
        <v>9699</v>
      </c>
      <c r="E1269" s="78" t="s">
        <v>5909</v>
      </c>
      <c r="F1269" s="45" t="s">
        <v>9700</v>
      </c>
      <c r="G1269" s="46" t="s">
        <v>3447</v>
      </c>
      <c r="H1269" s="62" t="s">
        <v>24</v>
      </c>
      <c r="I1269" s="133"/>
      <c r="J1269" s="155"/>
      <c r="K1269" s="155"/>
      <c r="L1269" s="155"/>
      <c r="M1269" s="155"/>
      <c r="N1269" s="155"/>
      <c r="O1269" s="155"/>
    </row>
    <row r="1270" spans="1:15" ht="214.5">
      <c r="A1270" s="397"/>
      <c r="B1270" s="65" t="s">
        <v>3416</v>
      </c>
      <c r="C1270" s="45" t="s">
        <v>9701</v>
      </c>
      <c r="D1270" s="45" t="s">
        <v>9702</v>
      </c>
      <c r="E1270" s="78" t="s">
        <v>5909</v>
      </c>
      <c r="F1270" s="45" t="s">
        <v>9703</v>
      </c>
      <c r="G1270" s="46" t="s">
        <v>3457</v>
      </c>
      <c r="H1270" s="62" t="s">
        <v>62</v>
      </c>
      <c r="I1270" s="133"/>
      <c r="J1270" s="155"/>
      <c r="K1270" s="155"/>
      <c r="L1270" s="155"/>
      <c r="M1270" s="155"/>
      <c r="N1270" s="155"/>
      <c r="O1270" s="155"/>
    </row>
    <row r="1271" spans="1:15" ht="214.5">
      <c r="A1271" s="397"/>
      <c r="B1271" s="65" t="s">
        <v>3416</v>
      </c>
      <c r="C1271" s="45" t="s">
        <v>9704</v>
      </c>
      <c r="D1271" s="45" t="s">
        <v>9705</v>
      </c>
      <c r="E1271" s="78" t="s">
        <v>5909</v>
      </c>
      <c r="F1271" s="45" t="s">
        <v>9706</v>
      </c>
      <c r="G1271" s="46" t="s">
        <v>3457</v>
      </c>
      <c r="H1271" s="62" t="s">
        <v>62</v>
      </c>
      <c r="I1271" s="133"/>
      <c r="J1271" s="155"/>
      <c r="K1271" s="155"/>
      <c r="L1271" s="155"/>
      <c r="M1271" s="155"/>
      <c r="N1271" s="155"/>
      <c r="O1271" s="155"/>
    </row>
    <row r="1272" spans="1:15" ht="115.5">
      <c r="A1272" s="397"/>
      <c r="B1272" s="65" t="s">
        <v>3416</v>
      </c>
      <c r="C1272" s="45" t="s">
        <v>9707</v>
      </c>
      <c r="D1272" s="45" t="s">
        <v>3343</v>
      </c>
      <c r="E1272" s="78" t="s">
        <v>9664</v>
      </c>
      <c r="F1272" s="45" t="s">
        <v>9708</v>
      </c>
      <c r="G1272" s="46" t="s">
        <v>3463</v>
      </c>
      <c r="H1272" s="62" t="s">
        <v>36</v>
      </c>
      <c r="I1272" s="133"/>
      <c r="J1272" s="155"/>
      <c r="K1272" s="155"/>
      <c r="L1272" s="155"/>
      <c r="M1272" s="155"/>
      <c r="N1272" s="155"/>
      <c r="O1272" s="155"/>
    </row>
    <row r="1273" spans="1:15" ht="148.5">
      <c r="A1273" s="397"/>
      <c r="B1273" s="65" t="s">
        <v>3416</v>
      </c>
      <c r="C1273" s="45" t="s">
        <v>9709</v>
      </c>
      <c r="D1273" s="45" t="s">
        <v>3465</v>
      </c>
      <c r="E1273" s="78" t="s">
        <v>9664</v>
      </c>
      <c r="F1273" s="45" t="s">
        <v>9710</v>
      </c>
      <c r="G1273" s="46" t="s">
        <v>3467</v>
      </c>
      <c r="H1273" s="62" t="s">
        <v>36</v>
      </c>
      <c r="I1273" s="133"/>
      <c r="J1273" s="155"/>
      <c r="K1273" s="155"/>
      <c r="L1273" s="155"/>
      <c r="M1273" s="155"/>
      <c r="N1273" s="155"/>
      <c r="O1273" s="155"/>
    </row>
    <row r="1274" spans="1:15" ht="214.5">
      <c r="A1274" s="398"/>
      <c r="B1274" s="65" t="s">
        <v>3416</v>
      </c>
      <c r="C1274" s="45" t="s">
        <v>9711</v>
      </c>
      <c r="D1274" s="45" t="s">
        <v>3469</v>
      </c>
      <c r="E1274" s="78" t="s">
        <v>9712</v>
      </c>
      <c r="F1274" s="45" t="s">
        <v>3471</v>
      </c>
      <c r="G1274" s="46" t="s">
        <v>3472</v>
      </c>
      <c r="H1274" s="49" t="s">
        <v>41</v>
      </c>
      <c r="I1274" s="133"/>
      <c r="J1274" s="155"/>
      <c r="K1274" s="155"/>
      <c r="L1274" s="155"/>
      <c r="M1274" s="155"/>
      <c r="N1274" s="155"/>
      <c r="O1274" s="155"/>
    </row>
    <row r="1275" spans="1:15" ht="231">
      <c r="A1275" s="84"/>
      <c r="B1275" s="65" t="s">
        <v>3416</v>
      </c>
      <c r="C1275" s="45" t="s">
        <v>9711</v>
      </c>
      <c r="D1275" s="45" t="s">
        <v>3474</v>
      </c>
      <c r="E1275" s="78" t="s">
        <v>9713</v>
      </c>
      <c r="F1275" s="45" t="s">
        <v>3476</v>
      </c>
      <c r="G1275" s="46" t="s">
        <v>3477</v>
      </c>
      <c r="H1275" s="49" t="s">
        <v>41</v>
      </c>
      <c r="I1275" s="133"/>
      <c r="J1275" s="155"/>
      <c r="K1275" s="155"/>
      <c r="L1275" s="155"/>
      <c r="M1275" s="155"/>
      <c r="N1275" s="155"/>
      <c r="O1275" s="155"/>
    </row>
    <row r="1276" spans="1:15" ht="132">
      <c r="A1276" s="396" t="s">
        <v>3478</v>
      </c>
      <c r="B1276" s="63" t="s">
        <v>3478</v>
      </c>
      <c r="C1276" s="45" t="s">
        <v>9714</v>
      </c>
      <c r="D1276" s="45" t="s">
        <v>3479</v>
      </c>
      <c r="E1276" s="78" t="s">
        <v>9463</v>
      </c>
      <c r="F1276" s="45" t="s">
        <v>9715</v>
      </c>
      <c r="G1276" s="46" t="s">
        <v>3480</v>
      </c>
      <c r="H1276" s="62" t="s">
        <v>41</v>
      </c>
      <c r="I1276" s="133"/>
      <c r="J1276" s="155"/>
      <c r="K1276" s="155"/>
      <c r="L1276" s="155"/>
      <c r="M1276" s="155"/>
      <c r="N1276" s="155"/>
      <c r="O1276" s="155"/>
    </row>
    <row r="1277" spans="1:15" ht="198">
      <c r="A1277" s="397"/>
      <c r="B1277" s="63" t="s">
        <v>3478</v>
      </c>
      <c r="C1277" s="45" t="s">
        <v>9716</v>
      </c>
      <c r="D1277" s="45" t="s">
        <v>3482</v>
      </c>
      <c r="E1277" s="78" t="s">
        <v>9463</v>
      </c>
      <c r="F1277" s="45" t="s">
        <v>9717</v>
      </c>
      <c r="G1277" s="46" t="s">
        <v>3484</v>
      </c>
      <c r="H1277" s="62" t="s">
        <v>30</v>
      </c>
      <c r="I1277" s="133"/>
      <c r="J1277" s="155"/>
      <c r="K1277" s="155"/>
      <c r="L1277" s="155"/>
      <c r="M1277" s="155"/>
      <c r="N1277" s="155"/>
      <c r="O1277" s="155"/>
    </row>
    <row r="1278" spans="1:15" ht="132">
      <c r="A1278" s="397"/>
      <c r="B1278" s="63" t="s">
        <v>3478</v>
      </c>
      <c r="C1278" s="45" t="s">
        <v>9718</v>
      </c>
      <c r="D1278" s="45" t="s">
        <v>3486</v>
      </c>
      <c r="E1278" s="78" t="s">
        <v>9463</v>
      </c>
      <c r="F1278" s="45" t="s">
        <v>9719</v>
      </c>
      <c r="G1278" s="46" t="s">
        <v>3488</v>
      </c>
      <c r="H1278" s="62" t="s">
        <v>41</v>
      </c>
      <c r="I1278" s="133"/>
      <c r="J1278" s="155"/>
      <c r="K1278" s="155"/>
      <c r="L1278" s="155"/>
      <c r="M1278" s="155"/>
      <c r="N1278" s="155"/>
      <c r="O1278" s="155"/>
    </row>
    <row r="1279" spans="1:15" ht="132">
      <c r="A1279" s="397"/>
      <c r="B1279" s="63" t="s">
        <v>3478</v>
      </c>
      <c r="C1279" s="45" t="s">
        <v>9720</v>
      </c>
      <c r="D1279" s="45" t="s">
        <v>3490</v>
      </c>
      <c r="E1279" s="78" t="s">
        <v>9463</v>
      </c>
      <c r="F1279" s="45" t="s">
        <v>9721</v>
      </c>
      <c r="G1279" s="46" t="s">
        <v>3491</v>
      </c>
      <c r="H1279" s="62" t="s">
        <v>24</v>
      </c>
      <c r="I1279" s="133"/>
      <c r="J1279" s="155"/>
      <c r="K1279" s="155"/>
      <c r="L1279" s="155"/>
      <c r="M1279" s="155"/>
      <c r="N1279" s="155"/>
      <c r="O1279" s="155"/>
    </row>
    <row r="1280" spans="1:15" ht="82.5">
      <c r="A1280" s="397"/>
      <c r="B1280" s="63" t="s">
        <v>3478</v>
      </c>
      <c r="C1280" s="45" t="s">
        <v>9722</v>
      </c>
      <c r="D1280" s="45" t="s">
        <v>3493</v>
      </c>
      <c r="E1280" s="78" t="s">
        <v>9463</v>
      </c>
      <c r="F1280" s="45" t="s">
        <v>3494</v>
      </c>
      <c r="G1280" s="46" t="s">
        <v>3495</v>
      </c>
      <c r="H1280" s="62" t="s">
        <v>24</v>
      </c>
      <c r="I1280" s="133"/>
      <c r="J1280" s="155"/>
      <c r="K1280" s="155"/>
      <c r="L1280" s="155"/>
      <c r="M1280" s="155"/>
      <c r="N1280" s="155"/>
      <c r="O1280" s="155"/>
    </row>
    <row r="1281" spans="1:15" ht="132">
      <c r="A1281" s="397"/>
      <c r="B1281" s="63" t="s">
        <v>3478</v>
      </c>
      <c r="C1281" s="45" t="s">
        <v>9723</v>
      </c>
      <c r="D1281" s="45" t="s">
        <v>3497</v>
      </c>
      <c r="E1281" s="78" t="s">
        <v>9463</v>
      </c>
      <c r="F1281" s="45" t="s">
        <v>9724</v>
      </c>
      <c r="G1281" s="46" t="s">
        <v>3499</v>
      </c>
      <c r="H1281" s="62" t="s">
        <v>24</v>
      </c>
      <c r="I1281" s="133"/>
      <c r="J1281" s="155"/>
      <c r="K1281" s="155"/>
      <c r="L1281" s="155"/>
      <c r="M1281" s="155"/>
      <c r="N1281" s="155"/>
      <c r="O1281" s="155"/>
    </row>
    <row r="1282" spans="1:15" ht="165">
      <c r="A1282" s="397"/>
      <c r="B1282" s="63" t="s">
        <v>3478</v>
      </c>
      <c r="C1282" s="45" t="s">
        <v>9725</v>
      </c>
      <c r="D1282" s="59" t="s">
        <v>3501</v>
      </c>
      <c r="E1282" s="78" t="s">
        <v>9463</v>
      </c>
      <c r="F1282" s="45" t="s">
        <v>9726</v>
      </c>
      <c r="G1282" s="46" t="s">
        <v>3499</v>
      </c>
      <c r="H1282" s="62" t="s">
        <v>30</v>
      </c>
      <c r="I1282" s="133"/>
      <c r="J1282" s="155"/>
      <c r="K1282" s="155"/>
      <c r="L1282" s="155"/>
      <c r="M1282" s="155"/>
      <c r="N1282" s="155"/>
      <c r="O1282" s="155"/>
    </row>
    <row r="1283" spans="1:15" ht="82.5">
      <c r="A1283" s="397"/>
      <c r="B1283" s="63" t="s">
        <v>3478</v>
      </c>
      <c r="C1283" s="45" t="s">
        <v>9727</v>
      </c>
      <c r="D1283" s="59" t="s">
        <v>9728</v>
      </c>
      <c r="E1283" s="78" t="s">
        <v>9463</v>
      </c>
      <c r="F1283" s="45" t="s">
        <v>3505</v>
      </c>
      <c r="G1283" s="46" t="s">
        <v>3506</v>
      </c>
      <c r="H1283" s="62" t="s">
        <v>24</v>
      </c>
      <c r="I1283" s="133"/>
      <c r="J1283" s="155"/>
      <c r="K1283" s="155"/>
      <c r="L1283" s="155"/>
      <c r="M1283" s="155"/>
      <c r="N1283" s="155"/>
      <c r="O1283" s="155"/>
    </row>
    <row r="1284" spans="1:15" ht="82.5">
      <c r="A1284" s="397"/>
      <c r="B1284" s="63" t="s">
        <v>3478</v>
      </c>
      <c r="C1284" s="45" t="s">
        <v>9729</v>
      </c>
      <c r="D1284" s="45" t="s">
        <v>9730</v>
      </c>
      <c r="E1284" s="78" t="s">
        <v>9463</v>
      </c>
      <c r="F1284" s="45" t="s">
        <v>3508</v>
      </c>
      <c r="G1284" s="46" t="s">
        <v>3506</v>
      </c>
      <c r="H1284" s="62" t="s">
        <v>24</v>
      </c>
      <c r="I1284" s="133"/>
      <c r="J1284" s="155"/>
      <c r="K1284" s="155"/>
      <c r="L1284" s="155"/>
      <c r="M1284" s="155"/>
      <c r="N1284" s="155"/>
      <c r="O1284" s="155"/>
    </row>
    <row r="1285" spans="1:15" ht="82.5">
      <c r="A1285" s="397"/>
      <c r="B1285" s="63" t="s">
        <v>3478</v>
      </c>
      <c r="C1285" s="45" t="s">
        <v>9731</v>
      </c>
      <c r="D1285" s="45" t="s">
        <v>9732</v>
      </c>
      <c r="E1285" s="78" t="s">
        <v>9463</v>
      </c>
      <c r="F1285" s="45" t="s">
        <v>3511</v>
      </c>
      <c r="G1285" s="46" t="s">
        <v>3506</v>
      </c>
      <c r="H1285" s="62" t="s">
        <v>24</v>
      </c>
      <c r="I1285" s="133"/>
      <c r="J1285" s="155"/>
      <c r="K1285" s="155"/>
      <c r="L1285" s="155"/>
      <c r="M1285" s="155"/>
      <c r="N1285" s="155"/>
      <c r="O1285" s="155"/>
    </row>
    <row r="1286" spans="1:15" ht="132">
      <c r="A1286" s="397"/>
      <c r="B1286" s="63" t="s">
        <v>3478</v>
      </c>
      <c r="C1286" s="45" t="s">
        <v>9733</v>
      </c>
      <c r="D1286" s="45" t="s">
        <v>3519</v>
      </c>
      <c r="E1286" s="78" t="s">
        <v>9463</v>
      </c>
      <c r="F1286" s="45" t="s">
        <v>3520</v>
      </c>
      <c r="G1286" s="46" t="s">
        <v>9734</v>
      </c>
      <c r="H1286" s="62" t="s">
        <v>36</v>
      </c>
      <c r="I1286" s="133"/>
      <c r="J1286" s="155"/>
      <c r="K1286" s="155"/>
      <c r="L1286" s="155"/>
      <c r="M1286" s="155"/>
      <c r="N1286" s="155"/>
      <c r="O1286" s="155"/>
    </row>
    <row r="1287" spans="1:15" ht="99">
      <c r="A1287" s="397"/>
      <c r="B1287" s="63" t="s">
        <v>3478</v>
      </c>
      <c r="C1287" s="45" t="s">
        <v>9735</v>
      </c>
      <c r="D1287" s="45" t="s">
        <v>3522</v>
      </c>
      <c r="E1287" s="78" t="s">
        <v>9463</v>
      </c>
      <c r="F1287" s="45" t="s">
        <v>9736</v>
      </c>
      <c r="G1287" s="46" t="s">
        <v>3523</v>
      </c>
      <c r="H1287" s="62" t="s">
        <v>41</v>
      </c>
      <c r="I1287" s="133"/>
      <c r="J1287" s="155"/>
      <c r="K1287" s="155"/>
      <c r="L1287" s="155"/>
      <c r="M1287" s="155"/>
      <c r="N1287" s="155"/>
      <c r="O1287" s="155"/>
    </row>
    <row r="1288" spans="1:15" ht="82.5">
      <c r="A1288" s="397"/>
      <c r="B1288" s="63" t="s">
        <v>3478</v>
      </c>
      <c r="C1288" s="45" t="s">
        <v>9737</v>
      </c>
      <c r="D1288" s="45" t="s">
        <v>3534</v>
      </c>
      <c r="E1288" s="78" t="s">
        <v>9463</v>
      </c>
      <c r="F1288" s="45" t="s">
        <v>9738</v>
      </c>
      <c r="G1288" s="46" t="s">
        <v>3536</v>
      </c>
      <c r="H1288" s="62" t="s">
        <v>36</v>
      </c>
      <c r="I1288" s="133"/>
      <c r="J1288" s="155"/>
      <c r="K1288" s="155"/>
      <c r="L1288" s="155"/>
      <c r="M1288" s="155"/>
      <c r="N1288" s="155"/>
      <c r="O1288" s="155"/>
    </row>
    <row r="1289" spans="1:15" ht="82.5">
      <c r="A1289" s="397"/>
      <c r="B1289" s="63" t="s">
        <v>3478</v>
      </c>
      <c r="C1289" s="45" t="s">
        <v>9739</v>
      </c>
      <c r="D1289" s="45" t="s">
        <v>3538</v>
      </c>
      <c r="E1289" s="78" t="s">
        <v>9463</v>
      </c>
      <c r="F1289" s="45" t="s">
        <v>9740</v>
      </c>
      <c r="G1289" s="46" t="s">
        <v>3536</v>
      </c>
      <c r="H1289" s="62" t="s">
        <v>36</v>
      </c>
      <c r="I1289" s="133"/>
      <c r="J1289" s="155"/>
      <c r="K1289" s="155"/>
      <c r="L1289" s="155"/>
      <c r="M1289" s="155"/>
      <c r="N1289" s="155"/>
      <c r="O1289" s="155"/>
    </row>
    <row r="1290" spans="1:15" ht="165">
      <c r="A1290" s="397"/>
      <c r="B1290" s="63" t="s">
        <v>3478</v>
      </c>
      <c r="C1290" s="45" t="s">
        <v>9741</v>
      </c>
      <c r="D1290" s="45" t="s">
        <v>3541</v>
      </c>
      <c r="E1290" s="78" t="s">
        <v>9463</v>
      </c>
      <c r="F1290" s="45" t="s">
        <v>9742</v>
      </c>
      <c r="G1290" s="46" t="s">
        <v>3517</v>
      </c>
      <c r="H1290" s="62" t="s">
        <v>62</v>
      </c>
      <c r="I1290" s="133"/>
      <c r="J1290" s="155"/>
      <c r="K1290" s="155"/>
      <c r="L1290" s="155"/>
      <c r="M1290" s="155"/>
      <c r="N1290" s="155"/>
      <c r="O1290" s="155"/>
    </row>
    <row r="1291" spans="1:15" ht="165">
      <c r="A1291" s="397"/>
      <c r="B1291" s="94" t="s">
        <v>3478</v>
      </c>
      <c r="C1291" s="95" t="s">
        <v>9743</v>
      </c>
      <c r="D1291" s="45" t="s">
        <v>3542</v>
      </c>
      <c r="E1291" s="73" t="s">
        <v>9463</v>
      </c>
      <c r="F1291" s="53" t="s">
        <v>9744</v>
      </c>
      <c r="G1291" s="60" t="s">
        <v>9745</v>
      </c>
      <c r="H1291" s="62" t="s">
        <v>36</v>
      </c>
      <c r="I1291" s="133"/>
      <c r="J1291" s="155"/>
      <c r="K1291" s="155"/>
      <c r="L1291" s="155"/>
      <c r="M1291" s="155"/>
      <c r="N1291" s="155"/>
      <c r="O1291" s="155"/>
    </row>
    <row r="1292" spans="1:15" ht="82.5">
      <c r="A1292" s="397"/>
      <c r="B1292" s="94" t="s">
        <v>3478</v>
      </c>
      <c r="C1292" s="74" t="s">
        <v>9746</v>
      </c>
      <c r="D1292" s="96" t="s">
        <v>3546</v>
      </c>
      <c r="E1292" s="73" t="s">
        <v>9463</v>
      </c>
      <c r="F1292" s="53" t="s">
        <v>9747</v>
      </c>
      <c r="G1292" s="60" t="s">
        <v>3548</v>
      </c>
      <c r="H1292" s="62" t="s">
        <v>36</v>
      </c>
      <c r="I1292" s="133"/>
      <c r="J1292" s="155"/>
      <c r="K1292" s="155"/>
      <c r="L1292" s="155"/>
      <c r="M1292" s="155"/>
      <c r="N1292" s="155"/>
      <c r="O1292" s="155"/>
    </row>
    <row r="1293" spans="1:15" ht="99">
      <c r="A1293" s="397"/>
      <c r="B1293" s="94" t="s">
        <v>3478</v>
      </c>
      <c r="C1293" s="74" t="s">
        <v>9748</v>
      </c>
      <c r="D1293" s="96" t="s">
        <v>3550</v>
      </c>
      <c r="E1293" s="73" t="s">
        <v>9463</v>
      </c>
      <c r="F1293" s="53" t="s">
        <v>3551</v>
      </c>
      <c r="G1293" s="60" t="s">
        <v>3552</v>
      </c>
      <c r="H1293" s="62" t="s">
        <v>36</v>
      </c>
      <c r="I1293" s="133"/>
      <c r="J1293" s="155"/>
      <c r="K1293" s="155"/>
      <c r="L1293" s="155"/>
      <c r="M1293" s="155"/>
      <c r="N1293" s="155"/>
      <c r="O1293" s="155"/>
    </row>
    <row r="1294" spans="1:15" ht="66">
      <c r="A1294" s="397"/>
      <c r="B1294" s="94" t="s">
        <v>3478</v>
      </c>
      <c r="C1294" s="74" t="s">
        <v>9749</v>
      </c>
      <c r="D1294" s="96" t="s">
        <v>3554</v>
      </c>
      <c r="E1294" s="73" t="s">
        <v>9463</v>
      </c>
      <c r="F1294" s="53" t="s">
        <v>3555</v>
      </c>
      <c r="G1294" s="60" t="s">
        <v>3556</v>
      </c>
      <c r="H1294" s="62" t="s">
        <v>36</v>
      </c>
      <c r="I1294" s="133"/>
      <c r="J1294" s="155"/>
      <c r="K1294" s="155"/>
      <c r="L1294" s="155"/>
      <c r="M1294" s="155"/>
      <c r="N1294" s="155"/>
      <c r="O1294" s="155"/>
    </row>
    <row r="1295" spans="1:15" ht="66">
      <c r="A1295" s="397"/>
      <c r="B1295" s="94" t="s">
        <v>3478</v>
      </c>
      <c r="C1295" s="74" t="s">
        <v>9750</v>
      </c>
      <c r="D1295" s="96" t="s">
        <v>3558</v>
      </c>
      <c r="E1295" s="73" t="s">
        <v>9463</v>
      </c>
      <c r="F1295" s="53" t="s">
        <v>3559</v>
      </c>
      <c r="G1295" s="60" t="s">
        <v>3556</v>
      </c>
      <c r="H1295" s="62" t="s">
        <v>36</v>
      </c>
      <c r="I1295" s="133"/>
      <c r="J1295" s="155"/>
      <c r="K1295" s="155"/>
      <c r="L1295" s="155"/>
      <c r="M1295" s="155"/>
      <c r="N1295" s="155"/>
      <c r="O1295" s="155"/>
    </row>
    <row r="1296" spans="1:15" ht="82.5">
      <c r="A1296" s="397"/>
      <c r="B1296" s="97" t="s">
        <v>3478</v>
      </c>
      <c r="C1296" s="79" t="s">
        <v>9751</v>
      </c>
      <c r="D1296" s="96" t="s">
        <v>3561</v>
      </c>
      <c r="E1296" s="78" t="s">
        <v>9490</v>
      </c>
      <c r="F1296" s="45" t="s">
        <v>9752</v>
      </c>
      <c r="G1296" s="46" t="s">
        <v>3563</v>
      </c>
      <c r="H1296" s="62" t="s">
        <v>24</v>
      </c>
      <c r="I1296" s="133"/>
      <c r="J1296" s="155"/>
      <c r="K1296" s="155"/>
      <c r="L1296" s="155"/>
      <c r="M1296" s="155"/>
      <c r="N1296" s="155"/>
      <c r="O1296" s="155"/>
    </row>
    <row r="1297" spans="1:15" ht="82.5">
      <c r="A1297" s="397"/>
      <c r="B1297" s="63" t="s">
        <v>3478</v>
      </c>
      <c r="C1297" s="48" t="s">
        <v>9753</v>
      </c>
      <c r="D1297" s="45" t="s">
        <v>3565</v>
      </c>
      <c r="E1297" s="78" t="s">
        <v>9754</v>
      </c>
      <c r="F1297" s="45" t="s">
        <v>9755</v>
      </c>
      <c r="G1297" s="46" t="s">
        <v>3563</v>
      </c>
      <c r="H1297" s="62" t="s">
        <v>24</v>
      </c>
      <c r="I1297" s="133"/>
      <c r="J1297" s="155"/>
      <c r="K1297" s="155"/>
      <c r="L1297" s="155"/>
      <c r="M1297" s="155"/>
      <c r="N1297" s="155"/>
      <c r="O1297" s="155"/>
    </row>
    <row r="1298" spans="1:15" ht="115.5">
      <c r="A1298" s="397"/>
      <c r="B1298" s="63" t="s">
        <v>3478</v>
      </c>
      <c r="C1298" s="48" t="s">
        <v>9756</v>
      </c>
      <c r="D1298" s="45" t="s">
        <v>3568</v>
      </c>
      <c r="E1298" s="78" t="s">
        <v>9754</v>
      </c>
      <c r="F1298" s="45" t="s">
        <v>3569</v>
      </c>
      <c r="G1298" s="46" t="s">
        <v>3570</v>
      </c>
      <c r="H1298" s="62"/>
      <c r="I1298" s="133"/>
      <c r="J1298" s="155"/>
      <c r="K1298" s="155"/>
      <c r="L1298" s="155"/>
      <c r="M1298" s="155"/>
      <c r="N1298" s="155"/>
      <c r="O1298" s="155"/>
    </row>
    <row r="1299" spans="1:15" ht="132">
      <c r="A1299" s="397"/>
      <c r="B1299" s="63" t="s">
        <v>3478</v>
      </c>
      <c r="C1299" s="48" t="s">
        <v>9757</v>
      </c>
      <c r="D1299" s="153" t="s">
        <v>9758</v>
      </c>
      <c r="E1299" s="78" t="s">
        <v>9759</v>
      </c>
      <c r="F1299" s="45" t="s">
        <v>9760</v>
      </c>
      <c r="G1299" s="46" t="s">
        <v>9761</v>
      </c>
      <c r="H1299" s="62" t="s">
        <v>117</v>
      </c>
      <c r="I1299" s="133"/>
      <c r="J1299" s="155"/>
      <c r="K1299" s="155"/>
      <c r="L1299" s="155"/>
      <c r="M1299" s="155"/>
      <c r="N1299" s="155"/>
      <c r="O1299" s="155"/>
    </row>
    <row r="1300" spans="1:15" ht="82.5">
      <c r="A1300" s="397"/>
      <c r="B1300" s="63" t="s">
        <v>3478</v>
      </c>
      <c r="C1300" s="48" t="s">
        <v>9762</v>
      </c>
      <c r="D1300" s="153" t="s">
        <v>3574</v>
      </c>
      <c r="E1300" s="78" t="s">
        <v>9759</v>
      </c>
      <c r="F1300" s="45" t="s">
        <v>9763</v>
      </c>
      <c r="G1300" s="46" t="s">
        <v>3576</v>
      </c>
      <c r="H1300" s="62" t="s">
        <v>117</v>
      </c>
      <c r="I1300" s="133"/>
      <c r="J1300" s="155"/>
      <c r="K1300" s="155"/>
      <c r="L1300" s="155"/>
      <c r="M1300" s="155"/>
      <c r="N1300" s="155"/>
      <c r="O1300" s="155"/>
    </row>
    <row r="1301" spans="1:15" ht="82.5">
      <c r="A1301" s="397"/>
      <c r="B1301" s="63" t="s">
        <v>3478</v>
      </c>
      <c r="C1301" s="48" t="s">
        <v>9764</v>
      </c>
      <c r="D1301" s="153" t="s">
        <v>3578</v>
      </c>
      <c r="E1301" s="78" t="s">
        <v>9759</v>
      </c>
      <c r="F1301" s="45" t="s">
        <v>3579</v>
      </c>
      <c r="G1301" s="46" t="s">
        <v>9765</v>
      </c>
      <c r="H1301" s="62" t="s">
        <v>41</v>
      </c>
      <c r="I1301" s="133"/>
      <c r="J1301" s="155"/>
      <c r="K1301" s="155"/>
      <c r="L1301" s="155"/>
      <c r="M1301" s="155"/>
      <c r="N1301" s="155"/>
      <c r="O1301" s="155"/>
    </row>
    <row r="1302" spans="1:15" ht="66">
      <c r="A1302" s="397"/>
      <c r="B1302" s="63" t="s">
        <v>3478</v>
      </c>
      <c r="C1302" s="48" t="s">
        <v>9766</v>
      </c>
      <c r="D1302" s="153" t="s">
        <v>3582</v>
      </c>
      <c r="E1302" s="73" t="s">
        <v>9463</v>
      </c>
      <c r="F1302" s="45" t="s">
        <v>3583</v>
      </c>
      <c r="G1302" s="46" t="s">
        <v>3584</v>
      </c>
      <c r="H1302" s="62" t="s">
        <v>24</v>
      </c>
      <c r="I1302" s="133"/>
      <c r="J1302" s="155"/>
      <c r="K1302" s="155"/>
      <c r="L1302" s="155"/>
      <c r="M1302" s="155"/>
      <c r="N1302" s="155"/>
      <c r="O1302" s="155"/>
    </row>
    <row r="1303" spans="1:15" ht="66">
      <c r="A1303" s="398"/>
      <c r="B1303" s="63" t="s">
        <v>3478</v>
      </c>
      <c r="C1303" s="48" t="s">
        <v>9767</v>
      </c>
      <c r="D1303" s="153" t="s">
        <v>3586</v>
      </c>
      <c r="E1303" s="73" t="s">
        <v>9463</v>
      </c>
      <c r="F1303" s="45" t="s">
        <v>3587</v>
      </c>
      <c r="G1303" s="46" t="s">
        <v>3588</v>
      </c>
      <c r="H1303" s="62" t="s">
        <v>24</v>
      </c>
      <c r="I1303" s="133"/>
      <c r="J1303" s="155"/>
      <c r="K1303" s="155"/>
      <c r="L1303" s="155"/>
      <c r="M1303" s="155"/>
      <c r="N1303" s="155"/>
      <c r="O1303" s="155"/>
    </row>
    <row r="1304" spans="1:15" ht="82.5">
      <c r="A1304" s="399" t="s">
        <v>3598</v>
      </c>
      <c r="B1304" s="65" t="s">
        <v>3598</v>
      </c>
      <c r="C1304" s="45" t="s">
        <v>9768</v>
      </c>
      <c r="D1304" s="45" t="s">
        <v>3601</v>
      </c>
      <c r="E1304" s="78" t="s">
        <v>9769</v>
      </c>
      <c r="F1304" s="45" t="s">
        <v>9770</v>
      </c>
      <c r="G1304" s="46" t="s">
        <v>3604</v>
      </c>
      <c r="H1304" s="62" t="s">
        <v>30</v>
      </c>
      <c r="I1304" s="133"/>
      <c r="J1304" s="155"/>
      <c r="K1304" s="155"/>
      <c r="L1304" s="155"/>
      <c r="M1304" s="155"/>
      <c r="N1304" s="155"/>
      <c r="O1304" s="155"/>
    </row>
    <row r="1305" spans="1:15" ht="313.5">
      <c r="A1305" s="399"/>
      <c r="B1305" s="65" t="s">
        <v>3598</v>
      </c>
      <c r="C1305" s="45" t="s">
        <v>9771</v>
      </c>
      <c r="D1305" s="45" t="s">
        <v>3606</v>
      </c>
      <c r="E1305" s="78" t="s">
        <v>9772</v>
      </c>
      <c r="F1305" s="45" t="s">
        <v>9773</v>
      </c>
      <c r="G1305" s="46" t="s">
        <v>3608</v>
      </c>
      <c r="H1305" s="62" t="s">
        <v>41</v>
      </c>
      <c r="I1305" s="133"/>
      <c r="J1305" s="155"/>
      <c r="K1305" s="155"/>
      <c r="L1305" s="155"/>
      <c r="M1305" s="155"/>
      <c r="N1305" s="155"/>
      <c r="O1305" s="155"/>
    </row>
    <row r="1306" spans="1:15" ht="330">
      <c r="A1306" s="399"/>
      <c r="B1306" s="65" t="s">
        <v>3598</v>
      </c>
      <c r="C1306" s="45" t="s">
        <v>9774</v>
      </c>
      <c r="D1306" s="45" t="s">
        <v>3610</v>
      </c>
      <c r="E1306" s="78" t="s">
        <v>9772</v>
      </c>
      <c r="F1306" s="45" t="s">
        <v>9775</v>
      </c>
      <c r="G1306" s="46" t="s">
        <v>3612</v>
      </c>
      <c r="H1306" s="62" t="s">
        <v>30</v>
      </c>
      <c r="I1306" s="133"/>
      <c r="J1306" s="155"/>
      <c r="K1306" s="155"/>
      <c r="L1306" s="155"/>
      <c r="M1306" s="155"/>
      <c r="N1306" s="155"/>
      <c r="O1306" s="155"/>
    </row>
    <row r="1307" spans="1:15" ht="132">
      <c r="A1307" s="399"/>
      <c r="B1307" s="67" t="s">
        <v>3598</v>
      </c>
      <c r="C1307" s="53" t="s">
        <v>9776</v>
      </c>
      <c r="D1307" s="53" t="s">
        <v>3614</v>
      </c>
      <c r="E1307" s="73" t="s">
        <v>9772</v>
      </c>
      <c r="F1307" s="53" t="s">
        <v>9777</v>
      </c>
      <c r="G1307" s="60" t="s">
        <v>3616</v>
      </c>
      <c r="H1307" s="62" t="s">
        <v>36</v>
      </c>
      <c r="I1307" s="133"/>
      <c r="J1307" s="155"/>
      <c r="K1307" s="155"/>
      <c r="L1307" s="155"/>
      <c r="M1307" s="155"/>
      <c r="N1307" s="155"/>
      <c r="O1307" s="155"/>
    </row>
    <row r="1308" spans="1:15" ht="148.5">
      <c r="A1308" s="399"/>
      <c r="B1308" s="67" t="s">
        <v>3598</v>
      </c>
      <c r="C1308" s="53" t="s">
        <v>9778</v>
      </c>
      <c r="D1308" s="53" t="s">
        <v>3618</v>
      </c>
      <c r="E1308" s="73" t="s">
        <v>9772</v>
      </c>
      <c r="F1308" s="53" t="s">
        <v>9779</v>
      </c>
      <c r="G1308" s="60" t="s">
        <v>3620</v>
      </c>
      <c r="H1308" s="62" t="s">
        <v>36</v>
      </c>
      <c r="I1308" s="133"/>
      <c r="J1308" s="155"/>
      <c r="K1308" s="155"/>
      <c r="L1308" s="155"/>
      <c r="M1308" s="155"/>
      <c r="N1308" s="155"/>
      <c r="O1308" s="155"/>
    </row>
    <row r="1309" spans="1:15" ht="82.5">
      <c r="A1309" s="399"/>
      <c r="B1309" s="65" t="s">
        <v>3598</v>
      </c>
      <c r="C1309" s="53" t="s">
        <v>9780</v>
      </c>
      <c r="D1309" s="45" t="s">
        <v>3622</v>
      </c>
      <c r="E1309" s="78" t="s">
        <v>9769</v>
      </c>
      <c r="F1309" s="45" t="s">
        <v>9781</v>
      </c>
      <c r="G1309" s="46" t="s">
        <v>3624</v>
      </c>
      <c r="H1309" s="62" t="s">
        <v>36</v>
      </c>
      <c r="I1309" s="133"/>
      <c r="J1309" s="155"/>
      <c r="K1309" s="155"/>
      <c r="L1309" s="155"/>
      <c r="M1309" s="155"/>
      <c r="N1309" s="155"/>
      <c r="O1309" s="155"/>
    </row>
    <row r="1310" spans="1:15" ht="82.5">
      <c r="A1310" s="399"/>
      <c r="B1310" s="65" t="s">
        <v>3598</v>
      </c>
      <c r="C1310" s="53" t="s">
        <v>9782</v>
      </c>
      <c r="D1310" s="45" t="s">
        <v>3626</v>
      </c>
      <c r="E1310" s="78" t="s">
        <v>9772</v>
      </c>
      <c r="F1310" s="45" t="s">
        <v>9783</v>
      </c>
      <c r="G1310" s="46" t="s">
        <v>3628</v>
      </c>
      <c r="H1310" s="62" t="s">
        <v>36</v>
      </c>
      <c r="I1310" s="133"/>
      <c r="J1310" s="155"/>
      <c r="K1310" s="155"/>
      <c r="L1310" s="155"/>
      <c r="M1310" s="155"/>
      <c r="N1310" s="155"/>
      <c r="O1310" s="155"/>
    </row>
    <row r="1311" spans="1:15" ht="82.5">
      <c r="A1311" s="399"/>
      <c r="B1311" s="65" t="s">
        <v>3598</v>
      </c>
      <c r="C1311" s="53" t="s">
        <v>9784</v>
      </c>
      <c r="D1311" s="45" t="s">
        <v>3630</v>
      </c>
      <c r="E1311" s="78" t="s">
        <v>9772</v>
      </c>
      <c r="F1311" s="45" t="s">
        <v>9785</v>
      </c>
      <c r="G1311" s="46" t="s">
        <v>3631</v>
      </c>
      <c r="H1311" s="62" t="s">
        <v>62</v>
      </c>
      <c r="I1311" s="133"/>
      <c r="J1311" s="155"/>
      <c r="K1311" s="155"/>
      <c r="L1311" s="155"/>
      <c r="M1311" s="155"/>
      <c r="N1311" s="155"/>
      <c r="O1311" s="155"/>
    </row>
    <row r="1312" spans="1:15" ht="115.5">
      <c r="A1312" s="399"/>
      <c r="B1312" s="65" t="s">
        <v>3598</v>
      </c>
      <c r="C1312" s="53" t="s">
        <v>9786</v>
      </c>
      <c r="D1312" s="45" t="s">
        <v>3633</v>
      </c>
      <c r="E1312" s="78" t="s">
        <v>9772</v>
      </c>
      <c r="F1312" s="45" t="s">
        <v>9787</v>
      </c>
      <c r="G1312" s="46" t="s">
        <v>3635</v>
      </c>
      <c r="H1312" s="62" t="s">
        <v>36</v>
      </c>
      <c r="I1312" s="133"/>
      <c r="J1312" s="155"/>
      <c r="K1312" s="155"/>
      <c r="L1312" s="155"/>
      <c r="M1312" s="155"/>
      <c r="N1312" s="155"/>
      <c r="O1312" s="155"/>
    </row>
    <row r="1313" spans="1:15" ht="148.5">
      <c r="A1313" s="399"/>
      <c r="B1313" s="65" t="s">
        <v>3598</v>
      </c>
      <c r="C1313" s="53" t="s">
        <v>9788</v>
      </c>
      <c r="D1313" s="45" t="s">
        <v>3637</v>
      </c>
      <c r="E1313" s="78" t="s">
        <v>9772</v>
      </c>
      <c r="F1313" s="45" t="s">
        <v>9789</v>
      </c>
      <c r="G1313" s="46" t="s">
        <v>3638</v>
      </c>
      <c r="H1313" s="62" t="s">
        <v>24</v>
      </c>
      <c r="I1313" s="119"/>
      <c r="J1313" s="155"/>
      <c r="K1313" s="155"/>
      <c r="L1313" s="155"/>
      <c r="M1313" s="155"/>
      <c r="N1313" s="155"/>
      <c r="O1313" s="155"/>
    </row>
    <row r="1314" spans="1:15" ht="82.5">
      <c r="A1314" s="399"/>
      <c r="B1314" s="65" t="s">
        <v>3598</v>
      </c>
      <c r="C1314" s="53" t="s">
        <v>9790</v>
      </c>
      <c r="D1314" s="45" t="s">
        <v>3640</v>
      </c>
      <c r="E1314" s="78" t="s">
        <v>9772</v>
      </c>
      <c r="F1314" s="45" t="s">
        <v>9791</v>
      </c>
      <c r="G1314" s="46" t="s">
        <v>3642</v>
      </c>
      <c r="H1314" s="62" t="s">
        <v>24</v>
      </c>
      <c r="I1314" s="133"/>
      <c r="J1314" s="155"/>
      <c r="K1314" s="155"/>
      <c r="L1314" s="155"/>
      <c r="M1314" s="155"/>
      <c r="N1314" s="155"/>
      <c r="O1314" s="155"/>
    </row>
    <row r="1315" spans="1:15" ht="148.5">
      <c r="A1315" s="399"/>
      <c r="B1315" s="65" t="s">
        <v>3598</v>
      </c>
      <c r="C1315" s="53" t="s">
        <v>9792</v>
      </c>
      <c r="D1315" s="45" t="s">
        <v>3644</v>
      </c>
      <c r="E1315" s="78" t="s">
        <v>9772</v>
      </c>
      <c r="F1315" s="45" t="s">
        <v>9793</v>
      </c>
      <c r="G1315" s="46" t="s">
        <v>3646</v>
      </c>
      <c r="H1315" s="62" t="s">
        <v>24</v>
      </c>
      <c r="I1315" s="133"/>
      <c r="J1315" s="155"/>
      <c r="K1315" s="155"/>
      <c r="L1315" s="155"/>
      <c r="M1315" s="155"/>
      <c r="N1315" s="155"/>
      <c r="O1315" s="155"/>
    </row>
    <row r="1316" spans="1:15" ht="99">
      <c r="A1316" s="399"/>
      <c r="B1316" s="65" t="s">
        <v>3598</v>
      </c>
      <c r="C1316" s="53" t="s">
        <v>9794</v>
      </c>
      <c r="D1316" s="45" t="s">
        <v>3648</v>
      </c>
      <c r="E1316" s="78" t="s">
        <v>9769</v>
      </c>
      <c r="F1316" s="45" t="s">
        <v>9795</v>
      </c>
      <c r="G1316" s="46" t="s">
        <v>3650</v>
      </c>
      <c r="H1316" s="62" t="s">
        <v>41</v>
      </c>
      <c r="I1316" s="133"/>
      <c r="J1316" s="155"/>
      <c r="K1316" s="155"/>
      <c r="L1316" s="155"/>
      <c r="M1316" s="155"/>
      <c r="N1316" s="155"/>
      <c r="O1316" s="155"/>
    </row>
    <row r="1317" spans="1:15" ht="115.5">
      <c r="A1317" s="399"/>
      <c r="B1317" s="65" t="s">
        <v>3598</v>
      </c>
      <c r="C1317" s="53" t="s">
        <v>9796</v>
      </c>
      <c r="D1317" s="45" t="s">
        <v>3664</v>
      </c>
      <c r="E1317" s="78" t="s">
        <v>9772</v>
      </c>
      <c r="F1317" s="45" t="s">
        <v>3665</v>
      </c>
      <c r="G1317" s="46" t="s">
        <v>3666</v>
      </c>
      <c r="H1317" s="62" t="s">
        <v>24</v>
      </c>
      <c r="I1317" s="133"/>
      <c r="J1317" s="155"/>
      <c r="K1317" s="155"/>
      <c r="L1317" s="155"/>
      <c r="M1317" s="155"/>
      <c r="N1317" s="155"/>
      <c r="O1317" s="155"/>
    </row>
    <row r="1318" spans="1:15" ht="148.5">
      <c r="A1318" s="399"/>
      <c r="B1318" s="65" t="s">
        <v>3598</v>
      </c>
      <c r="C1318" s="53" t="s">
        <v>9797</v>
      </c>
      <c r="D1318" s="45" t="s">
        <v>3668</v>
      </c>
      <c r="E1318" s="78" t="s">
        <v>9772</v>
      </c>
      <c r="F1318" s="45" t="s">
        <v>9789</v>
      </c>
      <c r="G1318" s="46" t="s">
        <v>3638</v>
      </c>
      <c r="H1318" s="62" t="s">
        <v>24</v>
      </c>
      <c r="I1318" s="119"/>
      <c r="J1318" s="155"/>
      <c r="K1318" s="155"/>
      <c r="L1318" s="155"/>
      <c r="M1318" s="155"/>
      <c r="N1318" s="155"/>
      <c r="O1318" s="155"/>
    </row>
    <row r="1319" spans="1:15" ht="82.5">
      <c r="A1319" s="399"/>
      <c r="B1319" s="65" t="s">
        <v>3598</v>
      </c>
      <c r="C1319" s="53" t="s">
        <v>9798</v>
      </c>
      <c r="D1319" s="45" t="s">
        <v>3670</v>
      </c>
      <c r="E1319" s="78" t="s">
        <v>9772</v>
      </c>
      <c r="F1319" s="45" t="s">
        <v>3671</v>
      </c>
      <c r="G1319" s="46" t="s">
        <v>3672</v>
      </c>
      <c r="H1319" s="62" t="s">
        <v>30</v>
      </c>
      <c r="I1319" s="133"/>
      <c r="J1319" s="155"/>
      <c r="K1319" s="155"/>
      <c r="L1319" s="155"/>
      <c r="M1319" s="155"/>
      <c r="N1319" s="155"/>
      <c r="O1319" s="155"/>
    </row>
    <row r="1320" spans="1:15" ht="148.5">
      <c r="A1320" s="399"/>
      <c r="B1320" s="65" t="s">
        <v>3598</v>
      </c>
      <c r="C1320" s="53" t="s">
        <v>9799</v>
      </c>
      <c r="D1320" s="45" t="s">
        <v>3674</v>
      </c>
      <c r="E1320" s="78" t="s">
        <v>9772</v>
      </c>
      <c r="F1320" s="45" t="s">
        <v>3675</v>
      </c>
      <c r="G1320" s="46" t="s">
        <v>3676</v>
      </c>
      <c r="H1320" s="62" t="s">
        <v>41</v>
      </c>
      <c r="I1320" s="133"/>
      <c r="J1320" s="155"/>
      <c r="K1320" s="155"/>
      <c r="L1320" s="155"/>
      <c r="M1320" s="155"/>
      <c r="N1320" s="155"/>
      <c r="O1320" s="155"/>
    </row>
    <row r="1321" spans="1:15" ht="99">
      <c r="A1321" s="399"/>
      <c r="B1321" s="65" t="s">
        <v>3598</v>
      </c>
      <c r="C1321" s="53" t="s">
        <v>9800</v>
      </c>
      <c r="D1321" s="45" t="s">
        <v>3678</v>
      </c>
      <c r="E1321" s="78" t="s">
        <v>9772</v>
      </c>
      <c r="F1321" s="45" t="s">
        <v>3679</v>
      </c>
      <c r="G1321" s="46" t="s">
        <v>3650</v>
      </c>
      <c r="H1321" s="62" t="s">
        <v>41</v>
      </c>
      <c r="I1321" s="133"/>
      <c r="J1321" s="155"/>
      <c r="K1321" s="155"/>
      <c r="L1321" s="155"/>
      <c r="M1321" s="155"/>
      <c r="N1321" s="155"/>
      <c r="O1321" s="155"/>
    </row>
    <row r="1322" spans="1:15" ht="82.5">
      <c r="A1322" s="399"/>
      <c r="B1322" s="65" t="s">
        <v>3598</v>
      </c>
      <c r="C1322" s="53" t="s">
        <v>9801</v>
      </c>
      <c r="D1322" s="45" t="s">
        <v>3681</v>
      </c>
      <c r="E1322" s="78" t="s">
        <v>9772</v>
      </c>
      <c r="F1322" s="45" t="s">
        <v>3682</v>
      </c>
      <c r="G1322" s="46" t="s">
        <v>3683</v>
      </c>
      <c r="H1322" s="62" t="s">
        <v>41</v>
      </c>
      <c r="I1322" s="133"/>
      <c r="J1322" s="155"/>
      <c r="K1322" s="155"/>
      <c r="L1322" s="155"/>
      <c r="M1322" s="155"/>
      <c r="N1322" s="155"/>
      <c r="O1322" s="155"/>
    </row>
    <row r="1323" spans="1:15" ht="313.5">
      <c r="A1323" s="399"/>
      <c r="B1323" s="65" t="s">
        <v>3598</v>
      </c>
      <c r="C1323" s="53" t="s">
        <v>9802</v>
      </c>
      <c r="D1323" s="45" t="s">
        <v>3685</v>
      </c>
      <c r="E1323" s="78" t="s">
        <v>9772</v>
      </c>
      <c r="F1323" s="45" t="s">
        <v>3686</v>
      </c>
      <c r="G1323" s="46" t="s">
        <v>3687</v>
      </c>
      <c r="H1323" s="62" t="s">
        <v>36</v>
      </c>
      <c r="I1323" s="133"/>
      <c r="J1323" s="155"/>
      <c r="K1323" s="155"/>
      <c r="L1323" s="155"/>
      <c r="M1323" s="155"/>
      <c r="N1323" s="155"/>
      <c r="O1323" s="155"/>
    </row>
    <row r="1324" spans="1:15" ht="330">
      <c r="A1324" s="399"/>
      <c r="B1324" s="65" t="s">
        <v>3598</v>
      </c>
      <c r="C1324" s="53" t="s">
        <v>9803</v>
      </c>
      <c r="D1324" s="45" t="s">
        <v>3688</v>
      </c>
      <c r="E1324" s="78" t="s">
        <v>9772</v>
      </c>
      <c r="F1324" s="45" t="s">
        <v>3689</v>
      </c>
      <c r="G1324" s="46" t="s">
        <v>3690</v>
      </c>
      <c r="H1324" s="62" t="s">
        <v>36</v>
      </c>
      <c r="I1324" s="133"/>
      <c r="J1324" s="155"/>
      <c r="K1324" s="155"/>
      <c r="L1324" s="155"/>
      <c r="M1324" s="155"/>
      <c r="N1324" s="155"/>
      <c r="O1324" s="155"/>
    </row>
    <row r="1325" spans="1:15" ht="132">
      <c r="A1325" s="399"/>
      <c r="B1325" s="67" t="s">
        <v>3598</v>
      </c>
      <c r="C1325" s="53" t="s">
        <v>9804</v>
      </c>
      <c r="D1325" s="45" t="s">
        <v>3692</v>
      </c>
      <c r="E1325" s="73" t="s">
        <v>9772</v>
      </c>
      <c r="F1325" s="53" t="s">
        <v>3693</v>
      </c>
      <c r="G1325" s="60" t="s">
        <v>3694</v>
      </c>
      <c r="H1325" s="62" t="s">
        <v>36</v>
      </c>
      <c r="I1325" s="133"/>
      <c r="J1325" s="155"/>
      <c r="K1325" s="155"/>
      <c r="L1325" s="155"/>
      <c r="M1325" s="155"/>
      <c r="N1325" s="155"/>
      <c r="O1325" s="155"/>
    </row>
    <row r="1326" spans="1:15" ht="148.5">
      <c r="A1326" s="399"/>
      <c r="B1326" s="67" t="s">
        <v>3598</v>
      </c>
      <c r="C1326" s="53" t="s">
        <v>9805</v>
      </c>
      <c r="D1326" s="45" t="s">
        <v>3696</v>
      </c>
      <c r="E1326" s="73" t="s">
        <v>9772</v>
      </c>
      <c r="F1326" s="53" t="s">
        <v>3697</v>
      </c>
      <c r="G1326" s="60" t="s">
        <v>3698</v>
      </c>
      <c r="H1326" s="62" t="s">
        <v>36</v>
      </c>
      <c r="I1326" s="133"/>
      <c r="J1326" s="155"/>
      <c r="K1326" s="155"/>
      <c r="L1326" s="155"/>
      <c r="M1326" s="155"/>
      <c r="N1326" s="155"/>
      <c r="O1326" s="155"/>
    </row>
    <row r="1327" spans="1:15" ht="132">
      <c r="A1327" s="399"/>
      <c r="B1327" s="65" t="s">
        <v>3598</v>
      </c>
      <c r="C1327" s="53" t="s">
        <v>9806</v>
      </c>
      <c r="D1327" s="45" t="s">
        <v>3711</v>
      </c>
      <c r="E1327" s="78" t="s">
        <v>9772</v>
      </c>
      <c r="F1327" s="45" t="s">
        <v>3712</v>
      </c>
      <c r="G1327" s="46" t="s">
        <v>3713</v>
      </c>
      <c r="H1327" s="62" t="s">
        <v>41</v>
      </c>
      <c r="I1327" s="133"/>
      <c r="J1327" s="155"/>
      <c r="K1327" s="155"/>
      <c r="L1327" s="155"/>
      <c r="M1327" s="155"/>
      <c r="N1327" s="155"/>
      <c r="O1327" s="155"/>
    </row>
    <row r="1328" spans="1:15" ht="165">
      <c r="A1328" s="399"/>
      <c r="B1328" s="65" t="s">
        <v>3598</v>
      </c>
      <c r="C1328" s="53" t="s">
        <v>9807</v>
      </c>
      <c r="D1328" s="45" t="s">
        <v>3715</v>
      </c>
      <c r="E1328" s="78" t="s">
        <v>9772</v>
      </c>
      <c r="F1328" s="45" t="s">
        <v>3716</v>
      </c>
      <c r="G1328" s="46" t="s">
        <v>3717</v>
      </c>
      <c r="H1328" s="62" t="s">
        <v>41</v>
      </c>
      <c r="I1328" s="133"/>
      <c r="J1328" s="155"/>
      <c r="K1328" s="155"/>
      <c r="L1328" s="155"/>
      <c r="M1328" s="155"/>
      <c r="N1328" s="155"/>
      <c r="O1328" s="155"/>
    </row>
    <row r="1329" spans="1:15" ht="198">
      <c r="A1329" s="399"/>
      <c r="B1329" s="65" t="s">
        <v>3598</v>
      </c>
      <c r="C1329" s="53" t="s">
        <v>9808</v>
      </c>
      <c r="D1329" s="45" t="s">
        <v>3719</v>
      </c>
      <c r="E1329" s="78" t="s">
        <v>9772</v>
      </c>
      <c r="F1329" s="45" t="s">
        <v>3720</v>
      </c>
      <c r="G1329" s="46" t="s">
        <v>3721</v>
      </c>
      <c r="H1329" s="62" t="s">
        <v>41</v>
      </c>
      <c r="I1329" s="133"/>
      <c r="J1329" s="155"/>
      <c r="K1329" s="155"/>
      <c r="L1329" s="155"/>
      <c r="M1329" s="155"/>
      <c r="N1329" s="155"/>
      <c r="O1329" s="155"/>
    </row>
    <row r="1330" spans="1:15" ht="82.5">
      <c r="A1330" s="399"/>
      <c r="B1330" s="65" t="s">
        <v>3598</v>
      </c>
      <c r="C1330" s="53" t="s">
        <v>9809</v>
      </c>
      <c r="D1330" s="45" t="s">
        <v>3723</v>
      </c>
      <c r="E1330" s="78" t="s">
        <v>9769</v>
      </c>
      <c r="F1330" s="45" t="s">
        <v>3724</v>
      </c>
      <c r="G1330" s="46" t="s">
        <v>3725</v>
      </c>
      <c r="H1330" s="62" t="s">
        <v>41</v>
      </c>
      <c r="I1330" s="133"/>
      <c r="J1330" s="155"/>
      <c r="K1330" s="155"/>
      <c r="L1330" s="155"/>
      <c r="M1330" s="155"/>
      <c r="N1330" s="155"/>
      <c r="O1330" s="155"/>
    </row>
    <row r="1331" spans="1:15" ht="132">
      <c r="A1331" s="399"/>
      <c r="B1331" s="65" t="s">
        <v>3598</v>
      </c>
      <c r="C1331" s="53" t="s">
        <v>9810</v>
      </c>
      <c r="D1331" s="45" t="s">
        <v>3727</v>
      </c>
      <c r="E1331" s="78" t="s">
        <v>9772</v>
      </c>
      <c r="F1331" s="45" t="s">
        <v>3728</v>
      </c>
      <c r="G1331" s="46" t="s">
        <v>3729</v>
      </c>
      <c r="H1331" s="62" t="s">
        <v>24</v>
      </c>
      <c r="I1331" s="133"/>
      <c r="J1331" s="155"/>
      <c r="K1331" s="155"/>
      <c r="L1331" s="155"/>
      <c r="M1331" s="155"/>
      <c r="N1331" s="155"/>
      <c r="O1331" s="155"/>
    </row>
    <row r="1332" spans="1:15" ht="165">
      <c r="A1332" s="399"/>
      <c r="B1332" s="65" t="s">
        <v>3598</v>
      </c>
      <c r="C1332" s="53" t="s">
        <v>9811</v>
      </c>
      <c r="D1332" s="45" t="s">
        <v>3731</v>
      </c>
      <c r="E1332" s="78" t="s">
        <v>9772</v>
      </c>
      <c r="F1332" s="45" t="s">
        <v>3732</v>
      </c>
      <c r="G1332" s="46" t="s">
        <v>3733</v>
      </c>
      <c r="H1332" s="62" t="s">
        <v>24</v>
      </c>
      <c r="I1332" s="133"/>
      <c r="J1332" s="155"/>
      <c r="K1332" s="155"/>
      <c r="L1332" s="155"/>
      <c r="M1332" s="155"/>
      <c r="N1332" s="155"/>
      <c r="O1332" s="155"/>
    </row>
    <row r="1333" spans="1:15" ht="198">
      <c r="A1333" s="399"/>
      <c r="B1333" s="65" t="s">
        <v>3598</v>
      </c>
      <c r="C1333" s="53" t="s">
        <v>9812</v>
      </c>
      <c r="D1333" s="45" t="s">
        <v>3735</v>
      </c>
      <c r="E1333" s="78" t="s">
        <v>9772</v>
      </c>
      <c r="F1333" s="45" t="s">
        <v>3736</v>
      </c>
      <c r="G1333" s="46" t="s">
        <v>3737</v>
      </c>
      <c r="H1333" s="62" t="s">
        <v>24</v>
      </c>
      <c r="I1333" s="133"/>
      <c r="J1333" s="155"/>
      <c r="K1333" s="155"/>
      <c r="L1333" s="155"/>
      <c r="M1333" s="155"/>
      <c r="N1333" s="155"/>
      <c r="O1333" s="155"/>
    </row>
    <row r="1334" spans="1:15" ht="82.5">
      <c r="A1334" s="399"/>
      <c r="B1334" s="65" t="s">
        <v>3598</v>
      </c>
      <c r="C1334" s="53" t="s">
        <v>9813</v>
      </c>
      <c r="D1334" s="45" t="s">
        <v>3739</v>
      </c>
      <c r="E1334" s="78" t="s">
        <v>9772</v>
      </c>
      <c r="F1334" s="45" t="s">
        <v>3740</v>
      </c>
      <c r="G1334" s="46" t="s">
        <v>3725</v>
      </c>
      <c r="H1334" s="62" t="s">
        <v>24</v>
      </c>
      <c r="I1334" s="133"/>
      <c r="J1334" s="155"/>
      <c r="K1334" s="155"/>
      <c r="L1334" s="155"/>
      <c r="M1334" s="155"/>
      <c r="N1334" s="155"/>
      <c r="O1334" s="155"/>
    </row>
    <row r="1335" spans="1:15" ht="214.5">
      <c r="A1335" s="399"/>
      <c r="B1335" s="65" t="s">
        <v>3598</v>
      </c>
      <c r="C1335" s="45" t="s">
        <v>9814</v>
      </c>
      <c r="D1335" s="45" t="s">
        <v>3743</v>
      </c>
      <c r="E1335" s="78" t="s">
        <v>9815</v>
      </c>
      <c r="F1335" s="45" t="s">
        <v>3744</v>
      </c>
      <c r="G1335" s="46" t="s">
        <v>3745</v>
      </c>
      <c r="H1335" s="62" t="s">
        <v>24</v>
      </c>
      <c r="I1335" s="133"/>
      <c r="J1335" s="155"/>
      <c r="K1335" s="155"/>
      <c r="L1335" s="155"/>
      <c r="M1335" s="155"/>
      <c r="N1335" s="155"/>
      <c r="O1335" s="155"/>
    </row>
    <row r="1336" spans="1:15" ht="115.5">
      <c r="A1336" s="399"/>
      <c r="B1336" s="65" t="s">
        <v>3598</v>
      </c>
      <c r="C1336" s="45" t="s">
        <v>9816</v>
      </c>
      <c r="D1336" s="45" t="s">
        <v>3746</v>
      </c>
      <c r="E1336" s="78" t="s">
        <v>9815</v>
      </c>
      <c r="F1336" s="45" t="s">
        <v>3747</v>
      </c>
      <c r="G1336" s="46" t="s">
        <v>3748</v>
      </c>
      <c r="H1336" s="62" t="s">
        <v>62</v>
      </c>
      <c r="I1336" s="133"/>
      <c r="J1336" s="155"/>
      <c r="K1336" s="155"/>
      <c r="L1336" s="155"/>
      <c r="M1336" s="155"/>
      <c r="N1336" s="155"/>
      <c r="O1336" s="155"/>
    </row>
    <row r="1337" spans="1:15" ht="214.5">
      <c r="A1337" s="399"/>
      <c r="B1337" s="65" t="s">
        <v>3598</v>
      </c>
      <c r="C1337" s="45" t="s">
        <v>9817</v>
      </c>
      <c r="D1337" s="45" t="s">
        <v>3750</v>
      </c>
      <c r="E1337" s="78" t="s">
        <v>9463</v>
      </c>
      <c r="F1337" s="45" t="s">
        <v>3751</v>
      </c>
      <c r="G1337" s="46" t="s">
        <v>3752</v>
      </c>
      <c r="H1337" s="62" t="s">
        <v>24</v>
      </c>
      <c r="I1337" s="133"/>
      <c r="J1337" s="155"/>
      <c r="K1337" s="155"/>
      <c r="L1337" s="155"/>
      <c r="M1337" s="155"/>
      <c r="N1337" s="155"/>
      <c r="O1337" s="155"/>
    </row>
    <row r="1338" spans="1:15" ht="115.5">
      <c r="A1338" s="399"/>
      <c r="B1338" s="65" t="s">
        <v>3598</v>
      </c>
      <c r="C1338" s="45" t="s">
        <v>9818</v>
      </c>
      <c r="D1338" s="45" t="s">
        <v>3753</v>
      </c>
      <c r="E1338" s="78" t="s">
        <v>9463</v>
      </c>
      <c r="F1338" s="45" t="s">
        <v>3754</v>
      </c>
      <c r="G1338" s="46" t="s">
        <v>3755</v>
      </c>
      <c r="H1338" s="62" t="s">
        <v>62</v>
      </c>
      <c r="I1338" s="133"/>
      <c r="J1338" s="155"/>
      <c r="K1338" s="155"/>
      <c r="L1338" s="155"/>
      <c r="M1338" s="155"/>
      <c r="N1338" s="155"/>
      <c r="O1338" s="155"/>
    </row>
    <row r="1339" spans="1:15" ht="264">
      <c r="A1339" s="399"/>
      <c r="B1339" s="65" t="s">
        <v>3598</v>
      </c>
      <c r="C1339" s="45" t="s">
        <v>9819</v>
      </c>
      <c r="D1339" s="45" t="s">
        <v>3757</v>
      </c>
      <c r="E1339" s="78" t="s">
        <v>9463</v>
      </c>
      <c r="F1339" s="45" t="s">
        <v>3758</v>
      </c>
      <c r="G1339" s="46" t="s">
        <v>3759</v>
      </c>
      <c r="H1339" s="62" t="s">
        <v>24</v>
      </c>
      <c r="I1339" s="133"/>
      <c r="J1339" s="155"/>
      <c r="K1339" s="155"/>
      <c r="L1339" s="155"/>
      <c r="M1339" s="155"/>
      <c r="N1339" s="155"/>
      <c r="O1339" s="155"/>
    </row>
    <row r="1340" spans="1:15" ht="115.5">
      <c r="A1340" s="399"/>
      <c r="B1340" s="65" t="s">
        <v>3598</v>
      </c>
      <c r="C1340" s="45" t="s">
        <v>9820</v>
      </c>
      <c r="D1340" s="45" t="s">
        <v>3760</v>
      </c>
      <c r="E1340" s="78" t="s">
        <v>9463</v>
      </c>
      <c r="F1340" s="45" t="s">
        <v>3761</v>
      </c>
      <c r="G1340" s="46" t="s">
        <v>3762</v>
      </c>
      <c r="H1340" s="62" t="s">
        <v>62</v>
      </c>
      <c r="I1340" s="133"/>
      <c r="J1340" s="155"/>
      <c r="K1340" s="155"/>
      <c r="L1340" s="155"/>
      <c r="M1340" s="155"/>
      <c r="N1340" s="155"/>
      <c r="O1340" s="155"/>
    </row>
    <row r="1341" spans="1:15" ht="115.5">
      <c r="A1341" s="399"/>
      <c r="B1341" s="65" t="s">
        <v>3598</v>
      </c>
      <c r="C1341" s="45" t="s">
        <v>9821</v>
      </c>
      <c r="D1341" s="45" t="s">
        <v>3764</v>
      </c>
      <c r="E1341" s="78" t="s">
        <v>9463</v>
      </c>
      <c r="F1341" s="45" t="s">
        <v>3765</v>
      </c>
      <c r="G1341" s="46" t="s">
        <v>3766</v>
      </c>
      <c r="H1341" s="62" t="s">
        <v>24</v>
      </c>
      <c r="I1341" s="133"/>
      <c r="J1341" s="155"/>
      <c r="K1341" s="155"/>
      <c r="L1341" s="155"/>
      <c r="M1341" s="155"/>
      <c r="N1341" s="155"/>
      <c r="O1341" s="155"/>
    </row>
    <row r="1342" spans="1:15" ht="115.5">
      <c r="A1342" s="399"/>
      <c r="B1342" s="65" t="s">
        <v>3598</v>
      </c>
      <c r="C1342" s="45" t="s">
        <v>9822</v>
      </c>
      <c r="D1342" s="45" t="s">
        <v>3768</v>
      </c>
      <c r="E1342" s="78" t="s">
        <v>9463</v>
      </c>
      <c r="F1342" s="45" t="s">
        <v>3769</v>
      </c>
      <c r="G1342" s="46" t="s">
        <v>3770</v>
      </c>
      <c r="H1342" s="62" t="s">
        <v>24</v>
      </c>
      <c r="I1342" s="133"/>
      <c r="J1342" s="155"/>
      <c r="K1342" s="155"/>
      <c r="L1342" s="155"/>
      <c r="M1342" s="155"/>
      <c r="N1342" s="155"/>
      <c r="O1342" s="155"/>
    </row>
    <row r="1343" spans="1:15" ht="115.5">
      <c r="A1343" s="399"/>
      <c r="B1343" s="65" t="s">
        <v>3598</v>
      </c>
      <c r="C1343" s="45" t="s">
        <v>9823</v>
      </c>
      <c r="D1343" s="45" t="s">
        <v>3772</v>
      </c>
      <c r="E1343" s="78" t="s">
        <v>9463</v>
      </c>
      <c r="F1343" s="45" t="s">
        <v>3773</v>
      </c>
      <c r="G1343" s="46" t="s">
        <v>3774</v>
      </c>
      <c r="H1343" s="62" t="s">
        <v>30</v>
      </c>
      <c r="I1343" s="133"/>
      <c r="J1343" s="155"/>
      <c r="K1343" s="155"/>
      <c r="L1343" s="155"/>
      <c r="M1343" s="155"/>
      <c r="N1343" s="155"/>
      <c r="O1343" s="155"/>
    </row>
    <row r="1344" spans="1:15" ht="115.5">
      <c r="A1344" s="399"/>
      <c r="B1344" s="65" t="s">
        <v>3598</v>
      </c>
      <c r="C1344" s="45" t="s">
        <v>9824</v>
      </c>
      <c r="D1344" s="45" t="s">
        <v>3775</v>
      </c>
      <c r="E1344" s="78" t="s">
        <v>9463</v>
      </c>
      <c r="F1344" s="45" t="s">
        <v>3776</v>
      </c>
      <c r="G1344" s="46" t="s">
        <v>3777</v>
      </c>
      <c r="H1344" s="62" t="s">
        <v>24</v>
      </c>
      <c r="I1344" s="133"/>
      <c r="J1344" s="155"/>
      <c r="K1344" s="155"/>
      <c r="L1344" s="155"/>
      <c r="M1344" s="155"/>
      <c r="N1344" s="155"/>
      <c r="O1344" s="155"/>
    </row>
    <row r="1345" spans="1:15" ht="115.5">
      <c r="A1345" s="399"/>
      <c r="B1345" s="65" t="s">
        <v>3598</v>
      </c>
      <c r="C1345" s="45" t="s">
        <v>9825</v>
      </c>
      <c r="D1345" s="45" t="s">
        <v>3779</v>
      </c>
      <c r="E1345" s="78" t="s">
        <v>9463</v>
      </c>
      <c r="F1345" s="45" t="s">
        <v>3780</v>
      </c>
      <c r="G1345" s="46" t="s">
        <v>3781</v>
      </c>
      <c r="H1345" s="62" t="s">
        <v>24</v>
      </c>
      <c r="I1345" s="133"/>
      <c r="J1345" s="155"/>
      <c r="K1345" s="155"/>
      <c r="L1345" s="155"/>
      <c r="M1345" s="155"/>
      <c r="N1345" s="155"/>
      <c r="O1345" s="155"/>
    </row>
    <row r="1346" spans="1:15" ht="115.5">
      <c r="A1346" s="399"/>
      <c r="B1346" s="65" t="s">
        <v>3598</v>
      </c>
      <c r="C1346" s="45" t="s">
        <v>9826</v>
      </c>
      <c r="D1346" s="45" t="s">
        <v>3783</v>
      </c>
      <c r="E1346" s="78" t="s">
        <v>9463</v>
      </c>
      <c r="F1346" s="45" t="s">
        <v>3784</v>
      </c>
      <c r="G1346" s="46" t="s">
        <v>3785</v>
      </c>
      <c r="H1346" s="62" t="s">
        <v>24</v>
      </c>
      <c r="I1346" s="133"/>
      <c r="J1346" s="155"/>
      <c r="K1346" s="155"/>
      <c r="L1346" s="155"/>
      <c r="M1346" s="155"/>
      <c r="N1346" s="155"/>
      <c r="O1346" s="155"/>
    </row>
    <row r="1347" spans="1:15" ht="115.5">
      <c r="A1347" s="399"/>
      <c r="B1347" s="65" t="s">
        <v>3598</v>
      </c>
      <c r="C1347" s="45" t="s">
        <v>9827</v>
      </c>
      <c r="D1347" s="45" t="s">
        <v>3787</v>
      </c>
      <c r="E1347" s="78" t="s">
        <v>9463</v>
      </c>
      <c r="F1347" s="45" t="s">
        <v>3788</v>
      </c>
      <c r="G1347" s="46" t="s">
        <v>3789</v>
      </c>
      <c r="H1347" s="62" t="s">
        <v>24</v>
      </c>
      <c r="I1347" s="133"/>
      <c r="J1347" s="155"/>
      <c r="K1347" s="155"/>
      <c r="L1347" s="155"/>
      <c r="M1347" s="155"/>
      <c r="N1347" s="155"/>
      <c r="O1347" s="155"/>
    </row>
    <row r="1348" spans="1:15" ht="99">
      <c r="A1348" s="77"/>
      <c r="B1348" s="65" t="s">
        <v>3598</v>
      </c>
      <c r="C1348" s="45" t="s">
        <v>9828</v>
      </c>
      <c r="D1348" s="45" t="s">
        <v>3791</v>
      </c>
      <c r="E1348" s="78" t="s">
        <v>9463</v>
      </c>
      <c r="F1348" s="45" t="s">
        <v>3792</v>
      </c>
      <c r="G1348" s="46" t="s">
        <v>3793</v>
      </c>
      <c r="H1348" s="49" t="s">
        <v>41</v>
      </c>
      <c r="I1348" s="133"/>
      <c r="J1348" s="155"/>
      <c r="K1348" s="155"/>
      <c r="L1348" s="155"/>
      <c r="M1348" s="155"/>
      <c r="N1348" s="155"/>
      <c r="O1348" s="155"/>
    </row>
    <row r="1349" spans="1:15" ht="66">
      <c r="A1349" s="77"/>
      <c r="B1349" s="65" t="s">
        <v>3598</v>
      </c>
      <c r="C1349" s="45" t="s">
        <v>9829</v>
      </c>
      <c r="D1349" s="45" t="s">
        <v>3794</v>
      </c>
      <c r="E1349" s="78" t="s">
        <v>9463</v>
      </c>
      <c r="F1349" s="45" t="s">
        <v>3795</v>
      </c>
      <c r="G1349" s="46" t="s">
        <v>3796</v>
      </c>
      <c r="H1349" s="49" t="s">
        <v>41</v>
      </c>
      <c r="I1349" s="133"/>
      <c r="J1349" s="155"/>
      <c r="K1349" s="155"/>
      <c r="L1349" s="155"/>
      <c r="M1349" s="155"/>
      <c r="N1349" s="155"/>
      <c r="O1349" s="155"/>
    </row>
    <row r="1350" spans="1:15" ht="82.5">
      <c r="A1350" s="77"/>
      <c r="B1350" s="65" t="s">
        <v>3598</v>
      </c>
      <c r="C1350" s="45" t="s">
        <v>9830</v>
      </c>
      <c r="D1350" s="45" t="s">
        <v>9831</v>
      </c>
      <c r="E1350" s="78" t="s">
        <v>9463</v>
      </c>
      <c r="F1350" s="45" t="s">
        <v>9832</v>
      </c>
      <c r="G1350" s="46" t="s">
        <v>9833</v>
      </c>
      <c r="H1350" s="49" t="s">
        <v>41</v>
      </c>
      <c r="I1350" s="133"/>
      <c r="J1350" s="155"/>
      <c r="K1350" s="155"/>
      <c r="L1350" s="155"/>
      <c r="M1350" s="155"/>
      <c r="N1350" s="155"/>
      <c r="O1350" s="155"/>
    </row>
    <row r="1351" spans="1:15" ht="66">
      <c r="A1351" s="77"/>
      <c r="B1351" s="65" t="s">
        <v>3598</v>
      </c>
      <c r="C1351" s="45" t="s">
        <v>9834</v>
      </c>
      <c r="D1351" s="45" t="s">
        <v>3797</v>
      </c>
      <c r="E1351" s="78" t="s">
        <v>9463</v>
      </c>
      <c r="F1351" s="45" t="s">
        <v>3798</v>
      </c>
      <c r="G1351" s="46" t="s">
        <v>3799</v>
      </c>
      <c r="H1351" s="49" t="s">
        <v>41</v>
      </c>
      <c r="I1351" s="133"/>
      <c r="J1351" s="155"/>
      <c r="K1351" s="155"/>
      <c r="L1351" s="155"/>
      <c r="M1351" s="155"/>
      <c r="N1351" s="155"/>
      <c r="O1351" s="155"/>
    </row>
    <row r="1352" spans="1:15" ht="66">
      <c r="A1352" s="77"/>
      <c r="B1352" s="65" t="s">
        <v>3598</v>
      </c>
      <c r="C1352" s="45" t="s">
        <v>9835</v>
      </c>
      <c r="D1352" s="45" t="s">
        <v>3801</v>
      </c>
      <c r="E1352" s="78" t="s">
        <v>9463</v>
      </c>
      <c r="F1352" s="45" t="s">
        <v>3802</v>
      </c>
      <c r="G1352" s="46" t="s">
        <v>3803</v>
      </c>
      <c r="H1352" s="49" t="s">
        <v>41</v>
      </c>
      <c r="I1352" s="133"/>
      <c r="J1352" s="155"/>
      <c r="K1352" s="155"/>
      <c r="L1352" s="155"/>
      <c r="M1352" s="155"/>
      <c r="N1352" s="155"/>
      <c r="O1352" s="155"/>
    </row>
    <row r="1353" spans="1:15" ht="82.5">
      <c r="A1353" s="77"/>
      <c r="B1353" s="65" t="s">
        <v>3598</v>
      </c>
      <c r="C1353" s="45" t="s">
        <v>9836</v>
      </c>
      <c r="D1353" s="45" t="s">
        <v>9837</v>
      </c>
      <c r="E1353" s="78" t="s">
        <v>9463</v>
      </c>
      <c r="F1353" s="45" t="s">
        <v>9838</v>
      </c>
      <c r="G1353" s="46" t="s">
        <v>9833</v>
      </c>
      <c r="H1353" s="49" t="s">
        <v>41</v>
      </c>
      <c r="I1353" s="133"/>
      <c r="J1353" s="155"/>
      <c r="K1353" s="155"/>
      <c r="L1353" s="155"/>
      <c r="M1353" s="155"/>
      <c r="N1353" s="155"/>
      <c r="O1353" s="155"/>
    </row>
    <row r="1354" spans="1:15" ht="148.5">
      <c r="A1354" s="85"/>
      <c r="B1354" s="65" t="s">
        <v>3598</v>
      </c>
      <c r="C1354" s="45" t="s">
        <v>9839</v>
      </c>
      <c r="D1354" s="45" t="s">
        <v>3805</v>
      </c>
      <c r="E1354" s="78" t="s">
        <v>9463</v>
      </c>
      <c r="F1354" s="45" t="s">
        <v>3806</v>
      </c>
      <c r="G1354" s="46" t="s">
        <v>3807</v>
      </c>
      <c r="H1354" s="49" t="s">
        <v>24</v>
      </c>
      <c r="I1354" s="133"/>
      <c r="J1354" s="155"/>
      <c r="K1354" s="155"/>
      <c r="L1354" s="155"/>
      <c r="M1354" s="155"/>
      <c r="N1354" s="155"/>
      <c r="O1354" s="155"/>
    </row>
    <row r="1355" spans="1:15" ht="181.5">
      <c r="A1355" s="391" t="s">
        <v>3808</v>
      </c>
      <c r="B1355" s="63" t="s">
        <v>3809</v>
      </c>
      <c r="C1355" s="45" t="s">
        <v>9840</v>
      </c>
      <c r="D1355" s="45" t="s">
        <v>9841</v>
      </c>
      <c r="E1355" s="78" t="s">
        <v>9842</v>
      </c>
      <c r="F1355" s="45" t="s">
        <v>9843</v>
      </c>
      <c r="G1355" s="46" t="s">
        <v>9844</v>
      </c>
      <c r="H1355" s="62" t="s">
        <v>30</v>
      </c>
      <c r="I1355" s="133"/>
      <c r="J1355" s="155"/>
      <c r="K1355" s="155"/>
      <c r="L1355" s="155"/>
      <c r="M1355" s="155"/>
      <c r="N1355" s="155"/>
      <c r="O1355" s="155"/>
    </row>
    <row r="1356" spans="1:15" ht="181.5">
      <c r="A1356" s="392"/>
      <c r="B1356" s="63" t="s">
        <v>3809</v>
      </c>
      <c r="C1356" s="45" t="s">
        <v>9845</v>
      </c>
      <c r="D1356" s="45" t="s">
        <v>3816</v>
      </c>
      <c r="E1356" s="78" t="s">
        <v>9842</v>
      </c>
      <c r="F1356" s="45" t="s">
        <v>9846</v>
      </c>
      <c r="G1356" s="46" t="s">
        <v>9847</v>
      </c>
      <c r="H1356" s="62" t="s">
        <v>30</v>
      </c>
      <c r="I1356" s="133"/>
      <c r="J1356" s="155"/>
      <c r="K1356" s="155"/>
      <c r="L1356" s="155"/>
      <c r="M1356" s="155"/>
      <c r="N1356" s="155"/>
      <c r="O1356" s="155"/>
    </row>
    <row r="1357" spans="1:15" ht="247.5">
      <c r="A1357" s="392"/>
      <c r="B1357" s="66" t="s">
        <v>3809</v>
      </c>
      <c r="C1357" s="45" t="s">
        <v>9848</v>
      </c>
      <c r="D1357" s="45" t="s">
        <v>9849</v>
      </c>
      <c r="E1357" s="78" t="s">
        <v>9842</v>
      </c>
      <c r="F1357" s="45" t="s">
        <v>9850</v>
      </c>
      <c r="G1357" s="46" t="s">
        <v>9847</v>
      </c>
      <c r="H1357" s="62" t="s">
        <v>30</v>
      </c>
      <c r="I1357" s="133"/>
      <c r="J1357" s="155"/>
      <c r="K1357" s="155"/>
      <c r="L1357" s="155"/>
      <c r="M1357" s="155"/>
      <c r="N1357" s="155"/>
      <c r="O1357" s="155"/>
    </row>
    <row r="1358" spans="1:15" ht="82.5">
      <c r="A1358" s="392"/>
      <c r="B1358" s="66" t="s">
        <v>3809</v>
      </c>
      <c r="C1358" s="53" t="s">
        <v>9851</v>
      </c>
      <c r="D1358" s="45" t="s">
        <v>9852</v>
      </c>
      <c r="E1358" s="78" t="s">
        <v>9842</v>
      </c>
      <c r="F1358" s="45" t="s">
        <v>9853</v>
      </c>
      <c r="G1358" s="46" t="s">
        <v>3825</v>
      </c>
      <c r="H1358" s="62" t="s">
        <v>30</v>
      </c>
      <c r="I1358" s="133"/>
      <c r="J1358" s="155"/>
      <c r="K1358" s="155"/>
      <c r="L1358" s="155"/>
      <c r="M1358" s="155"/>
      <c r="N1358" s="155"/>
      <c r="O1358" s="155"/>
    </row>
    <row r="1359" spans="1:15" ht="99">
      <c r="A1359" s="392"/>
      <c r="B1359" s="63" t="s">
        <v>3809</v>
      </c>
      <c r="C1359" s="45" t="s">
        <v>9854</v>
      </c>
      <c r="D1359" s="45" t="s">
        <v>9855</v>
      </c>
      <c r="E1359" s="78" t="s">
        <v>9842</v>
      </c>
      <c r="F1359" s="45" t="s">
        <v>9856</v>
      </c>
      <c r="G1359" s="46" t="s">
        <v>9857</v>
      </c>
      <c r="H1359" s="62" t="s">
        <v>24</v>
      </c>
      <c r="I1359" s="133"/>
      <c r="J1359" s="155"/>
      <c r="K1359" s="155"/>
      <c r="L1359" s="155"/>
      <c r="M1359" s="155"/>
      <c r="N1359" s="155"/>
      <c r="O1359" s="155"/>
    </row>
    <row r="1360" spans="1:15" ht="132">
      <c r="A1360" s="392"/>
      <c r="B1360" s="63" t="s">
        <v>3809</v>
      </c>
      <c r="C1360" s="45" t="s">
        <v>9858</v>
      </c>
      <c r="D1360" s="45" t="s">
        <v>9859</v>
      </c>
      <c r="E1360" s="78" t="s">
        <v>9842</v>
      </c>
      <c r="F1360" s="45" t="s">
        <v>9860</v>
      </c>
      <c r="G1360" s="46" t="s">
        <v>9861</v>
      </c>
      <c r="H1360" s="62" t="s">
        <v>36</v>
      </c>
      <c r="I1360" s="133"/>
      <c r="J1360" s="155"/>
      <c r="K1360" s="155"/>
      <c r="L1360" s="155"/>
      <c r="M1360" s="155"/>
      <c r="N1360" s="155"/>
      <c r="O1360" s="155"/>
    </row>
    <row r="1361" spans="1:15" ht="115.5">
      <c r="A1361" s="392"/>
      <c r="B1361" s="63" t="s">
        <v>3809</v>
      </c>
      <c r="C1361" s="45" t="s">
        <v>9862</v>
      </c>
      <c r="D1361" s="45" t="s">
        <v>9863</v>
      </c>
      <c r="E1361" s="78" t="s">
        <v>9842</v>
      </c>
      <c r="F1361" s="53" t="s">
        <v>9864</v>
      </c>
      <c r="G1361" s="46" t="s">
        <v>9865</v>
      </c>
      <c r="H1361" s="62" t="s">
        <v>62</v>
      </c>
      <c r="I1361" s="133"/>
      <c r="J1361" s="155"/>
      <c r="K1361" s="155"/>
      <c r="L1361" s="155"/>
      <c r="M1361" s="155"/>
      <c r="N1361" s="155"/>
      <c r="O1361" s="155"/>
    </row>
    <row r="1362" spans="1:15" ht="99">
      <c r="A1362" s="393"/>
      <c r="B1362" s="63" t="s">
        <v>3809</v>
      </c>
      <c r="C1362" s="45" t="s">
        <v>9866</v>
      </c>
      <c r="D1362" s="45" t="s">
        <v>9867</v>
      </c>
      <c r="E1362" s="78" t="s">
        <v>9842</v>
      </c>
      <c r="F1362" s="53" t="s">
        <v>9868</v>
      </c>
      <c r="G1362" s="46" t="s">
        <v>9869</v>
      </c>
      <c r="H1362" s="62" t="s">
        <v>24</v>
      </c>
      <c r="I1362" s="133"/>
      <c r="J1362" s="155"/>
      <c r="K1362" s="155"/>
      <c r="L1362" s="155"/>
      <c r="M1362" s="155"/>
      <c r="N1362" s="155"/>
      <c r="O1362" s="155"/>
    </row>
    <row r="1363" spans="1:15" ht="330">
      <c r="A1363" s="395" t="s">
        <v>3833</v>
      </c>
      <c r="B1363" s="65" t="s">
        <v>3833</v>
      </c>
      <c r="C1363" s="45" t="s">
        <v>9870</v>
      </c>
      <c r="D1363" s="45" t="s">
        <v>3969</v>
      </c>
      <c r="E1363" s="78" t="s">
        <v>9842</v>
      </c>
      <c r="F1363" s="45" t="s">
        <v>3970</v>
      </c>
      <c r="G1363" s="46" t="s">
        <v>3971</v>
      </c>
      <c r="H1363" s="62" t="s">
        <v>41</v>
      </c>
      <c r="I1363" s="133"/>
      <c r="J1363" s="155"/>
      <c r="K1363" s="155"/>
      <c r="L1363" s="155"/>
      <c r="M1363" s="155"/>
      <c r="N1363" s="155"/>
      <c r="O1363" s="155"/>
    </row>
    <row r="1364" spans="1:15" ht="330">
      <c r="A1364" s="395"/>
      <c r="B1364" s="65" t="s">
        <v>3833</v>
      </c>
      <c r="C1364" s="45" t="s">
        <v>9871</v>
      </c>
      <c r="D1364" s="45" t="s">
        <v>9872</v>
      </c>
      <c r="E1364" s="78" t="s">
        <v>9842</v>
      </c>
      <c r="F1364" s="45" t="s">
        <v>9873</v>
      </c>
      <c r="G1364" s="46" t="s">
        <v>9874</v>
      </c>
      <c r="H1364" s="62" t="s">
        <v>30</v>
      </c>
      <c r="I1364" s="133"/>
      <c r="J1364" s="155"/>
      <c r="K1364" s="155"/>
      <c r="L1364" s="155"/>
      <c r="M1364" s="155"/>
      <c r="N1364" s="155"/>
      <c r="O1364" s="155"/>
    </row>
    <row r="1365" spans="1:15" ht="363">
      <c r="A1365" s="395"/>
      <c r="B1365" s="65" t="s">
        <v>3833</v>
      </c>
      <c r="C1365" s="45" t="s">
        <v>9875</v>
      </c>
      <c r="D1365" s="45" t="s">
        <v>9876</v>
      </c>
      <c r="E1365" s="78" t="s">
        <v>9842</v>
      </c>
      <c r="F1365" s="45" t="s">
        <v>9877</v>
      </c>
      <c r="G1365" s="46" t="s">
        <v>9878</v>
      </c>
      <c r="H1365" s="62" t="s">
        <v>41</v>
      </c>
      <c r="I1365" s="133"/>
      <c r="J1365" s="155"/>
      <c r="K1365" s="155"/>
      <c r="L1365" s="155"/>
      <c r="M1365" s="155"/>
      <c r="N1365" s="155"/>
      <c r="O1365" s="155"/>
    </row>
    <row r="1366" spans="1:15" ht="379.5">
      <c r="A1366" s="395"/>
      <c r="B1366" s="65" t="s">
        <v>3833</v>
      </c>
      <c r="C1366" s="45" t="s">
        <v>9879</v>
      </c>
      <c r="D1366" s="45" t="s">
        <v>9880</v>
      </c>
      <c r="E1366" s="78" t="s">
        <v>9842</v>
      </c>
      <c r="F1366" s="45" t="s">
        <v>9881</v>
      </c>
      <c r="G1366" s="46" t="s">
        <v>9882</v>
      </c>
      <c r="H1366" s="62" t="s">
        <v>24</v>
      </c>
      <c r="I1366" s="133"/>
      <c r="J1366" s="155"/>
      <c r="K1366" s="155"/>
      <c r="L1366" s="155"/>
      <c r="M1366" s="155"/>
      <c r="N1366" s="155"/>
      <c r="O1366" s="155"/>
    </row>
    <row r="1367" spans="1:15" ht="379.5">
      <c r="A1367" s="395"/>
      <c r="B1367" s="65" t="s">
        <v>3833</v>
      </c>
      <c r="C1367" s="45" t="s">
        <v>9883</v>
      </c>
      <c r="D1367" s="45" t="s">
        <v>9884</v>
      </c>
      <c r="E1367" s="78" t="s">
        <v>9842</v>
      </c>
      <c r="F1367" s="45" t="s">
        <v>9885</v>
      </c>
      <c r="G1367" s="46" t="s">
        <v>9886</v>
      </c>
      <c r="H1367" s="62" t="s">
        <v>24</v>
      </c>
      <c r="I1367" s="133"/>
      <c r="J1367" s="155"/>
      <c r="K1367" s="155"/>
      <c r="L1367" s="155"/>
      <c r="M1367" s="155"/>
      <c r="N1367" s="155"/>
      <c r="O1367" s="155"/>
    </row>
    <row r="1368" spans="1:15" ht="264">
      <c r="A1368" s="395"/>
      <c r="B1368" s="65" t="s">
        <v>3833</v>
      </c>
      <c r="C1368" s="45" t="s">
        <v>9887</v>
      </c>
      <c r="D1368" s="45" t="s">
        <v>3973</v>
      </c>
      <c r="E1368" s="78" t="s">
        <v>9842</v>
      </c>
      <c r="F1368" s="45" t="s">
        <v>3974</v>
      </c>
      <c r="G1368" s="46" t="s">
        <v>3975</v>
      </c>
      <c r="H1368" s="62" t="s">
        <v>36</v>
      </c>
      <c r="I1368" s="133"/>
      <c r="J1368" s="155"/>
      <c r="K1368" s="155"/>
      <c r="L1368" s="155"/>
      <c r="M1368" s="155"/>
      <c r="N1368" s="155"/>
      <c r="O1368" s="155"/>
    </row>
    <row r="1369" spans="1:15" ht="330">
      <c r="A1369" s="395"/>
      <c r="B1369" s="65" t="s">
        <v>3833</v>
      </c>
      <c r="C1369" s="45" t="s">
        <v>9888</v>
      </c>
      <c r="D1369" s="45" t="s">
        <v>9889</v>
      </c>
      <c r="E1369" s="78" t="s">
        <v>9842</v>
      </c>
      <c r="F1369" s="45" t="s">
        <v>9890</v>
      </c>
      <c r="G1369" s="46" t="s">
        <v>9891</v>
      </c>
      <c r="H1369" s="62" t="s">
        <v>41</v>
      </c>
      <c r="I1369" s="133"/>
      <c r="J1369" s="155"/>
      <c r="K1369" s="155"/>
      <c r="L1369" s="155"/>
      <c r="M1369" s="155"/>
      <c r="N1369" s="155"/>
      <c r="O1369" s="155"/>
    </row>
    <row r="1370" spans="1:15" ht="330">
      <c r="A1370" s="395"/>
      <c r="B1370" s="65" t="s">
        <v>3833</v>
      </c>
      <c r="C1370" s="45" t="s">
        <v>9892</v>
      </c>
      <c r="D1370" s="45" t="s">
        <v>9893</v>
      </c>
      <c r="E1370" s="78" t="s">
        <v>9842</v>
      </c>
      <c r="F1370" s="45" t="s">
        <v>9894</v>
      </c>
      <c r="G1370" s="46" t="s">
        <v>9895</v>
      </c>
      <c r="H1370" s="62" t="s">
        <v>30</v>
      </c>
      <c r="I1370" s="133"/>
      <c r="J1370" s="155"/>
      <c r="K1370" s="155"/>
      <c r="L1370" s="155"/>
      <c r="M1370" s="155"/>
      <c r="N1370" s="155"/>
      <c r="O1370" s="155"/>
    </row>
    <row r="1371" spans="1:15" ht="379.5">
      <c r="A1371" s="395"/>
      <c r="B1371" s="65" t="s">
        <v>3833</v>
      </c>
      <c r="C1371" s="45" t="s">
        <v>9896</v>
      </c>
      <c r="D1371" s="45" t="s">
        <v>3977</v>
      </c>
      <c r="E1371" s="78" t="s">
        <v>9842</v>
      </c>
      <c r="F1371" s="45" t="s">
        <v>9897</v>
      </c>
      <c r="G1371" s="46" t="s">
        <v>3978</v>
      </c>
      <c r="H1371" s="62" t="s">
        <v>41</v>
      </c>
      <c r="I1371" s="133"/>
      <c r="J1371" s="155"/>
      <c r="K1371" s="155"/>
      <c r="L1371" s="155"/>
      <c r="M1371" s="155"/>
      <c r="N1371" s="155"/>
      <c r="O1371" s="155"/>
    </row>
    <row r="1372" spans="1:15" ht="379.5">
      <c r="A1372" s="395"/>
      <c r="B1372" s="65" t="s">
        <v>3833</v>
      </c>
      <c r="C1372" s="45" t="s">
        <v>9898</v>
      </c>
      <c r="D1372" s="45" t="s">
        <v>9899</v>
      </c>
      <c r="E1372" s="78" t="s">
        <v>9842</v>
      </c>
      <c r="F1372" s="45" t="s">
        <v>9900</v>
      </c>
      <c r="G1372" s="46" t="s">
        <v>9901</v>
      </c>
      <c r="H1372" s="62" t="s">
        <v>24</v>
      </c>
      <c r="I1372" s="133"/>
      <c r="J1372" s="155"/>
      <c r="K1372" s="155"/>
      <c r="L1372" s="155"/>
      <c r="M1372" s="155"/>
      <c r="N1372" s="155"/>
      <c r="O1372" s="155"/>
    </row>
    <row r="1373" spans="1:15" ht="379.5">
      <c r="A1373" s="395"/>
      <c r="B1373" s="65" t="s">
        <v>3833</v>
      </c>
      <c r="C1373" s="45" t="s">
        <v>9902</v>
      </c>
      <c r="D1373" s="45" t="s">
        <v>9903</v>
      </c>
      <c r="E1373" s="78" t="s">
        <v>9842</v>
      </c>
      <c r="F1373" s="45" t="s">
        <v>9904</v>
      </c>
      <c r="G1373" s="46" t="s">
        <v>9905</v>
      </c>
      <c r="H1373" s="62" t="s">
        <v>24</v>
      </c>
      <c r="I1373" s="133"/>
      <c r="J1373" s="155"/>
      <c r="K1373" s="155"/>
      <c r="L1373" s="155"/>
      <c r="M1373" s="155"/>
      <c r="N1373" s="155"/>
      <c r="O1373" s="155"/>
    </row>
    <row r="1374" spans="1:15" ht="264">
      <c r="A1374" s="395"/>
      <c r="B1374" s="65" t="s">
        <v>3833</v>
      </c>
      <c r="C1374" s="45" t="s">
        <v>9906</v>
      </c>
      <c r="D1374" s="45" t="s">
        <v>3980</v>
      </c>
      <c r="E1374" s="78" t="s">
        <v>9842</v>
      </c>
      <c r="F1374" s="45" t="s">
        <v>3981</v>
      </c>
      <c r="G1374" s="46" t="s">
        <v>3982</v>
      </c>
      <c r="H1374" s="62" t="s">
        <v>36</v>
      </c>
      <c r="I1374" s="133"/>
      <c r="J1374" s="155"/>
      <c r="K1374" s="155"/>
      <c r="L1374" s="155"/>
      <c r="M1374" s="155"/>
      <c r="N1374" s="155"/>
      <c r="O1374" s="155"/>
    </row>
    <row r="1375" spans="1:15" ht="115.5">
      <c r="A1375" s="395"/>
      <c r="B1375" s="65" t="s">
        <v>3833</v>
      </c>
      <c r="C1375" s="45" t="s">
        <v>9907</v>
      </c>
      <c r="D1375" s="45" t="s">
        <v>3984</v>
      </c>
      <c r="E1375" s="78" t="s">
        <v>9842</v>
      </c>
      <c r="F1375" s="45" t="s">
        <v>3985</v>
      </c>
      <c r="G1375" s="46" t="s">
        <v>3986</v>
      </c>
      <c r="H1375" s="62" t="s">
        <v>36</v>
      </c>
      <c r="I1375" s="133"/>
      <c r="J1375" s="155"/>
      <c r="K1375" s="155"/>
      <c r="L1375" s="155"/>
      <c r="M1375" s="155"/>
      <c r="N1375" s="155"/>
      <c r="O1375" s="155"/>
    </row>
    <row r="1376" spans="1:15" ht="297">
      <c r="A1376" s="395"/>
      <c r="B1376" s="65" t="s">
        <v>3833</v>
      </c>
      <c r="C1376" s="45" t="s">
        <v>9908</v>
      </c>
      <c r="D1376" s="45" t="s">
        <v>3988</v>
      </c>
      <c r="E1376" s="78" t="s">
        <v>9463</v>
      </c>
      <c r="F1376" s="45" t="s">
        <v>9909</v>
      </c>
      <c r="G1376" s="46" t="s">
        <v>3990</v>
      </c>
      <c r="H1376" s="62" t="s">
        <v>41</v>
      </c>
      <c r="I1376" s="133"/>
      <c r="J1376" s="155"/>
      <c r="K1376" s="155"/>
      <c r="L1376" s="155"/>
      <c r="M1376" s="155"/>
      <c r="N1376" s="155"/>
      <c r="O1376" s="155"/>
    </row>
    <row r="1377" spans="1:15" ht="280.5">
      <c r="A1377" s="395"/>
      <c r="B1377" s="65" t="s">
        <v>3833</v>
      </c>
      <c r="C1377" s="45" t="s">
        <v>9910</v>
      </c>
      <c r="D1377" s="45" t="s">
        <v>3992</v>
      </c>
      <c r="E1377" s="78" t="s">
        <v>9463</v>
      </c>
      <c r="F1377" s="45" t="s">
        <v>9911</v>
      </c>
      <c r="G1377" s="46" t="s">
        <v>3993</v>
      </c>
      <c r="H1377" s="62" t="s">
        <v>24</v>
      </c>
      <c r="I1377" s="133"/>
      <c r="J1377" s="155"/>
      <c r="K1377" s="155"/>
      <c r="L1377" s="155"/>
      <c r="M1377" s="155"/>
      <c r="N1377" s="155"/>
      <c r="O1377" s="155"/>
    </row>
    <row r="1378" spans="1:15" ht="264">
      <c r="A1378" s="395"/>
      <c r="B1378" s="65" t="s">
        <v>3833</v>
      </c>
      <c r="C1378" s="45" t="s">
        <v>9912</v>
      </c>
      <c r="D1378" s="45" t="s">
        <v>3995</v>
      </c>
      <c r="E1378" s="78" t="s">
        <v>9463</v>
      </c>
      <c r="F1378" s="45" t="s">
        <v>9913</v>
      </c>
      <c r="G1378" s="46" t="s">
        <v>3997</v>
      </c>
      <c r="H1378" s="62" t="s">
        <v>30</v>
      </c>
      <c r="I1378" s="133"/>
      <c r="J1378" s="155"/>
      <c r="K1378" s="155"/>
      <c r="L1378" s="155"/>
      <c r="M1378" s="155"/>
      <c r="N1378" s="155"/>
      <c r="O1378" s="155"/>
    </row>
    <row r="1379" spans="1:15" ht="264">
      <c r="A1379" s="395"/>
      <c r="B1379" s="65" t="s">
        <v>3833</v>
      </c>
      <c r="C1379" s="45" t="s">
        <v>9914</v>
      </c>
      <c r="D1379" s="45" t="s">
        <v>3999</v>
      </c>
      <c r="E1379" s="78" t="s">
        <v>9463</v>
      </c>
      <c r="F1379" s="45" t="s">
        <v>4000</v>
      </c>
      <c r="G1379" s="46" t="s">
        <v>4001</v>
      </c>
      <c r="H1379" s="62" t="s">
        <v>36</v>
      </c>
      <c r="I1379" s="133"/>
      <c r="J1379" s="155"/>
      <c r="K1379" s="155"/>
      <c r="L1379" s="155"/>
      <c r="M1379" s="155"/>
      <c r="N1379" s="155"/>
      <c r="O1379" s="155"/>
    </row>
    <row r="1380" spans="1:15" ht="280.5">
      <c r="A1380" s="395"/>
      <c r="B1380" s="65" t="s">
        <v>3833</v>
      </c>
      <c r="C1380" s="45" t="s">
        <v>9915</v>
      </c>
      <c r="D1380" s="45" t="s">
        <v>4003</v>
      </c>
      <c r="E1380" s="78" t="s">
        <v>9463</v>
      </c>
      <c r="F1380" s="45" t="s">
        <v>4004</v>
      </c>
      <c r="G1380" s="46" t="s">
        <v>4005</v>
      </c>
      <c r="H1380" s="62" t="s">
        <v>36</v>
      </c>
      <c r="I1380" s="133"/>
      <c r="J1380" s="155"/>
      <c r="K1380" s="155"/>
      <c r="L1380" s="155"/>
      <c r="M1380" s="155"/>
      <c r="N1380" s="155"/>
      <c r="O1380" s="155"/>
    </row>
    <row r="1381" spans="1:15" ht="264">
      <c r="A1381" s="395"/>
      <c r="B1381" s="67" t="s">
        <v>3833</v>
      </c>
      <c r="C1381" s="45" t="s">
        <v>9916</v>
      </c>
      <c r="D1381" s="45" t="s">
        <v>4007</v>
      </c>
      <c r="E1381" s="78" t="s">
        <v>9463</v>
      </c>
      <c r="F1381" s="45" t="s">
        <v>4008</v>
      </c>
      <c r="G1381" s="46" t="s">
        <v>4009</v>
      </c>
      <c r="H1381" s="62" t="s">
        <v>36</v>
      </c>
      <c r="I1381" s="133"/>
      <c r="J1381" s="155"/>
      <c r="K1381" s="155"/>
      <c r="L1381" s="155"/>
      <c r="M1381" s="155"/>
      <c r="N1381" s="155"/>
      <c r="O1381" s="155"/>
    </row>
    <row r="1382" spans="1:15" ht="264">
      <c r="A1382" s="395"/>
      <c r="B1382" s="65" t="s">
        <v>3833</v>
      </c>
      <c r="C1382" s="45" t="s">
        <v>9917</v>
      </c>
      <c r="D1382" s="45" t="s">
        <v>4011</v>
      </c>
      <c r="E1382" s="78" t="s">
        <v>9463</v>
      </c>
      <c r="F1382" s="45" t="s">
        <v>4012</v>
      </c>
      <c r="G1382" s="46" t="s">
        <v>4013</v>
      </c>
      <c r="H1382" s="62" t="s">
        <v>36</v>
      </c>
      <c r="I1382" s="133"/>
      <c r="J1382" s="155"/>
      <c r="K1382" s="155"/>
      <c r="L1382" s="155"/>
      <c r="M1382" s="155"/>
      <c r="N1382" s="155"/>
      <c r="O1382" s="155"/>
    </row>
    <row r="1383" spans="1:15" ht="280.5">
      <c r="A1383" s="395"/>
      <c r="B1383" s="65" t="s">
        <v>3833</v>
      </c>
      <c r="C1383" s="45" t="s">
        <v>9918</v>
      </c>
      <c r="D1383" s="45" t="s">
        <v>4014</v>
      </c>
      <c r="E1383" s="78" t="s">
        <v>9463</v>
      </c>
      <c r="F1383" s="45" t="s">
        <v>4015</v>
      </c>
      <c r="G1383" s="46" t="s">
        <v>4016</v>
      </c>
      <c r="H1383" s="62" t="s">
        <v>36</v>
      </c>
      <c r="I1383" s="133"/>
      <c r="J1383" s="155"/>
      <c r="K1383" s="155"/>
      <c r="L1383" s="155"/>
      <c r="M1383" s="155"/>
      <c r="N1383" s="155"/>
      <c r="O1383" s="155"/>
    </row>
    <row r="1384" spans="1:15" ht="280.5">
      <c r="A1384" s="395"/>
      <c r="B1384" s="65" t="s">
        <v>3833</v>
      </c>
      <c r="C1384" s="45" t="s">
        <v>9919</v>
      </c>
      <c r="D1384" s="45" t="s">
        <v>4018</v>
      </c>
      <c r="E1384" s="78" t="s">
        <v>9463</v>
      </c>
      <c r="F1384" s="45" t="s">
        <v>4019</v>
      </c>
      <c r="G1384" s="46" t="s">
        <v>4020</v>
      </c>
      <c r="H1384" s="62" t="s">
        <v>36</v>
      </c>
      <c r="I1384" s="133"/>
      <c r="J1384" s="155"/>
      <c r="K1384" s="155"/>
      <c r="L1384" s="155"/>
      <c r="M1384" s="155"/>
      <c r="N1384" s="155"/>
      <c r="O1384" s="155"/>
    </row>
    <row r="1385" spans="1:15" ht="330">
      <c r="A1385" s="395"/>
      <c r="B1385" s="65" t="s">
        <v>3833</v>
      </c>
      <c r="C1385" s="45" t="s">
        <v>9920</v>
      </c>
      <c r="D1385" s="45" t="s">
        <v>9921</v>
      </c>
      <c r="E1385" s="78" t="s">
        <v>9463</v>
      </c>
      <c r="F1385" s="45" t="s">
        <v>9922</v>
      </c>
      <c r="G1385" s="46" t="s">
        <v>9923</v>
      </c>
      <c r="H1385" s="62" t="s">
        <v>41</v>
      </c>
      <c r="I1385" s="133"/>
      <c r="J1385" s="155"/>
      <c r="K1385" s="155"/>
      <c r="L1385" s="155"/>
      <c r="M1385" s="155"/>
      <c r="N1385" s="155"/>
      <c r="O1385" s="155"/>
    </row>
    <row r="1386" spans="1:15" ht="132">
      <c r="A1386" s="395"/>
      <c r="B1386" s="65" t="s">
        <v>3833</v>
      </c>
      <c r="C1386" s="45" t="s">
        <v>9924</v>
      </c>
      <c r="D1386" s="45" t="s">
        <v>9925</v>
      </c>
      <c r="E1386" s="78" t="s">
        <v>9463</v>
      </c>
      <c r="F1386" s="45" t="s">
        <v>9926</v>
      </c>
      <c r="G1386" s="46" t="s">
        <v>9927</v>
      </c>
      <c r="H1386" s="62" t="s">
        <v>36</v>
      </c>
      <c r="I1386" s="133"/>
      <c r="J1386" s="155"/>
      <c r="K1386" s="155"/>
      <c r="L1386" s="155"/>
      <c r="M1386" s="155"/>
      <c r="N1386" s="155"/>
      <c r="O1386" s="155"/>
    </row>
    <row r="1387" spans="1:15" ht="115.5">
      <c r="A1387" s="395"/>
      <c r="B1387" s="65" t="s">
        <v>3833</v>
      </c>
      <c r="C1387" s="45" t="s">
        <v>9928</v>
      </c>
      <c r="D1387" s="45" t="s">
        <v>4028</v>
      </c>
      <c r="E1387" s="78" t="s">
        <v>9463</v>
      </c>
      <c r="F1387" s="45" t="s">
        <v>9929</v>
      </c>
      <c r="G1387" s="46" t="s">
        <v>4029</v>
      </c>
      <c r="H1387" s="62" t="s">
        <v>24</v>
      </c>
      <c r="I1387" s="133"/>
      <c r="J1387" s="155"/>
      <c r="K1387" s="155"/>
      <c r="L1387" s="155"/>
      <c r="M1387" s="155"/>
      <c r="N1387" s="155"/>
      <c r="O1387" s="155"/>
    </row>
    <row r="1388" spans="1:15" ht="82.5">
      <c r="A1388" s="395"/>
      <c r="B1388" s="65" t="s">
        <v>3833</v>
      </c>
      <c r="C1388" s="45" t="s">
        <v>9930</v>
      </c>
      <c r="D1388" s="45" t="s">
        <v>4031</v>
      </c>
      <c r="E1388" s="78" t="s">
        <v>9463</v>
      </c>
      <c r="F1388" s="45" t="s">
        <v>4032</v>
      </c>
      <c r="G1388" s="46" t="s">
        <v>4033</v>
      </c>
      <c r="H1388" s="62" t="s">
        <v>36</v>
      </c>
      <c r="I1388" s="133"/>
      <c r="J1388" s="155"/>
      <c r="K1388" s="155"/>
      <c r="L1388" s="155"/>
      <c r="M1388" s="155"/>
      <c r="N1388" s="155"/>
      <c r="O1388" s="155"/>
    </row>
    <row r="1389" spans="1:15" ht="115.5">
      <c r="A1389" s="395"/>
      <c r="B1389" s="65" t="s">
        <v>3833</v>
      </c>
      <c r="C1389" s="45" t="s">
        <v>9931</v>
      </c>
      <c r="D1389" s="45" t="s">
        <v>4035</v>
      </c>
      <c r="E1389" s="78" t="s">
        <v>9815</v>
      </c>
      <c r="F1389" s="45" t="s">
        <v>9932</v>
      </c>
      <c r="G1389" s="46" t="s">
        <v>9933</v>
      </c>
      <c r="H1389" s="62" t="s">
        <v>24</v>
      </c>
      <c r="I1389" s="133"/>
      <c r="J1389" s="155"/>
      <c r="K1389" s="155"/>
      <c r="L1389" s="155"/>
      <c r="M1389" s="155"/>
      <c r="N1389" s="155"/>
      <c r="O1389" s="155"/>
    </row>
    <row r="1390" spans="1:15" ht="66">
      <c r="A1390" s="395"/>
      <c r="B1390" s="65" t="s">
        <v>3833</v>
      </c>
      <c r="C1390" s="45" t="s">
        <v>9934</v>
      </c>
      <c r="D1390" s="45" t="s">
        <v>4039</v>
      </c>
      <c r="E1390" s="78" t="s">
        <v>9463</v>
      </c>
      <c r="F1390" s="45" t="s">
        <v>4040</v>
      </c>
      <c r="G1390" s="46" t="s">
        <v>4041</v>
      </c>
      <c r="H1390" s="62" t="s">
        <v>62</v>
      </c>
      <c r="I1390" s="133"/>
      <c r="J1390" s="155"/>
      <c r="K1390" s="155"/>
      <c r="L1390" s="155"/>
      <c r="M1390" s="155"/>
      <c r="N1390" s="155"/>
      <c r="O1390" s="155"/>
    </row>
    <row r="1391" spans="1:15" ht="115.5">
      <c r="A1391" s="395"/>
      <c r="B1391" s="65" t="s">
        <v>3833</v>
      </c>
      <c r="C1391" s="45" t="s">
        <v>9935</v>
      </c>
      <c r="D1391" s="45" t="s">
        <v>9936</v>
      </c>
      <c r="E1391" s="78" t="s">
        <v>9463</v>
      </c>
      <c r="F1391" s="45" t="s">
        <v>9937</v>
      </c>
      <c r="G1391" s="46" t="s">
        <v>9938</v>
      </c>
      <c r="H1391" s="62" t="s">
        <v>24</v>
      </c>
      <c r="I1391" s="133"/>
      <c r="J1391" s="155"/>
      <c r="K1391" s="155"/>
      <c r="L1391" s="155"/>
      <c r="M1391" s="155"/>
      <c r="N1391" s="155"/>
      <c r="O1391" s="155"/>
    </row>
    <row r="1392" spans="1:15" ht="82.5">
      <c r="A1392" s="395"/>
      <c r="B1392" s="65" t="s">
        <v>3833</v>
      </c>
      <c r="C1392" s="45" t="s">
        <v>9939</v>
      </c>
      <c r="D1392" s="45" t="s">
        <v>9940</v>
      </c>
      <c r="E1392" s="78" t="s">
        <v>9463</v>
      </c>
      <c r="F1392" s="45" t="s">
        <v>9941</v>
      </c>
      <c r="G1392" s="46" t="s">
        <v>9942</v>
      </c>
      <c r="H1392" s="62" t="s">
        <v>62</v>
      </c>
      <c r="I1392" s="133"/>
      <c r="J1392" s="155"/>
      <c r="K1392" s="155"/>
      <c r="L1392" s="155"/>
      <c r="M1392" s="155"/>
      <c r="N1392" s="155"/>
      <c r="O1392" s="155"/>
    </row>
    <row r="1393" spans="1:15" ht="247.5">
      <c r="A1393" s="395"/>
      <c r="B1393" s="65" t="s">
        <v>3833</v>
      </c>
      <c r="C1393" s="45" t="s">
        <v>9943</v>
      </c>
      <c r="D1393" s="45" t="s">
        <v>9944</v>
      </c>
      <c r="E1393" s="78" t="s">
        <v>9463</v>
      </c>
      <c r="F1393" s="45" t="s">
        <v>9945</v>
      </c>
      <c r="G1393" s="46" t="s">
        <v>9946</v>
      </c>
      <c r="H1393" s="62" t="s">
        <v>24</v>
      </c>
      <c r="I1393" s="119"/>
      <c r="J1393" s="155"/>
      <c r="K1393" s="155"/>
      <c r="L1393" s="155"/>
      <c r="M1393" s="155"/>
      <c r="N1393" s="155"/>
      <c r="O1393" s="155"/>
    </row>
    <row r="1394" spans="1:15" ht="247.5">
      <c r="A1394" s="395"/>
      <c r="B1394" s="65" t="s">
        <v>3833</v>
      </c>
      <c r="C1394" s="45" t="s">
        <v>9947</v>
      </c>
      <c r="D1394" s="45" t="s">
        <v>9948</v>
      </c>
      <c r="E1394" s="78" t="s">
        <v>9815</v>
      </c>
      <c r="F1394" s="45" t="s">
        <v>9949</v>
      </c>
      <c r="G1394" s="46" t="s">
        <v>9950</v>
      </c>
      <c r="H1394" s="62" t="s">
        <v>24</v>
      </c>
      <c r="I1394" s="133"/>
      <c r="J1394" s="155"/>
      <c r="K1394" s="155"/>
      <c r="L1394" s="155"/>
      <c r="M1394" s="155"/>
      <c r="N1394" s="155"/>
      <c r="O1394" s="155"/>
    </row>
    <row r="1395" spans="1:15" ht="231">
      <c r="A1395" s="395"/>
      <c r="B1395" s="65" t="s">
        <v>3833</v>
      </c>
      <c r="C1395" s="45" t="s">
        <v>9951</v>
      </c>
      <c r="D1395" s="45" t="s">
        <v>9952</v>
      </c>
      <c r="E1395" s="78" t="s">
        <v>9463</v>
      </c>
      <c r="F1395" s="45" t="s">
        <v>9953</v>
      </c>
      <c r="G1395" s="46" t="s">
        <v>9954</v>
      </c>
      <c r="H1395" s="62" t="s">
        <v>24</v>
      </c>
      <c r="I1395" s="133"/>
      <c r="J1395" s="155"/>
      <c r="K1395" s="155"/>
      <c r="L1395" s="155"/>
      <c r="M1395" s="155"/>
      <c r="N1395" s="155"/>
      <c r="O1395" s="155"/>
    </row>
    <row r="1396" spans="1:15" ht="115.5">
      <c r="A1396" s="395"/>
      <c r="B1396" s="65" t="s">
        <v>3833</v>
      </c>
      <c r="C1396" s="45" t="s">
        <v>9955</v>
      </c>
      <c r="D1396" s="45" t="s">
        <v>9956</v>
      </c>
      <c r="E1396" s="78" t="s">
        <v>9463</v>
      </c>
      <c r="F1396" s="45" t="s">
        <v>9957</v>
      </c>
      <c r="G1396" s="46" t="s">
        <v>9958</v>
      </c>
      <c r="H1396" s="62" t="s">
        <v>62</v>
      </c>
      <c r="I1396" s="133"/>
      <c r="J1396" s="155"/>
      <c r="K1396" s="155"/>
      <c r="L1396" s="155"/>
      <c r="M1396" s="155"/>
      <c r="N1396" s="155"/>
      <c r="O1396" s="155"/>
    </row>
    <row r="1397" spans="1:15" ht="115.5">
      <c r="A1397" s="395"/>
      <c r="B1397" s="65" t="s">
        <v>3833</v>
      </c>
      <c r="C1397" s="45" t="s">
        <v>9959</v>
      </c>
      <c r="D1397" s="45" t="s">
        <v>9960</v>
      </c>
      <c r="E1397" s="78" t="s">
        <v>9463</v>
      </c>
      <c r="F1397" s="45" t="s">
        <v>9961</v>
      </c>
      <c r="G1397" s="46" t="s">
        <v>9962</v>
      </c>
      <c r="H1397" s="62" t="s">
        <v>30</v>
      </c>
      <c r="I1397" s="133"/>
      <c r="J1397" s="155"/>
      <c r="K1397" s="155"/>
      <c r="L1397" s="155"/>
      <c r="M1397" s="155"/>
      <c r="N1397" s="155"/>
      <c r="O1397" s="155"/>
    </row>
    <row r="1398" spans="1:15" ht="82.5">
      <c r="A1398" s="395"/>
      <c r="B1398" s="65" t="s">
        <v>3833</v>
      </c>
      <c r="C1398" s="45" t="s">
        <v>9963</v>
      </c>
      <c r="D1398" s="45" t="s">
        <v>9964</v>
      </c>
      <c r="E1398" s="78" t="s">
        <v>9815</v>
      </c>
      <c r="F1398" s="45" t="s">
        <v>9965</v>
      </c>
      <c r="G1398" s="46" t="s">
        <v>9966</v>
      </c>
      <c r="H1398" s="62" t="s">
        <v>62</v>
      </c>
      <c r="I1398" s="133"/>
      <c r="J1398" s="155"/>
      <c r="K1398" s="155"/>
      <c r="L1398" s="155"/>
      <c r="M1398" s="155"/>
      <c r="N1398" s="155"/>
      <c r="O1398" s="155"/>
    </row>
    <row r="1399" spans="1:15" ht="198">
      <c r="A1399" s="395"/>
      <c r="B1399" s="65" t="s">
        <v>3833</v>
      </c>
      <c r="C1399" s="45" t="s">
        <v>9967</v>
      </c>
      <c r="D1399" s="45" t="s">
        <v>4057</v>
      </c>
      <c r="E1399" s="78" t="s">
        <v>9463</v>
      </c>
      <c r="F1399" s="45" t="s">
        <v>9968</v>
      </c>
      <c r="G1399" s="46" t="s">
        <v>9969</v>
      </c>
      <c r="H1399" s="62" t="s">
        <v>24</v>
      </c>
      <c r="I1399" s="133"/>
      <c r="J1399" s="155"/>
      <c r="K1399" s="155"/>
      <c r="L1399" s="155"/>
      <c r="M1399" s="155"/>
      <c r="N1399" s="155"/>
      <c r="O1399" s="155"/>
    </row>
    <row r="1400" spans="1:15" ht="198">
      <c r="A1400" s="395"/>
      <c r="B1400" s="65" t="s">
        <v>3833</v>
      </c>
      <c r="C1400" s="45" t="s">
        <v>9970</v>
      </c>
      <c r="D1400" s="45" t="s">
        <v>4059</v>
      </c>
      <c r="E1400" s="78" t="s">
        <v>9463</v>
      </c>
      <c r="F1400" s="45" t="s">
        <v>9971</v>
      </c>
      <c r="G1400" s="46" t="s">
        <v>9972</v>
      </c>
      <c r="H1400" s="62" t="s">
        <v>24</v>
      </c>
      <c r="I1400" s="133"/>
      <c r="J1400" s="155"/>
      <c r="K1400" s="155"/>
      <c r="L1400" s="155"/>
      <c r="M1400" s="155"/>
      <c r="N1400" s="155"/>
      <c r="O1400" s="155"/>
    </row>
    <row r="1401" spans="1:15" ht="198">
      <c r="A1401" s="395"/>
      <c r="B1401" s="65" t="s">
        <v>3833</v>
      </c>
      <c r="C1401" s="45" t="s">
        <v>9973</v>
      </c>
      <c r="D1401" s="45" t="s">
        <v>4062</v>
      </c>
      <c r="E1401" s="78" t="s">
        <v>9463</v>
      </c>
      <c r="F1401" s="45" t="s">
        <v>9974</v>
      </c>
      <c r="G1401" s="46" t="s">
        <v>9975</v>
      </c>
      <c r="H1401" s="62" t="s">
        <v>24</v>
      </c>
      <c r="I1401" s="133"/>
      <c r="J1401" s="155"/>
      <c r="K1401" s="155"/>
      <c r="L1401" s="155"/>
      <c r="M1401" s="155"/>
      <c r="N1401" s="155"/>
      <c r="O1401" s="155"/>
    </row>
    <row r="1402" spans="1:15" ht="115.5">
      <c r="A1402" s="395"/>
      <c r="B1402" s="65" t="s">
        <v>3833</v>
      </c>
      <c r="C1402" s="45" t="s">
        <v>9976</v>
      </c>
      <c r="D1402" s="53" t="s">
        <v>9977</v>
      </c>
      <c r="E1402" s="78" t="s">
        <v>9463</v>
      </c>
      <c r="F1402" s="45" t="s">
        <v>9978</v>
      </c>
      <c r="G1402" s="46" t="s">
        <v>9979</v>
      </c>
      <c r="H1402" s="62" t="s">
        <v>62</v>
      </c>
      <c r="I1402" s="133"/>
      <c r="J1402" s="155"/>
      <c r="K1402" s="155"/>
      <c r="L1402" s="155"/>
      <c r="M1402" s="155"/>
      <c r="N1402" s="155"/>
      <c r="O1402" s="155"/>
    </row>
    <row r="1403" spans="1:15" ht="165">
      <c r="A1403" s="395"/>
      <c r="B1403" s="65" t="s">
        <v>3833</v>
      </c>
      <c r="C1403" s="45" t="s">
        <v>9980</v>
      </c>
      <c r="D1403" s="45" t="s">
        <v>9981</v>
      </c>
      <c r="E1403" s="78" t="s">
        <v>9463</v>
      </c>
      <c r="F1403" s="45" t="s">
        <v>9982</v>
      </c>
      <c r="G1403" s="46" t="s">
        <v>9983</v>
      </c>
      <c r="H1403" s="62" t="s">
        <v>24</v>
      </c>
      <c r="I1403" s="133"/>
      <c r="J1403" s="155"/>
      <c r="K1403" s="155"/>
      <c r="L1403" s="155"/>
      <c r="M1403" s="155"/>
      <c r="N1403" s="155"/>
      <c r="O1403" s="155"/>
    </row>
    <row r="1404" spans="1:15" ht="115.5">
      <c r="A1404" s="395"/>
      <c r="B1404" s="65" t="s">
        <v>3833</v>
      </c>
      <c r="C1404" s="45" t="s">
        <v>9984</v>
      </c>
      <c r="D1404" s="45" t="s">
        <v>9985</v>
      </c>
      <c r="E1404" s="78" t="s">
        <v>9463</v>
      </c>
      <c r="F1404" s="45" t="s">
        <v>9986</v>
      </c>
      <c r="G1404" s="46" t="s">
        <v>9987</v>
      </c>
      <c r="H1404" s="62" t="s">
        <v>62</v>
      </c>
      <c r="I1404" s="133"/>
      <c r="J1404" s="155"/>
      <c r="K1404" s="155"/>
      <c r="L1404" s="155"/>
      <c r="M1404" s="155"/>
      <c r="N1404" s="155"/>
      <c r="O1404" s="155"/>
    </row>
    <row r="1405" spans="1:15" ht="346.5">
      <c r="A1405" s="395"/>
      <c r="B1405" s="65" t="s">
        <v>3833</v>
      </c>
      <c r="C1405" s="45" t="s">
        <v>9988</v>
      </c>
      <c r="D1405" s="45" t="s">
        <v>4068</v>
      </c>
      <c r="E1405" s="78" t="s">
        <v>5909</v>
      </c>
      <c r="F1405" s="53" t="s">
        <v>9989</v>
      </c>
      <c r="G1405" s="46" t="s">
        <v>9990</v>
      </c>
      <c r="H1405" s="62" t="s">
        <v>41</v>
      </c>
      <c r="I1405" s="133"/>
      <c r="J1405" s="155"/>
      <c r="K1405" s="155"/>
      <c r="L1405" s="155"/>
      <c r="M1405" s="155"/>
      <c r="N1405" s="155"/>
      <c r="O1405" s="155"/>
    </row>
    <row r="1406" spans="1:15" ht="66">
      <c r="A1406" s="395"/>
      <c r="B1406" s="65" t="s">
        <v>3833</v>
      </c>
      <c r="C1406" s="45" t="s">
        <v>9991</v>
      </c>
      <c r="D1406" s="45" t="s">
        <v>4070</v>
      </c>
      <c r="E1406" s="78" t="s">
        <v>5909</v>
      </c>
      <c r="F1406" s="45" t="s">
        <v>4071</v>
      </c>
      <c r="G1406" s="46" t="s">
        <v>4072</v>
      </c>
      <c r="H1406" s="62"/>
      <c r="I1406" s="133"/>
      <c r="J1406" s="155"/>
      <c r="K1406" s="155"/>
      <c r="L1406" s="155"/>
      <c r="M1406" s="155"/>
      <c r="N1406" s="155"/>
      <c r="O1406" s="155"/>
    </row>
    <row r="1407" spans="1:15" ht="66">
      <c r="A1407" s="395"/>
      <c r="B1407" s="65" t="s">
        <v>3833</v>
      </c>
      <c r="C1407" s="45" t="s">
        <v>9992</v>
      </c>
      <c r="D1407" s="45" t="s">
        <v>4074</v>
      </c>
      <c r="E1407" s="78" t="s">
        <v>5909</v>
      </c>
      <c r="F1407" s="45" t="s">
        <v>4075</v>
      </c>
      <c r="G1407" s="46" t="s">
        <v>4076</v>
      </c>
      <c r="H1407" s="62"/>
      <c r="I1407" s="133"/>
      <c r="J1407" s="155"/>
      <c r="K1407" s="155"/>
      <c r="L1407" s="155"/>
      <c r="M1407" s="155"/>
      <c r="N1407" s="155"/>
      <c r="O1407" s="155"/>
    </row>
    <row r="1408" spans="1:15" ht="66">
      <c r="A1408" s="395"/>
      <c r="B1408" s="65" t="s">
        <v>3833</v>
      </c>
      <c r="C1408" s="45" t="s">
        <v>9993</v>
      </c>
      <c r="D1408" s="45" t="s">
        <v>4078</v>
      </c>
      <c r="E1408" s="78" t="s">
        <v>5909</v>
      </c>
      <c r="F1408" s="45" t="s">
        <v>4079</v>
      </c>
      <c r="G1408" s="46" t="s">
        <v>4080</v>
      </c>
      <c r="H1408" s="62"/>
      <c r="I1408" s="133"/>
      <c r="J1408" s="155"/>
      <c r="K1408" s="155"/>
      <c r="L1408" s="155"/>
      <c r="M1408" s="155"/>
      <c r="N1408" s="155"/>
      <c r="O1408" s="155"/>
    </row>
    <row r="1409" spans="1:15" ht="66">
      <c r="A1409" s="395"/>
      <c r="B1409" s="65" t="s">
        <v>3833</v>
      </c>
      <c r="C1409" s="45" t="s">
        <v>9994</v>
      </c>
      <c r="D1409" s="45" t="s">
        <v>4082</v>
      </c>
      <c r="E1409" s="78" t="s">
        <v>5909</v>
      </c>
      <c r="F1409" s="45" t="s">
        <v>4083</v>
      </c>
      <c r="G1409" s="46" t="s">
        <v>9995</v>
      </c>
      <c r="H1409" s="62"/>
      <c r="I1409" s="133"/>
      <c r="J1409" s="155"/>
      <c r="K1409" s="155"/>
      <c r="L1409" s="155"/>
      <c r="M1409" s="155"/>
      <c r="N1409" s="155"/>
      <c r="O1409" s="155"/>
    </row>
    <row r="1410" spans="1:15" ht="66">
      <c r="A1410" s="395"/>
      <c r="B1410" s="65" t="s">
        <v>3833</v>
      </c>
      <c r="C1410" s="45" t="s">
        <v>9996</v>
      </c>
      <c r="D1410" s="45" t="s">
        <v>4085</v>
      </c>
      <c r="E1410" s="78" t="s">
        <v>5909</v>
      </c>
      <c r="F1410" s="45" t="s">
        <v>4086</v>
      </c>
      <c r="G1410" s="46" t="s">
        <v>4087</v>
      </c>
      <c r="H1410" s="62"/>
      <c r="I1410" s="133"/>
      <c r="J1410" s="155"/>
      <c r="K1410" s="155"/>
      <c r="L1410" s="155"/>
      <c r="M1410" s="155"/>
      <c r="N1410" s="155"/>
      <c r="O1410" s="155"/>
    </row>
    <row r="1411" spans="1:15" ht="66">
      <c r="A1411" s="395"/>
      <c r="B1411" s="65" t="s">
        <v>3833</v>
      </c>
      <c r="C1411" s="45" t="s">
        <v>9997</v>
      </c>
      <c r="D1411" s="45" t="s">
        <v>4089</v>
      </c>
      <c r="E1411" s="78" t="s">
        <v>5909</v>
      </c>
      <c r="F1411" s="45" t="s">
        <v>4090</v>
      </c>
      <c r="G1411" s="46" t="s">
        <v>4091</v>
      </c>
      <c r="H1411" s="62"/>
      <c r="I1411" s="133"/>
      <c r="J1411" s="155"/>
      <c r="K1411" s="155"/>
      <c r="L1411" s="155"/>
      <c r="M1411" s="155"/>
      <c r="N1411" s="155"/>
      <c r="O1411" s="155"/>
    </row>
    <row r="1412" spans="1:15" ht="99">
      <c r="A1412" s="395"/>
      <c r="B1412" s="65" t="s">
        <v>3833</v>
      </c>
      <c r="C1412" s="45" t="s">
        <v>9998</v>
      </c>
      <c r="D1412" s="45" t="s">
        <v>4093</v>
      </c>
      <c r="E1412" s="78" t="s">
        <v>5909</v>
      </c>
      <c r="F1412" s="45" t="s">
        <v>4094</v>
      </c>
      <c r="G1412" s="46" t="s">
        <v>4095</v>
      </c>
      <c r="H1412" s="62" t="s">
        <v>24</v>
      </c>
      <c r="I1412" s="133"/>
      <c r="J1412" s="155"/>
      <c r="K1412" s="155"/>
      <c r="L1412" s="155"/>
      <c r="M1412" s="155"/>
      <c r="N1412" s="155"/>
      <c r="O1412" s="155"/>
    </row>
    <row r="1413" spans="1:15" ht="99">
      <c r="A1413" s="395"/>
      <c r="B1413" s="65" t="s">
        <v>3833</v>
      </c>
      <c r="C1413" s="45" t="s">
        <v>9999</v>
      </c>
      <c r="D1413" s="45" t="s">
        <v>4097</v>
      </c>
      <c r="E1413" s="78" t="s">
        <v>5909</v>
      </c>
      <c r="F1413" s="45" t="s">
        <v>4098</v>
      </c>
      <c r="G1413" s="46" t="s">
        <v>4099</v>
      </c>
      <c r="H1413" s="62" t="s">
        <v>24</v>
      </c>
      <c r="I1413" s="133"/>
      <c r="J1413" s="155"/>
      <c r="K1413" s="155"/>
      <c r="L1413" s="155"/>
      <c r="M1413" s="155"/>
      <c r="N1413" s="155"/>
      <c r="O1413" s="155"/>
    </row>
    <row r="1414" spans="1:15" ht="132">
      <c r="A1414" s="83"/>
      <c r="B1414" s="65" t="s">
        <v>3833</v>
      </c>
      <c r="C1414" s="45" t="s">
        <v>10000</v>
      </c>
      <c r="D1414" s="45" t="s">
        <v>4101</v>
      </c>
      <c r="E1414" s="78" t="s">
        <v>5909</v>
      </c>
      <c r="F1414" s="45" t="s">
        <v>4102</v>
      </c>
      <c r="G1414" s="46" t="s">
        <v>4103</v>
      </c>
      <c r="H1414" s="62" t="s">
        <v>41</v>
      </c>
      <c r="I1414" s="133"/>
      <c r="J1414" s="155"/>
      <c r="K1414" s="155"/>
      <c r="L1414" s="155"/>
      <c r="M1414" s="155"/>
      <c r="N1414" s="155"/>
      <c r="O1414" s="155"/>
    </row>
    <row r="1415" spans="1:15" ht="132">
      <c r="A1415" s="83"/>
      <c r="B1415" s="65" t="s">
        <v>3833</v>
      </c>
      <c r="C1415" s="45" t="s">
        <v>10001</v>
      </c>
      <c r="D1415" s="45" t="s">
        <v>4105</v>
      </c>
      <c r="E1415" s="78" t="s">
        <v>5909</v>
      </c>
      <c r="F1415" s="45" t="s">
        <v>4106</v>
      </c>
      <c r="G1415" s="46" t="s">
        <v>4103</v>
      </c>
      <c r="H1415" s="62" t="s">
        <v>41</v>
      </c>
      <c r="I1415" s="133"/>
      <c r="J1415" s="155"/>
      <c r="K1415" s="155"/>
      <c r="L1415" s="155"/>
      <c r="M1415" s="155"/>
      <c r="N1415" s="155"/>
      <c r="O1415" s="155"/>
    </row>
    <row r="1416" spans="1:15" ht="165">
      <c r="A1416" s="396" t="s">
        <v>4108</v>
      </c>
      <c r="B1416" s="63" t="s">
        <v>4108</v>
      </c>
      <c r="C1416" s="45" t="s">
        <v>10002</v>
      </c>
      <c r="D1416" s="45" t="s">
        <v>4110</v>
      </c>
      <c r="E1416" s="78" t="s">
        <v>5909</v>
      </c>
      <c r="F1416" s="45" t="s">
        <v>10003</v>
      </c>
      <c r="G1416" s="46" t="s">
        <v>4112</v>
      </c>
      <c r="H1416" s="62" t="s">
        <v>30</v>
      </c>
      <c r="I1416" s="133"/>
      <c r="J1416" s="155"/>
      <c r="K1416" s="155"/>
      <c r="L1416" s="155"/>
      <c r="M1416" s="155"/>
      <c r="N1416" s="155"/>
      <c r="O1416" s="155"/>
    </row>
    <row r="1417" spans="1:15" ht="99">
      <c r="A1417" s="397"/>
      <c r="B1417" s="63" t="s">
        <v>4108</v>
      </c>
      <c r="C1417" s="45" t="s">
        <v>10004</v>
      </c>
      <c r="D1417" s="45" t="s">
        <v>4113</v>
      </c>
      <c r="E1417" s="78" t="s">
        <v>5909</v>
      </c>
      <c r="F1417" s="45" t="s">
        <v>10005</v>
      </c>
      <c r="G1417" s="89" t="s">
        <v>4114</v>
      </c>
      <c r="H1417" s="62" t="s">
        <v>30</v>
      </c>
      <c r="I1417" s="133"/>
      <c r="J1417" s="155"/>
      <c r="K1417" s="155"/>
      <c r="L1417" s="155"/>
      <c r="M1417" s="155"/>
      <c r="N1417" s="155"/>
      <c r="O1417" s="155"/>
    </row>
    <row r="1418" spans="1:15" ht="148.5">
      <c r="A1418" s="397"/>
      <c r="B1418" s="63" t="s">
        <v>4108</v>
      </c>
      <c r="C1418" s="45" t="s">
        <v>10006</v>
      </c>
      <c r="D1418" s="45" t="s">
        <v>4113</v>
      </c>
      <c r="E1418" s="78" t="s">
        <v>5909</v>
      </c>
      <c r="F1418" s="45" t="s">
        <v>10007</v>
      </c>
      <c r="G1418" s="46" t="s">
        <v>4117</v>
      </c>
      <c r="H1418" s="62" t="s">
        <v>41</v>
      </c>
      <c r="I1418" s="133"/>
      <c r="J1418" s="155"/>
      <c r="K1418" s="155"/>
      <c r="L1418" s="155"/>
      <c r="M1418" s="155"/>
      <c r="N1418" s="155"/>
      <c r="O1418" s="155"/>
    </row>
    <row r="1419" spans="1:15" ht="132">
      <c r="A1419" s="397"/>
      <c r="B1419" s="63" t="s">
        <v>4108</v>
      </c>
      <c r="C1419" s="45" t="s">
        <v>10008</v>
      </c>
      <c r="D1419" s="45" t="s">
        <v>4113</v>
      </c>
      <c r="E1419" s="78" t="s">
        <v>5909</v>
      </c>
      <c r="F1419" s="45" t="s">
        <v>10009</v>
      </c>
      <c r="G1419" s="46" t="s">
        <v>4120</v>
      </c>
      <c r="H1419" s="62" t="s">
        <v>41</v>
      </c>
      <c r="I1419" s="133"/>
      <c r="J1419" s="155"/>
      <c r="K1419" s="155"/>
      <c r="L1419" s="155"/>
      <c r="M1419" s="155"/>
      <c r="N1419" s="155"/>
      <c r="O1419" s="155"/>
    </row>
    <row r="1420" spans="1:15" ht="132">
      <c r="A1420" s="397"/>
      <c r="B1420" s="63" t="s">
        <v>4108</v>
      </c>
      <c r="C1420" s="45" t="s">
        <v>10010</v>
      </c>
      <c r="D1420" s="45" t="s">
        <v>4113</v>
      </c>
      <c r="E1420" s="78" t="s">
        <v>5909</v>
      </c>
      <c r="F1420" s="45" t="s">
        <v>10011</v>
      </c>
      <c r="G1420" s="46" t="s">
        <v>4123</v>
      </c>
      <c r="H1420" s="62" t="s">
        <v>41</v>
      </c>
      <c r="I1420" s="133"/>
      <c r="J1420" s="155"/>
      <c r="K1420" s="155"/>
      <c r="L1420" s="155"/>
      <c r="M1420" s="155"/>
      <c r="N1420" s="155"/>
      <c r="O1420" s="155"/>
    </row>
    <row r="1421" spans="1:15" ht="181.5">
      <c r="A1421" s="397"/>
      <c r="B1421" s="63" t="s">
        <v>4108</v>
      </c>
      <c r="C1421" s="45" t="s">
        <v>10012</v>
      </c>
      <c r="D1421" s="45" t="s">
        <v>4124</v>
      </c>
      <c r="E1421" s="78" t="s">
        <v>4125</v>
      </c>
      <c r="F1421" s="45" t="s">
        <v>10013</v>
      </c>
      <c r="G1421" s="46" t="s">
        <v>4112</v>
      </c>
      <c r="H1421" s="62" t="s">
        <v>41</v>
      </c>
      <c r="I1421" s="133"/>
      <c r="J1421" s="155"/>
      <c r="K1421" s="155"/>
      <c r="L1421" s="155"/>
      <c r="M1421" s="155"/>
      <c r="N1421" s="155"/>
      <c r="O1421" s="155"/>
    </row>
    <row r="1422" spans="1:15" ht="99">
      <c r="A1422" s="397"/>
      <c r="B1422" s="63" t="s">
        <v>4108</v>
      </c>
      <c r="C1422" s="45" t="s">
        <v>10014</v>
      </c>
      <c r="D1422" s="45" t="s">
        <v>4127</v>
      </c>
      <c r="E1422" s="78" t="s">
        <v>5909</v>
      </c>
      <c r="F1422" s="45" t="s">
        <v>10015</v>
      </c>
      <c r="G1422" s="46" t="s">
        <v>4129</v>
      </c>
      <c r="H1422" s="62" t="s">
        <v>30</v>
      </c>
      <c r="I1422" s="133"/>
      <c r="J1422" s="155"/>
      <c r="K1422" s="155"/>
      <c r="L1422" s="155"/>
      <c r="M1422" s="155"/>
      <c r="N1422" s="155"/>
      <c r="O1422" s="155"/>
    </row>
    <row r="1423" spans="1:15" ht="115.5">
      <c r="A1423" s="397"/>
      <c r="B1423" s="63" t="s">
        <v>4108</v>
      </c>
      <c r="C1423" s="45" t="s">
        <v>10016</v>
      </c>
      <c r="D1423" s="45" t="s">
        <v>4127</v>
      </c>
      <c r="E1423" s="78" t="s">
        <v>5909</v>
      </c>
      <c r="F1423" s="45" t="s">
        <v>10017</v>
      </c>
      <c r="G1423" s="46" t="s">
        <v>4132</v>
      </c>
      <c r="H1423" s="62" t="s">
        <v>41</v>
      </c>
      <c r="I1423" s="133"/>
      <c r="J1423" s="155"/>
      <c r="K1423" s="155"/>
      <c r="L1423" s="155"/>
      <c r="M1423" s="155"/>
      <c r="N1423" s="155"/>
      <c r="O1423" s="155"/>
    </row>
    <row r="1424" spans="1:15" ht="132">
      <c r="A1424" s="397"/>
      <c r="B1424" s="63" t="s">
        <v>4108</v>
      </c>
      <c r="C1424" s="45" t="s">
        <v>10018</v>
      </c>
      <c r="D1424" s="45" t="s">
        <v>4127</v>
      </c>
      <c r="E1424" s="78" t="s">
        <v>5909</v>
      </c>
      <c r="F1424" s="45" t="s">
        <v>10019</v>
      </c>
      <c r="G1424" s="46" t="s">
        <v>4135</v>
      </c>
      <c r="H1424" s="62" t="s">
        <v>41</v>
      </c>
      <c r="I1424" s="133"/>
      <c r="J1424" s="155"/>
      <c r="K1424" s="155"/>
      <c r="L1424" s="155"/>
      <c r="M1424" s="155"/>
      <c r="N1424" s="155"/>
      <c r="O1424" s="155"/>
    </row>
    <row r="1425" spans="1:15" ht="82.5">
      <c r="A1425" s="397"/>
      <c r="B1425" s="63" t="s">
        <v>4108</v>
      </c>
      <c r="C1425" s="45" t="s">
        <v>10020</v>
      </c>
      <c r="D1425" s="45" t="s">
        <v>4137</v>
      </c>
      <c r="E1425" s="78" t="s">
        <v>2886</v>
      </c>
      <c r="F1425" s="45" t="s">
        <v>4138</v>
      </c>
      <c r="G1425" s="46" t="s">
        <v>4139</v>
      </c>
      <c r="H1425" s="62" t="s">
        <v>24</v>
      </c>
      <c r="I1425" s="133"/>
      <c r="J1425" s="155"/>
      <c r="K1425" s="155"/>
      <c r="L1425" s="155"/>
      <c r="M1425" s="155"/>
      <c r="N1425" s="155"/>
      <c r="O1425" s="155"/>
    </row>
    <row r="1426" spans="1:15" ht="115.5">
      <c r="A1426" s="397"/>
      <c r="B1426" s="63" t="s">
        <v>4108</v>
      </c>
      <c r="C1426" s="45" t="s">
        <v>10021</v>
      </c>
      <c r="D1426" s="45" t="s">
        <v>4141</v>
      </c>
      <c r="E1426" s="78" t="s">
        <v>4142</v>
      </c>
      <c r="F1426" s="45" t="s">
        <v>10022</v>
      </c>
      <c r="G1426" s="46" t="s">
        <v>4144</v>
      </c>
      <c r="H1426" s="62" t="s">
        <v>24</v>
      </c>
      <c r="I1426" s="133"/>
      <c r="J1426" s="155"/>
      <c r="K1426" s="155"/>
      <c r="L1426" s="155"/>
      <c r="M1426" s="155"/>
      <c r="N1426" s="155"/>
      <c r="O1426" s="155"/>
    </row>
    <row r="1427" spans="1:15" ht="115.5">
      <c r="A1427" s="397"/>
      <c r="B1427" s="63" t="s">
        <v>4108</v>
      </c>
      <c r="C1427" s="45" t="s">
        <v>10023</v>
      </c>
      <c r="D1427" s="45" t="s">
        <v>4146</v>
      </c>
      <c r="E1427" s="78" t="s">
        <v>4147</v>
      </c>
      <c r="F1427" s="45" t="s">
        <v>10024</v>
      </c>
      <c r="G1427" s="46" t="s">
        <v>4149</v>
      </c>
      <c r="H1427" s="62" t="s">
        <v>30</v>
      </c>
      <c r="I1427" s="133"/>
      <c r="J1427" s="155"/>
      <c r="K1427" s="155"/>
      <c r="L1427" s="155"/>
      <c r="M1427" s="155"/>
      <c r="N1427" s="155"/>
      <c r="O1427" s="155"/>
    </row>
    <row r="1428" spans="1:15" ht="148.5">
      <c r="A1428" s="397"/>
      <c r="B1428" s="63" t="s">
        <v>4108</v>
      </c>
      <c r="C1428" s="45" t="s">
        <v>10025</v>
      </c>
      <c r="D1428" s="45" t="s">
        <v>4151</v>
      </c>
      <c r="E1428" s="78" t="s">
        <v>4152</v>
      </c>
      <c r="F1428" s="45" t="s">
        <v>10026</v>
      </c>
      <c r="G1428" s="46" t="s">
        <v>4154</v>
      </c>
      <c r="H1428" s="62" t="s">
        <v>24</v>
      </c>
      <c r="I1428" s="133"/>
      <c r="J1428" s="155"/>
      <c r="K1428" s="155"/>
      <c r="L1428" s="155"/>
      <c r="M1428" s="155"/>
      <c r="N1428" s="155"/>
      <c r="O1428" s="155"/>
    </row>
    <row r="1429" spans="1:15" ht="148.5">
      <c r="A1429" s="397"/>
      <c r="B1429" s="63" t="s">
        <v>4108</v>
      </c>
      <c r="C1429" s="45" t="s">
        <v>10027</v>
      </c>
      <c r="D1429" s="45" t="s">
        <v>4156</v>
      </c>
      <c r="E1429" s="78" t="s">
        <v>4157</v>
      </c>
      <c r="F1429" s="45" t="s">
        <v>10028</v>
      </c>
      <c r="G1429" s="46" t="s">
        <v>4159</v>
      </c>
      <c r="H1429" s="62" t="s">
        <v>36</v>
      </c>
      <c r="I1429" s="133"/>
      <c r="J1429" s="155"/>
      <c r="K1429" s="155"/>
      <c r="L1429" s="155"/>
      <c r="M1429" s="155"/>
      <c r="N1429" s="155"/>
      <c r="O1429" s="155"/>
    </row>
    <row r="1430" spans="1:15" ht="66">
      <c r="A1430" s="397"/>
      <c r="B1430" s="63" t="s">
        <v>4108</v>
      </c>
      <c r="C1430" s="45" t="s">
        <v>10029</v>
      </c>
      <c r="D1430" s="45" t="s">
        <v>4161</v>
      </c>
      <c r="E1430" s="78" t="s">
        <v>4162</v>
      </c>
      <c r="F1430" s="45" t="s">
        <v>10030</v>
      </c>
      <c r="G1430" s="46" t="s">
        <v>4164</v>
      </c>
      <c r="H1430" s="62" t="s">
        <v>36</v>
      </c>
      <c r="I1430" s="133"/>
      <c r="J1430" s="155"/>
      <c r="K1430" s="155"/>
      <c r="L1430" s="155"/>
      <c r="M1430" s="155"/>
      <c r="N1430" s="155"/>
      <c r="O1430" s="155"/>
    </row>
    <row r="1431" spans="1:15" ht="132">
      <c r="A1431" s="397"/>
      <c r="B1431" s="63" t="s">
        <v>4108</v>
      </c>
      <c r="C1431" s="45" t="s">
        <v>10031</v>
      </c>
      <c r="D1431" s="45" t="s">
        <v>4166</v>
      </c>
      <c r="E1431" s="78" t="s">
        <v>4167</v>
      </c>
      <c r="F1431" s="45" t="s">
        <v>10032</v>
      </c>
      <c r="G1431" s="46" t="s">
        <v>4169</v>
      </c>
      <c r="H1431" s="62" t="s">
        <v>24</v>
      </c>
      <c r="I1431" s="133"/>
      <c r="J1431" s="155"/>
      <c r="K1431" s="155"/>
      <c r="L1431" s="155"/>
      <c r="M1431" s="155"/>
      <c r="N1431" s="155"/>
      <c r="O1431" s="155"/>
    </row>
    <row r="1432" spans="1:15" ht="148.5">
      <c r="A1432" s="397"/>
      <c r="B1432" s="63" t="s">
        <v>4108</v>
      </c>
      <c r="C1432" s="45" t="s">
        <v>10033</v>
      </c>
      <c r="D1432" s="45" t="s">
        <v>4171</v>
      </c>
      <c r="E1432" s="78" t="s">
        <v>2928</v>
      </c>
      <c r="F1432" s="45" t="s">
        <v>10034</v>
      </c>
      <c r="G1432" s="46" t="s">
        <v>4173</v>
      </c>
      <c r="H1432" s="62" t="s">
        <v>41</v>
      </c>
      <c r="I1432" s="133"/>
      <c r="J1432" s="155"/>
      <c r="K1432" s="155"/>
      <c r="L1432" s="155"/>
      <c r="M1432" s="155"/>
      <c r="N1432" s="155"/>
      <c r="O1432" s="155"/>
    </row>
    <row r="1433" spans="1:15" ht="115.5">
      <c r="A1433" s="397"/>
      <c r="B1433" s="63" t="s">
        <v>4108</v>
      </c>
      <c r="C1433" s="45" t="s">
        <v>10035</v>
      </c>
      <c r="D1433" s="45" t="s">
        <v>4175</v>
      </c>
      <c r="E1433" s="78" t="s">
        <v>2935</v>
      </c>
      <c r="F1433" s="45" t="s">
        <v>10036</v>
      </c>
      <c r="G1433" s="46" t="s">
        <v>4177</v>
      </c>
      <c r="H1433" s="62" t="s">
        <v>24</v>
      </c>
      <c r="I1433" s="133"/>
      <c r="J1433" s="155"/>
      <c r="K1433" s="155"/>
      <c r="L1433" s="155"/>
      <c r="M1433" s="155"/>
      <c r="N1433" s="155"/>
      <c r="O1433" s="155"/>
    </row>
    <row r="1434" spans="1:15" ht="115.5">
      <c r="A1434" s="397"/>
      <c r="B1434" s="63" t="s">
        <v>4108</v>
      </c>
      <c r="C1434" s="45" t="s">
        <v>10037</v>
      </c>
      <c r="D1434" s="45" t="s">
        <v>4179</v>
      </c>
      <c r="E1434" s="78" t="s">
        <v>2940</v>
      </c>
      <c r="F1434" s="45" t="s">
        <v>10038</v>
      </c>
      <c r="G1434" s="46" t="s">
        <v>4181</v>
      </c>
      <c r="H1434" s="62" t="s">
        <v>36</v>
      </c>
      <c r="I1434" s="133"/>
      <c r="J1434" s="155"/>
      <c r="K1434" s="155"/>
      <c r="L1434" s="155"/>
      <c r="M1434" s="155"/>
      <c r="N1434" s="155"/>
      <c r="O1434" s="155"/>
    </row>
    <row r="1435" spans="1:15" ht="82.5">
      <c r="A1435" s="397"/>
      <c r="B1435" s="63" t="s">
        <v>4108</v>
      </c>
      <c r="C1435" s="45" t="s">
        <v>10039</v>
      </c>
      <c r="D1435" s="45" t="s">
        <v>4183</v>
      </c>
      <c r="E1435" s="78" t="s">
        <v>4184</v>
      </c>
      <c r="F1435" s="45" t="s">
        <v>10040</v>
      </c>
      <c r="G1435" s="46" t="s">
        <v>4186</v>
      </c>
      <c r="H1435" s="62" t="s">
        <v>62</v>
      </c>
      <c r="I1435" s="133"/>
      <c r="J1435" s="155"/>
      <c r="K1435" s="155"/>
      <c r="L1435" s="155"/>
      <c r="M1435" s="155"/>
      <c r="N1435" s="155"/>
      <c r="O1435" s="155"/>
    </row>
    <row r="1436" spans="1:15" ht="82.5">
      <c r="A1436" s="397"/>
      <c r="B1436" s="66" t="s">
        <v>4108</v>
      </c>
      <c r="C1436" s="53" t="s">
        <v>10041</v>
      </c>
      <c r="D1436" s="53" t="s">
        <v>4188</v>
      </c>
      <c r="E1436" s="73" t="s">
        <v>4189</v>
      </c>
      <c r="F1436" s="53" t="s">
        <v>10042</v>
      </c>
      <c r="G1436" s="60" t="s">
        <v>4191</v>
      </c>
      <c r="H1436" s="62" t="s">
        <v>24</v>
      </c>
      <c r="I1436" s="133"/>
      <c r="J1436" s="155"/>
      <c r="K1436" s="155"/>
      <c r="L1436" s="155"/>
      <c r="M1436" s="155"/>
      <c r="N1436" s="155"/>
      <c r="O1436" s="155"/>
    </row>
    <row r="1437" spans="1:15" ht="82.5">
      <c r="A1437" s="397"/>
      <c r="B1437" s="98" t="s">
        <v>10043</v>
      </c>
      <c r="C1437" s="99" t="s">
        <v>10044</v>
      </c>
      <c r="D1437" s="100" t="s">
        <v>4194</v>
      </c>
      <c r="E1437" s="99" t="s">
        <v>5909</v>
      </c>
      <c r="F1437" s="99" t="s">
        <v>10045</v>
      </c>
      <c r="G1437" s="101" t="s">
        <v>4196</v>
      </c>
      <c r="H1437" s="102" t="s">
        <v>41</v>
      </c>
      <c r="I1437" s="135"/>
      <c r="J1437" s="155"/>
      <c r="K1437" s="155"/>
      <c r="L1437" s="155"/>
      <c r="M1437" s="155"/>
      <c r="N1437" s="155"/>
      <c r="O1437" s="155"/>
    </row>
    <row r="1438" spans="1:15" ht="82.5">
      <c r="A1438" s="397"/>
      <c r="B1438" s="98" t="s">
        <v>10043</v>
      </c>
      <c r="C1438" s="99" t="s">
        <v>10046</v>
      </c>
      <c r="D1438" s="103" t="s">
        <v>4198</v>
      </c>
      <c r="E1438" s="99" t="s">
        <v>5909</v>
      </c>
      <c r="F1438" s="99" t="s">
        <v>10047</v>
      </c>
      <c r="G1438" s="101" t="s">
        <v>4199</v>
      </c>
      <c r="H1438" s="102" t="s">
        <v>41</v>
      </c>
      <c r="I1438" s="135"/>
      <c r="J1438" s="155"/>
      <c r="K1438" s="155"/>
      <c r="L1438" s="155"/>
      <c r="M1438" s="155"/>
      <c r="N1438" s="155"/>
      <c r="O1438" s="155"/>
    </row>
    <row r="1439" spans="1:15" ht="82.5">
      <c r="A1439" s="397"/>
      <c r="B1439" s="98" t="s">
        <v>10043</v>
      </c>
      <c r="C1439" s="99" t="s">
        <v>10048</v>
      </c>
      <c r="D1439" s="103" t="s">
        <v>4201</v>
      </c>
      <c r="E1439" s="99" t="s">
        <v>5909</v>
      </c>
      <c r="F1439" s="99" t="s">
        <v>10049</v>
      </c>
      <c r="G1439" s="101" t="s">
        <v>4199</v>
      </c>
      <c r="H1439" s="102" t="s">
        <v>41</v>
      </c>
      <c r="I1439" s="135"/>
      <c r="J1439" s="155"/>
      <c r="K1439" s="155"/>
      <c r="L1439" s="155"/>
      <c r="M1439" s="155"/>
      <c r="N1439" s="155"/>
      <c r="O1439" s="155"/>
    </row>
    <row r="1440" spans="1:15" ht="82.5">
      <c r="A1440" s="397"/>
      <c r="B1440" s="98" t="s">
        <v>10043</v>
      </c>
      <c r="C1440" s="99" t="s">
        <v>10050</v>
      </c>
      <c r="D1440" s="103" t="s">
        <v>4203</v>
      </c>
      <c r="E1440" s="99" t="s">
        <v>5909</v>
      </c>
      <c r="F1440" s="99" t="s">
        <v>10051</v>
      </c>
      <c r="G1440" s="101" t="s">
        <v>4199</v>
      </c>
      <c r="H1440" s="102" t="s">
        <v>41</v>
      </c>
      <c r="I1440" s="135"/>
      <c r="J1440" s="155"/>
      <c r="K1440" s="155"/>
      <c r="L1440" s="155"/>
      <c r="M1440" s="155"/>
      <c r="N1440" s="155"/>
      <c r="O1440" s="155"/>
    </row>
    <row r="1441" spans="1:15" ht="82.5">
      <c r="A1441" s="397"/>
      <c r="B1441" s="98" t="s">
        <v>10043</v>
      </c>
      <c r="C1441" s="99" t="s">
        <v>10052</v>
      </c>
      <c r="D1441" s="103" t="s">
        <v>4206</v>
      </c>
      <c r="E1441" s="99" t="s">
        <v>5909</v>
      </c>
      <c r="F1441" s="99" t="s">
        <v>10053</v>
      </c>
      <c r="G1441" s="101" t="s">
        <v>4199</v>
      </c>
      <c r="H1441" s="102" t="s">
        <v>41</v>
      </c>
      <c r="I1441" s="135"/>
      <c r="J1441" s="155"/>
      <c r="K1441" s="155"/>
      <c r="L1441" s="155"/>
      <c r="M1441" s="155"/>
      <c r="N1441" s="155"/>
      <c r="O1441" s="155"/>
    </row>
    <row r="1442" spans="1:15" ht="82.5">
      <c r="A1442" s="397"/>
      <c r="B1442" s="98" t="s">
        <v>10043</v>
      </c>
      <c r="C1442" s="99" t="s">
        <v>10054</v>
      </c>
      <c r="D1442" s="103" t="s">
        <v>4209</v>
      </c>
      <c r="E1442" s="99" t="s">
        <v>5909</v>
      </c>
      <c r="F1442" s="99" t="s">
        <v>10055</v>
      </c>
      <c r="G1442" s="101" t="s">
        <v>4199</v>
      </c>
      <c r="H1442" s="102" t="s">
        <v>41</v>
      </c>
      <c r="I1442" s="135"/>
      <c r="J1442" s="155"/>
      <c r="K1442" s="155"/>
      <c r="L1442" s="155"/>
      <c r="M1442" s="155"/>
      <c r="N1442" s="155"/>
      <c r="O1442" s="155"/>
    </row>
    <row r="1443" spans="1:15" ht="99">
      <c r="A1443" s="397"/>
      <c r="B1443" s="98" t="s">
        <v>10043</v>
      </c>
      <c r="C1443" s="99" t="s">
        <v>10056</v>
      </c>
      <c r="D1443" s="103" t="s">
        <v>4212</v>
      </c>
      <c r="E1443" s="99" t="s">
        <v>5909</v>
      </c>
      <c r="F1443" s="99" t="s">
        <v>10057</v>
      </c>
      <c r="G1443" s="101" t="s">
        <v>4199</v>
      </c>
      <c r="H1443" s="102" t="s">
        <v>41</v>
      </c>
      <c r="I1443" s="135"/>
      <c r="J1443" s="155"/>
      <c r="K1443" s="155"/>
      <c r="L1443" s="155"/>
      <c r="M1443" s="155"/>
      <c r="N1443" s="155"/>
      <c r="O1443" s="155"/>
    </row>
    <row r="1444" spans="1:15" ht="99">
      <c r="A1444" s="397"/>
      <c r="B1444" s="98" t="s">
        <v>10043</v>
      </c>
      <c r="C1444" s="99" t="s">
        <v>10058</v>
      </c>
      <c r="D1444" s="103" t="s">
        <v>4215</v>
      </c>
      <c r="E1444" s="99" t="s">
        <v>5909</v>
      </c>
      <c r="F1444" s="99" t="s">
        <v>10059</v>
      </c>
      <c r="G1444" s="101" t="s">
        <v>4199</v>
      </c>
      <c r="H1444" s="102" t="s">
        <v>41</v>
      </c>
      <c r="I1444" s="135"/>
      <c r="J1444" s="155"/>
      <c r="K1444" s="155"/>
      <c r="L1444" s="155"/>
      <c r="M1444" s="155"/>
      <c r="N1444" s="155"/>
      <c r="O1444" s="155"/>
    </row>
    <row r="1445" spans="1:15" ht="82.5">
      <c r="A1445" s="397"/>
      <c r="B1445" s="98" t="s">
        <v>10043</v>
      </c>
      <c r="C1445" s="99" t="s">
        <v>10060</v>
      </c>
      <c r="D1445" s="103" t="s">
        <v>4218</v>
      </c>
      <c r="E1445" s="99" t="s">
        <v>5909</v>
      </c>
      <c r="F1445" s="99" t="s">
        <v>10061</v>
      </c>
      <c r="G1445" s="101" t="s">
        <v>4220</v>
      </c>
      <c r="H1445" s="102" t="s">
        <v>41</v>
      </c>
      <c r="I1445" s="135"/>
      <c r="J1445" s="155"/>
      <c r="K1445" s="155"/>
      <c r="L1445" s="155"/>
      <c r="M1445" s="155"/>
      <c r="N1445" s="155"/>
      <c r="O1445" s="155"/>
    </row>
    <row r="1446" spans="1:15" ht="82.5">
      <c r="A1446" s="397"/>
      <c r="B1446" s="98" t="s">
        <v>10043</v>
      </c>
      <c r="C1446" s="99" t="s">
        <v>10062</v>
      </c>
      <c r="D1446" s="103" t="s">
        <v>4222</v>
      </c>
      <c r="E1446" s="99" t="s">
        <v>5909</v>
      </c>
      <c r="F1446" s="99" t="s">
        <v>10063</v>
      </c>
      <c r="G1446" s="101" t="s">
        <v>4224</v>
      </c>
      <c r="H1446" s="102" t="s">
        <v>41</v>
      </c>
      <c r="I1446" s="135"/>
      <c r="J1446" s="155"/>
      <c r="K1446" s="155"/>
      <c r="L1446" s="155"/>
      <c r="M1446" s="155"/>
      <c r="N1446" s="155"/>
      <c r="O1446" s="155"/>
    </row>
    <row r="1447" spans="1:15" ht="82.5">
      <c r="A1447" s="397"/>
      <c r="B1447" s="104" t="s">
        <v>10043</v>
      </c>
      <c r="C1447" s="99" t="s">
        <v>10064</v>
      </c>
      <c r="D1447" s="105" t="s">
        <v>4226</v>
      </c>
      <c r="E1447" s="106" t="s">
        <v>5909</v>
      </c>
      <c r="F1447" s="99" t="s">
        <v>10065</v>
      </c>
      <c r="G1447" s="101" t="s">
        <v>4227</v>
      </c>
      <c r="H1447" s="102" t="s">
        <v>41</v>
      </c>
      <c r="I1447" s="135"/>
      <c r="J1447" s="155"/>
      <c r="K1447" s="155"/>
      <c r="L1447" s="155"/>
      <c r="M1447" s="155"/>
      <c r="N1447" s="155"/>
      <c r="O1447" s="155"/>
    </row>
    <row r="1448" spans="1:15" ht="96">
      <c r="A1448" s="397"/>
      <c r="B1448" s="98" t="s">
        <v>10043</v>
      </c>
      <c r="C1448" s="99" t="s">
        <v>10066</v>
      </c>
      <c r="D1448" s="103" t="s">
        <v>4229</v>
      </c>
      <c r="E1448" s="99" t="s">
        <v>5909</v>
      </c>
      <c r="F1448" s="107" t="s">
        <v>10067</v>
      </c>
      <c r="G1448" s="101" t="s">
        <v>4231</v>
      </c>
      <c r="H1448" s="102" t="s">
        <v>41</v>
      </c>
      <c r="I1448" s="135"/>
      <c r="J1448" s="155"/>
      <c r="K1448" s="155"/>
      <c r="L1448" s="155"/>
      <c r="M1448" s="155"/>
      <c r="N1448" s="155"/>
      <c r="O1448" s="155"/>
    </row>
    <row r="1449" spans="1:15" ht="82.5">
      <c r="A1449" s="391" t="s">
        <v>4232</v>
      </c>
      <c r="B1449" s="65" t="s">
        <v>4233</v>
      </c>
      <c r="C1449" s="45" t="s">
        <v>10068</v>
      </c>
      <c r="D1449" s="53" t="s">
        <v>10069</v>
      </c>
      <c r="E1449" s="78" t="s">
        <v>5909</v>
      </c>
      <c r="F1449" s="45" t="s">
        <v>10070</v>
      </c>
      <c r="G1449" s="46" t="s">
        <v>4237</v>
      </c>
      <c r="H1449" s="62" t="s">
        <v>233</v>
      </c>
      <c r="I1449" s="133"/>
      <c r="J1449" s="155"/>
      <c r="K1449" s="155"/>
      <c r="L1449" s="155"/>
      <c r="M1449" s="155"/>
      <c r="N1449" s="155"/>
      <c r="O1449" s="155"/>
    </row>
    <row r="1450" spans="1:15" ht="82.5">
      <c r="A1450" s="392"/>
      <c r="B1450" s="65" t="s">
        <v>4233</v>
      </c>
      <c r="C1450" s="45" t="s">
        <v>10071</v>
      </c>
      <c r="D1450" s="45" t="s">
        <v>10072</v>
      </c>
      <c r="E1450" s="78" t="s">
        <v>5909</v>
      </c>
      <c r="F1450" s="45" t="s">
        <v>10073</v>
      </c>
      <c r="G1450" s="46" t="s">
        <v>10074</v>
      </c>
      <c r="H1450" s="62" t="s">
        <v>184</v>
      </c>
      <c r="I1450" s="133"/>
      <c r="J1450" s="155"/>
      <c r="K1450" s="155"/>
      <c r="L1450" s="155"/>
      <c r="M1450" s="155"/>
      <c r="N1450" s="155"/>
      <c r="O1450" s="155"/>
    </row>
    <row r="1451" spans="1:15" ht="82.5">
      <c r="A1451" s="392"/>
      <c r="B1451" s="65" t="s">
        <v>4233</v>
      </c>
      <c r="C1451" s="45" t="s">
        <v>10075</v>
      </c>
      <c r="D1451" s="45" t="s">
        <v>10076</v>
      </c>
      <c r="E1451" s="78" t="s">
        <v>5909</v>
      </c>
      <c r="F1451" s="45" t="s">
        <v>10077</v>
      </c>
      <c r="G1451" s="46" t="s">
        <v>4240</v>
      </c>
      <c r="H1451" s="62" t="s">
        <v>41</v>
      </c>
      <c r="I1451" s="133"/>
      <c r="J1451" s="155"/>
      <c r="K1451" s="155"/>
      <c r="L1451" s="155"/>
      <c r="M1451" s="155"/>
      <c r="N1451" s="155"/>
      <c r="O1451" s="155"/>
    </row>
    <row r="1452" spans="1:15" ht="82.5">
      <c r="A1452" s="392"/>
      <c r="B1452" s="65" t="s">
        <v>4233</v>
      </c>
      <c r="C1452" s="45" t="s">
        <v>10078</v>
      </c>
      <c r="D1452" s="45" t="s">
        <v>10079</v>
      </c>
      <c r="E1452" s="78" t="s">
        <v>5909</v>
      </c>
      <c r="F1452" s="45" t="s">
        <v>10080</v>
      </c>
      <c r="G1452" s="46" t="s">
        <v>10081</v>
      </c>
      <c r="H1452" s="62" t="s">
        <v>233</v>
      </c>
      <c r="I1452" s="133"/>
      <c r="J1452" s="155"/>
      <c r="K1452" s="155"/>
      <c r="L1452" s="155"/>
      <c r="M1452" s="155"/>
      <c r="N1452" s="155"/>
      <c r="O1452" s="155"/>
    </row>
    <row r="1453" spans="1:15" ht="66">
      <c r="A1453" s="392"/>
      <c r="B1453" s="65" t="s">
        <v>4233</v>
      </c>
      <c r="C1453" s="45" t="s">
        <v>10082</v>
      </c>
      <c r="D1453" s="45" t="s">
        <v>10083</v>
      </c>
      <c r="E1453" s="78" t="s">
        <v>5909</v>
      </c>
      <c r="F1453" s="45" t="s">
        <v>10084</v>
      </c>
      <c r="G1453" s="46" t="s">
        <v>10085</v>
      </c>
      <c r="H1453" s="62"/>
      <c r="I1453" s="133"/>
      <c r="J1453" s="155"/>
      <c r="K1453" s="155"/>
      <c r="L1453" s="155"/>
      <c r="M1453" s="155"/>
      <c r="N1453" s="155"/>
      <c r="O1453" s="155"/>
    </row>
    <row r="1454" spans="1:15" ht="66">
      <c r="A1454" s="393"/>
      <c r="B1454" s="65" t="s">
        <v>4233</v>
      </c>
      <c r="C1454" s="45" t="s">
        <v>10086</v>
      </c>
      <c r="D1454" s="45" t="s">
        <v>10087</v>
      </c>
      <c r="E1454" s="78" t="s">
        <v>5909</v>
      </c>
      <c r="F1454" s="45" t="s">
        <v>10088</v>
      </c>
      <c r="G1454" s="46" t="s">
        <v>10085</v>
      </c>
      <c r="H1454" s="62"/>
      <c r="I1454" s="133"/>
      <c r="J1454" s="155"/>
      <c r="K1454" s="155"/>
      <c r="L1454" s="155"/>
      <c r="M1454" s="155"/>
      <c r="N1454" s="155"/>
      <c r="O1454" s="155"/>
    </row>
    <row r="1455" spans="1:15" ht="132">
      <c r="A1455" s="394" t="s">
        <v>10089</v>
      </c>
      <c r="B1455" s="63" t="s">
        <v>4241</v>
      </c>
      <c r="C1455" s="45" t="s">
        <v>10090</v>
      </c>
      <c r="D1455" s="45" t="s">
        <v>10091</v>
      </c>
      <c r="E1455" s="78" t="s">
        <v>5909</v>
      </c>
      <c r="F1455" s="45" t="s">
        <v>10092</v>
      </c>
      <c r="G1455" s="46" t="s">
        <v>10093</v>
      </c>
      <c r="H1455" s="62" t="s">
        <v>36</v>
      </c>
      <c r="I1455" s="136"/>
      <c r="J1455" s="155"/>
      <c r="K1455" s="155"/>
      <c r="L1455" s="155"/>
      <c r="M1455" s="155"/>
      <c r="N1455" s="155"/>
      <c r="O1455" s="155"/>
    </row>
    <row r="1456" spans="1:15" ht="132">
      <c r="A1456" s="394"/>
      <c r="B1456" s="63" t="s">
        <v>4241</v>
      </c>
      <c r="C1456" s="45" t="s">
        <v>10094</v>
      </c>
      <c r="D1456" s="45" t="s">
        <v>10095</v>
      </c>
      <c r="E1456" s="78" t="s">
        <v>5909</v>
      </c>
      <c r="F1456" s="45" t="s">
        <v>10096</v>
      </c>
      <c r="G1456" s="46" t="s">
        <v>4244</v>
      </c>
      <c r="H1456" s="62" t="s">
        <v>36</v>
      </c>
      <c r="I1456" s="136"/>
      <c r="J1456" s="155"/>
      <c r="K1456" s="155"/>
      <c r="L1456" s="155"/>
      <c r="M1456" s="155"/>
      <c r="N1456" s="155"/>
      <c r="O1456" s="155"/>
    </row>
    <row r="1457" spans="1:15" ht="132">
      <c r="A1457" s="394"/>
      <c r="B1457" s="63" t="s">
        <v>4241</v>
      </c>
      <c r="C1457" s="45" t="s">
        <v>10097</v>
      </c>
      <c r="D1457" s="45" t="s">
        <v>4246</v>
      </c>
      <c r="E1457" s="78" t="s">
        <v>5909</v>
      </c>
      <c r="F1457" s="45" t="s">
        <v>10098</v>
      </c>
      <c r="G1457" s="46" t="s">
        <v>10099</v>
      </c>
      <c r="H1457" s="62" t="s">
        <v>36</v>
      </c>
      <c r="I1457" s="136"/>
      <c r="J1457" s="155"/>
      <c r="K1457" s="155"/>
      <c r="L1457" s="155"/>
      <c r="M1457" s="155"/>
      <c r="N1457" s="155"/>
      <c r="O1457" s="155"/>
    </row>
    <row r="1458" spans="1:15" ht="148.5">
      <c r="A1458" s="395" t="s">
        <v>4250</v>
      </c>
      <c r="B1458" s="65" t="s">
        <v>4251</v>
      </c>
      <c r="C1458" s="45" t="s">
        <v>10100</v>
      </c>
      <c r="D1458" s="45" t="s">
        <v>10101</v>
      </c>
      <c r="E1458" s="78" t="s">
        <v>5909</v>
      </c>
      <c r="F1458" s="45" t="s">
        <v>10102</v>
      </c>
      <c r="G1458" s="46" t="s">
        <v>10103</v>
      </c>
      <c r="H1458" s="62" t="s">
        <v>24</v>
      </c>
      <c r="I1458" s="129" t="s">
        <v>31</v>
      </c>
      <c r="J1458" s="155"/>
      <c r="K1458" s="155"/>
      <c r="L1458" s="155"/>
      <c r="M1458" s="155"/>
      <c r="N1458" s="155"/>
      <c r="O1458" s="155"/>
    </row>
    <row r="1459" spans="1:15" ht="148.5">
      <c r="A1459" s="395"/>
      <c r="B1459" s="65" t="s">
        <v>4251</v>
      </c>
      <c r="C1459" s="45" t="s">
        <v>10104</v>
      </c>
      <c r="D1459" s="45" t="s">
        <v>10105</v>
      </c>
      <c r="E1459" s="78" t="s">
        <v>2876</v>
      </c>
      <c r="F1459" s="45" t="s">
        <v>10106</v>
      </c>
      <c r="G1459" s="46" t="s">
        <v>10107</v>
      </c>
      <c r="H1459" s="62" t="s">
        <v>36</v>
      </c>
      <c r="I1459" s="129" t="s">
        <v>31</v>
      </c>
      <c r="J1459" s="155"/>
      <c r="K1459" s="155"/>
      <c r="L1459" s="155"/>
      <c r="M1459" s="155"/>
      <c r="N1459" s="155"/>
      <c r="O1459" s="155"/>
    </row>
    <row r="1460" spans="1:15" ht="148.5">
      <c r="A1460" s="395"/>
      <c r="B1460" s="65" t="s">
        <v>4251</v>
      </c>
      <c r="C1460" s="45" t="s">
        <v>10108</v>
      </c>
      <c r="D1460" s="45" t="s">
        <v>10109</v>
      </c>
      <c r="E1460" s="78" t="s">
        <v>2881</v>
      </c>
      <c r="F1460" s="45" t="s">
        <v>10110</v>
      </c>
      <c r="G1460" s="46" t="s">
        <v>10103</v>
      </c>
      <c r="H1460" s="62" t="s">
        <v>24</v>
      </c>
      <c r="I1460" s="137" t="s">
        <v>31</v>
      </c>
      <c r="J1460" s="155"/>
      <c r="K1460" s="155"/>
      <c r="L1460" s="155"/>
      <c r="M1460" s="155"/>
      <c r="N1460" s="155"/>
      <c r="O1460" s="155"/>
    </row>
    <row r="1461" spans="1:15" ht="148.5">
      <c r="A1461" s="395"/>
      <c r="B1461" s="65" t="s">
        <v>4251</v>
      </c>
      <c r="C1461" s="45" t="s">
        <v>10111</v>
      </c>
      <c r="D1461" s="45" t="s">
        <v>10112</v>
      </c>
      <c r="E1461" s="78" t="s">
        <v>2886</v>
      </c>
      <c r="F1461" s="45" t="s">
        <v>10113</v>
      </c>
      <c r="G1461" s="46" t="s">
        <v>10107</v>
      </c>
      <c r="H1461" s="62" t="s">
        <v>62</v>
      </c>
      <c r="I1461" s="137" t="s">
        <v>31</v>
      </c>
      <c r="J1461" s="155"/>
      <c r="K1461" s="155"/>
      <c r="L1461" s="155"/>
      <c r="M1461" s="155"/>
      <c r="N1461" s="155"/>
      <c r="O1461" s="155"/>
    </row>
    <row r="1462" spans="1:15" ht="148.5">
      <c r="A1462" s="395"/>
      <c r="B1462" s="65" t="s">
        <v>4251</v>
      </c>
      <c r="C1462" s="45" t="s">
        <v>10114</v>
      </c>
      <c r="D1462" s="45" t="s">
        <v>10115</v>
      </c>
      <c r="E1462" s="78" t="s">
        <v>4142</v>
      </c>
      <c r="F1462" s="45" t="s">
        <v>10116</v>
      </c>
      <c r="G1462" s="46" t="s">
        <v>10103</v>
      </c>
      <c r="H1462" s="62" t="s">
        <v>36</v>
      </c>
      <c r="I1462" s="137" t="s">
        <v>31</v>
      </c>
      <c r="J1462" s="155"/>
      <c r="K1462" s="155"/>
      <c r="L1462" s="155"/>
      <c r="M1462" s="155"/>
      <c r="N1462" s="155"/>
      <c r="O1462" s="155"/>
    </row>
    <row r="1463" spans="1:15" ht="148.5">
      <c r="A1463" s="395"/>
      <c r="B1463" s="65" t="s">
        <v>4251</v>
      </c>
      <c r="C1463" s="45" t="s">
        <v>10117</v>
      </c>
      <c r="D1463" s="45" t="s">
        <v>10118</v>
      </c>
      <c r="E1463" s="78" t="s">
        <v>4147</v>
      </c>
      <c r="F1463" s="45" t="s">
        <v>10119</v>
      </c>
      <c r="G1463" s="46" t="s">
        <v>10103</v>
      </c>
      <c r="H1463" s="62" t="s">
        <v>36</v>
      </c>
      <c r="I1463" s="137" t="s">
        <v>31</v>
      </c>
      <c r="J1463" s="155"/>
      <c r="K1463" s="155"/>
      <c r="L1463" s="155"/>
      <c r="M1463" s="155"/>
      <c r="N1463" s="155"/>
      <c r="O1463" s="155"/>
    </row>
    <row r="1464" spans="1:15" ht="148.5">
      <c r="A1464" s="395"/>
      <c r="B1464" s="65" t="s">
        <v>4251</v>
      </c>
      <c r="C1464" s="45" t="s">
        <v>10120</v>
      </c>
      <c r="D1464" s="45" t="s">
        <v>10121</v>
      </c>
      <c r="E1464" s="78" t="s">
        <v>4152</v>
      </c>
      <c r="F1464" s="45" t="s">
        <v>10122</v>
      </c>
      <c r="G1464" s="46" t="s">
        <v>10103</v>
      </c>
      <c r="H1464" s="62" t="s">
        <v>36</v>
      </c>
      <c r="I1464" s="118"/>
      <c r="J1464" s="155"/>
      <c r="K1464" s="155"/>
      <c r="L1464" s="155"/>
      <c r="M1464" s="155"/>
      <c r="N1464" s="155"/>
      <c r="O1464" s="155"/>
    </row>
    <row r="1465" spans="1:15" ht="148.5">
      <c r="A1465" s="395"/>
      <c r="B1465" s="65" t="s">
        <v>4251</v>
      </c>
      <c r="C1465" s="45" t="s">
        <v>10123</v>
      </c>
      <c r="D1465" s="45" t="s">
        <v>10124</v>
      </c>
      <c r="E1465" s="78" t="s">
        <v>4157</v>
      </c>
      <c r="F1465" s="45" t="s">
        <v>10125</v>
      </c>
      <c r="G1465" s="46" t="s">
        <v>10103</v>
      </c>
      <c r="H1465" s="62" t="s">
        <v>36</v>
      </c>
      <c r="I1465" s="118"/>
      <c r="J1465" s="155"/>
      <c r="K1465" s="155"/>
      <c r="L1465" s="155"/>
      <c r="M1465" s="155"/>
      <c r="N1465" s="155"/>
      <c r="O1465" s="155"/>
    </row>
    <row r="1466" spans="1:15" ht="264">
      <c r="A1466" s="395"/>
      <c r="B1466" s="63" t="s">
        <v>4273</v>
      </c>
      <c r="C1466" s="45" t="s">
        <v>10126</v>
      </c>
      <c r="D1466" s="45" t="s">
        <v>10127</v>
      </c>
      <c r="E1466" s="78" t="s">
        <v>4162</v>
      </c>
      <c r="F1466" s="45" t="s">
        <v>10128</v>
      </c>
      <c r="G1466" s="46" t="s">
        <v>10129</v>
      </c>
      <c r="H1466" s="62" t="s">
        <v>24</v>
      </c>
      <c r="I1466" s="129" t="s">
        <v>31</v>
      </c>
      <c r="J1466" s="155"/>
      <c r="K1466" s="155"/>
      <c r="L1466" s="155"/>
      <c r="M1466" s="155"/>
      <c r="N1466" s="155"/>
      <c r="O1466" s="155"/>
    </row>
    <row r="1467" spans="1:15" ht="264">
      <c r="A1467" s="395"/>
      <c r="B1467" s="63" t="s">
        <v>4273</v>
      </c>
      <c r="C1467" s="45" t="s">
        <v>10130</v>
      </c>
      <c r="D1467" s="45" t="s">
        <v>10131</v>
      </c>
      <c r="E1467" s="78" t="s">
        <v>4280</v>
      </c>
      <c r="F1467" s="45" t="s">
        <v>10132</v>
      </c>
      <c r="G1467" s="46" t="s">
        <v>10133</v>
      </c>
      <c r="H1467" s="62" t="s">
        <v>36</v>
      </c>
      <c r="I1467" s="137" t="s">
        <v>31</v>
      </c>
      <c r="J1467" s="155"/>
      <c r="K1467" s="155"/>
      <c r="L1467" s="155"/>
      <c r="M1467" s="155"/>
      <c r="N1467" s="155"/>
      <c r="O1467" s="155"/>
    </row>
    <row r="1468" spans="1:15" ht="264">
      <c r="A1468" s="395"/>
      <c r="B1468" s="63" t="s">
        <v>4273</v>
      </c>
      <c r="C1468" s="45" t="s">
        <v>10134</v>
      </c>
      <c r="D1468" s="45" t="s">
        <v>10135</v>
      </c>
      <c r="E1468" s="78" t="s">
        <v>2928</v>
      </c>
      <c r="F1468" s="45" t="s">
        <v>10136</v>
      </c>
      <c r="G1468" s="46" t="s">
        <v>10129</v>
      </c>
      <c r="H1468" s="62" t="s">
        <v>24</v>
      </c>
      <c r="I1468" s="118"/>
      <c r="J1468" s="155"/>
      <c r="K1468" s="155"/>
      <c r="L1468" s="155"/>
      <c r="M1468" s="155"/>
      <c r="N1468" s="155"/>
      <c r="O1468" s="155"/>
    </row>
    <row r="1469" spans="1:15" ht="264">
      <c r="A1469" s="395"/>
      <c r="B1469" s="63" t="s">
        <v>4273</v>
      </c>
      <c r="C1469" s="45" t="s">
        <v>10137</v>
      </c>
      <c r="D1469" s="45" t="s">
        <v>10138</v>
      </c>
      <c r="E1469" s="78" t="s">
        <v>2935</v>
      </c>
      <c r="F1469" s="45" t="s">
        <v>10139</v>
      </c>
      <c r="G1469" s="46" t="s">
        <v>10133</v>
      </c>
      <c r="H1469" s="62" t="s">
        <v>36</v>
      </c>
      <c r="I1469" s="118"/>
      <c r="J1469" s="155"/>
      <c r="K1469" s="155"/>
      <c r="L1469" s="155"/>
      <c r="M1469" s="155"/>
      <c r="N1469" s="155"/>
      <c r="O1469" s="155"/>
    </row>
    <row r="1470" spans="1:15" ht="264">
      <c r="A1470" s="395"/>
      <c r="B1470" s="63" t="s">
        <v>4273</v>
      </c>
      <c r="C1470" s="45" t="s">
        <v>10140</v>
      </c>
      <c r="D1470" s="45" t="s">
        <v>10141</v>
      </c>
      <c r="E1470" s="78" t="s">
        <v>2940</v>
      </c>
      <c r="F1470" s="45" t="s">
        <v>10142</v>
      </c>
      <c r="G1470" s="46" t="s">
        <v>10129</v>
      </c>
      <c r="H1470" s="62" t="s">
        <v>36</v>
      </c>
      <c r="I1470" s="138" t="s">
        <v>31</v>
      </c>
      <c r="J1470" s="155"/>
      <c r="K1470" s="155"/>
      <c r="L1470" s="155"/>
      <c r="M1470" s="155"/>
      <c r="N1470" s="155"/>
      <c r="O1470" s="155"/>
    </row>
    <row r="1471" spans="1:15" ht="264">
      <c r="A1471" s="395"/>
      <c r="B1471" s="63" t="s">
        <v>4273</v>
      </c>
      <c r="C1471" s="45" t="s">
        <v>10143</v>
      </c>
      <c r="D1471" s="45" t="s">
        <v>10144</v>
      </c>
      <c r="E1471" s="78" t="s">
        <v>4184</v>
      </c>
      <c r="F1471" s="45" t="s">
        <v>10145</v>
      </c>
      <c r="G1471" s="46" t="s">
        <v>10146</v>
      </c>
      <c r="H1471" s="62" t="s">
        <v>36</v>
      </c>
      <c r="I1471" s="138" t="s">
        <v>31</v>
      </c>
      <c r="J1471" s="155"/>
      <c r="K1471" s="155"/>
      <c r="L1471" s="155"/>
      <c r="M1471" s="155"/>
      <c r="N1471" s="155"/>
      <c r="O1471" s="155"/>
    </row>
    <row r="1472" spans="1:15" ht="264">
      <c r="A1472" s="395"/>
      <c r="B1472" s="63" t="s">
        <v>4273</v>
      </c>
      <c r="C1472" s="45" t="s">
        <v>10147</v>
      </c>
      <c r="D1472" s="45" t="s">
        <v>10148</v>
      </c>
      <c r="E1472" s="78" t="s">
        <v>10149</v>
      </c>
      <c r="F1472" s="45" t="s">
        <v>10150</v>
      </c>
      <c r="G1472" s="46" t="s">
        <v>10151</v>
      </c>
      <c r="H1472" s="62" t="s">
        <v>62</v>
      </c>
      <c r="I1472" s="118"/>
      <c r="J1472" s="155"/>
      <c r="K1472" s="155"/>
      <c r="L1472" s="155"/>
      <c r="M1472" s="155"/>
      <c r="N1472" s="155"/>
      <c r="O1472" s="155"/>
    </row>
    <row r="1473" spans="1:15" ht="181.5">
      <c r="A1473" s="395"/>
      <c r="B1473" s="63" t="s">
        <v>4296</v>
      </c>
      <c r="C1473" s="45" t="s">
        <v>10152</v>
      </c>
      <c r="D1473" s="45" t="s">
        <v>10153</v>
      </c>
      <c r="E1473" s="78" t="s">
        <v>4299</v>
      </c>
      <c r="F1473" s="45" t="s">
        <v>10154</v>
      </c>
      <c r="G1473" s="46" t="s">
        <v>10155</v>
      </c>
      <c r="H1473" s="62" t="s">
        <v>62</v>
      </c>
      <c r="I1473" s="118"/>
      <c r="J1473" s="155"/>
      <c r="K1473" s="155"/>
      <c r="L1473" s="155"/>
      <c r="M1473" s="155"/>
      <c r="N1473" s="155"/>
      <c r="O1473" s="155"/>
    </row>
    <row r="1474" spans="1:15" ht="99">
      <c r="A1474" s="396"/>
      <c r="B1474" s="63" t="s">
        <v>4302</v>
      </c>
      <c r="C1474" s="45" t="s">
        <v>10156</v>
      </c>
      <c r="D1474" s="45" t="s">
        <v>4304</v>
      </c>
      <c r="E1474" s="45" t="s">
        <v>5909</v>
      </c>
      <c r="F1474" s="45" t="s">
        <v>10157</v>
      </c>
      <c r="G1474" s="46" t="s">
        <v>4306</v>
      </c>
      <c r="H1474" s="62" t="s">
        <v>62</v>
      </c>
      <c r="I1474" s="138" t="s">
        <v>31</v>
      </c>
      <c r="J1474" s="155"/>
      <c r="K1474" s="155"/>
      <c r="L1474" s="155"/>
      <c r="M1474" s="155"/>
      <c r="N1474" s="155"/>
      <c r="O1474" s="155"/>
    </row>
    <row r="1475" spans="1:15" ht="148.5">
      <c r="A1475" s="396" t="s">
        <v>4307</v>
      </c>
      <c r="B1475" s="140" t="s">
        <v>4308</v>
      </c>
      <c r="C1475" s="45" t="s">
        <v>10158</v>
      </c>
      <c r="D1475" s="45" t="s">
        <v>10159</v>
      </c>
      <c r="E1475" s="45" t="s">
        <v>5909</v>
      </c>
      <c r="F1475" s="45" t="s">
        <v>10160</v>
      </c>
      <c r="G1475" s="46" t="s">
        <v>10161</v>
      </c>
      <c r="H1475" s="62" t="s">
        <v>41</v>
      </c>
      <c r="I1475" s="138"/>
      <c r="J1475" s="155"/>
      <c r="K1475" s="155"/>
      <c r="L1475" s="155"/>
      <c r="M1475" s="155"/>
      <c r="N1475" s="155"/>
      <c r="O1475" s="155"/>
    </row>
    <row r="1476" spans="1:15" ht="148.5">
      <c r="A1476" s="397"/>
      <c r="B1476" s="140" t="s">
        <v>4314</v>
      </c>
      <c r="C1476" s="45" t="s">
        <v>10162</v>
      </c>
      <c r="D1476" s="45" t="s">
        <v>10163</v>
      </c>
      <c r="E1476" s="45" t="s">
        <v>5909</v>
      </c>
      <c r="F1476" s="45" t="s">
        <v>10160</v>
      </c>
      <c r="G1476" s="46" t="s">
        <v>10161</v>
      </c>
      <c r="H1476" s="62" t="s">
        <v>41</v>
      </c>
      <c r="I1476" s="138"/>
      <c r="J1476" s="155"/>
      <c r="K1476" s="155"/>
      <c r="L1476" s="155"/>
      <c r="M1476" s="155"/>
      <c r="N1476" s="155"/>
      <c r="O1476" s="155"/>
    </row>
    <row r="1477" spans="1:15" ht="165">
      <c r="A1477" s="397"/>
      <c r="B1477" s="140" t="s">
        <v>4314</v>
      </c>
      <c r="C1477" s="45" t="s">
        <v>10164</v>
      </c>
      <c r="D1477" s="45" t="s">
        <v>10165</v>
      </c>
      <c r="E1477" s="45" t="s">
        <v>5909</v>
      </c>
      <c r="F1477" s="45" t="s">
        <v>10160</v>
      </c>
      <c r="G1477" s="46" t="s">
        <v>10161</v>
      </c>
      <c r="H1477" s="62" t="s">
        <v>41</v>
      </c>
      <c r="I1477" s="138"/>
      <c r="J1477" s="155"/>
      <c r="K1477" s="155"/>
      <c r="L1477" s="155"/>
      <c r="M1477" s="155"/>
      <c r="N1477" s="155"/>
      <c r="O1477" s="155"/>
    </row>
    <row r="1478" spans="1:15" ht="132">
      <c r="A1478" s="397"/>
      <c r="B1478" s="140" t="s">
        <v>4308</v>
      </c>
      <c r="C1478" s="45" t="s">
        <v>10166</v>
      </c>
      <c r="D1478" s="45" t="s">
        <v>10167</v>
      </c>
      <c r="E1478" s="45" t="s">
        <v>5909</v>
      </c>
      <c r="F1478" s="45" t="s">
        <v>10160</v>
      </c>
      <c r="G1478" s="46" t="s">
        <v>10161</v>
      </c>
      <c r="H1478" s="62" t="s">
        <v>41</v>
      </c>
      <c r="I1478" s="138"/>
      <c r="J1478" s="155"/>
      <c r="K1478" s="155"/>
      <c r="L1478" s="155"/>
      <c r="M1478" s="155"/>
      <c r="N1478" s="155"/>
      <c r="O1478" s="155"/>
    </row>
    <row r="1479" spans="1:15" ht="115.5">
      <c r="A1479" s="397"/>
      <c r="B1479" s="140" t="s">
        <v>4314</v>
      </c>
      <c r="C1479" s="45" t="s">
        <v>10168</v>
      </c>
      <c r="D1479" s="45" t="s">
        <v>10169</v>
      </c>
      <c r="E1479" s="45" t="s">
        <v>5909</v>
      </c>
      <c r="F1479" s="45" t="s">
        <v>10160</v>
      </c>
      <c r="G1479" s="46" t="s">
        <v>10161</v>
      </c>
      <c r="H1479" s="62" t="s">
        <v>41</v>
      </c>
      <c r="I1479" s="138"/>
      <c r="J1479" s="155"/>
      <c r="K1479" s="155"/>
      <c r="L1479" s="155"/>
      <c r="M1479" s="155"/>
      <c r="N1479" s="155"/>
      <c r="O1479" s="155"/>
    </row>
  </sheetData>
  <autoFilter ref="A1:O1" xr:uid="{A24BE910-BDB7-46E6-AA54-085480FC1C91}"/>
  <mergeCells count="28">
    <mergeCell ref="A192:A213"/>
    <mergeCell ref="A2:A6"/>
    <mergeCell ref="A7:A46"/>
    <mergeCell ref="A47:A115"/>
    <mergeCell ref="A116:A173"/>
    <mergeCell ref="A174:A191"/>
    <mergeCell ref="A1142:A1172"/>
    <mergeCell ref="A214:A253"/>
    <mergeCell ref="A256:A268"/>
    <mergeCell ref="A371:A452"/>
    <mergeCell ref="A453:A484"/>
    <mergeCell ref="A485:A546"/>
    <mergeCell ref="A547:A660"/>
    <mergeCell ref="A663:A761"/>
    <mergeCell ref="A762:A867"/>
    <mergeCell ref="A954:A1027"/>
    <mergeCell ref="A1028:A1117"/>
    <mergeCell ref="A1118:A1141"/>
    <mergeCell ref="A1449:A1454"/>
    <mergeCell ref="A1455:A1457"/>
    <mergeCell ref="A1458:A1474"/>
    <mergeCell ref="A1475:A1479"/>
    <mergeCell ref="A1258:A1274"/>
    <mergeCell ref="A1276:A1303"/>
    <mergeCell ref="A1304:A1347"/>
    <mergeCell ref="A1355:A1362"/>
    <mergeCell ref="A1363:A1413"/>
    <mergeCell ref="A1416:A1448"/>
  </mergeCells>
  <phoneticPr fontId="10" type="noConversion"/>
  <conditionalFormatting sqref="L1">
    <cfRule type="cellIs" dxfId="17" priority="1" operator="equal">
      <formula>"Passed"</formula>
    </cfRule>
    <cfRule type="cellIs" dxfId="16" priority="2" operator="equal">
      <formula>"Unavailable"</formula>
    </cfRule>
    <cfRule type="cellIs" dxfId="15" priority="3" operator="equal">
      <formula>"Failed"</formula>
    </cfRule>
    <cfRule type="cellIs" dxfId="14" priority="4" operator="equal">
      <formula>"Blocked"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E747A-429B-464D-9E5C-00B098CC7431}">
  <dimension ref="A1:R50"/>
  <sheetViews>
    <sheetView topLeftCell="A16" workbookViewId="0">
      <selection activeCell="R14" sqref="J14:R14"/>
    </sheetView>
  </sheetViews>
  <sheetFormatPr defaultColWidth="9" defaultRowHeight="14.25"/>
  <cols>
    <col min="1" max="1" width="19" customWidth="1"/>
    <col min="2" max="2" width="20.75" customWidth="1"/>
    <col min="3" max="3" width="28.5" customWidth="1"/>
    <col min="4" max="4" width="10.875" customWidth="1"/>
    <col min="5" max="8" width="26.125" bestFit="1" customWidth="1"/>
    <col min="9" max="9" width="11.25" customWidth="1"/>
    <col min="10" max="10" width="13" customWidth="1"/>
    <col min="11" max="11" width="13" bestFit="1" customWidth="1"/>
    <col min="12" max="12" width="10.75" bestFit="1" customWidth="1"/>
    <col min="13" max="13" width="13" bestFit="1" customWidth="1"/>
    <col min="14" max="14" width="10.75" bestFit="1" customWidth="1"/>
    <col min="15" max="15" width="13" bestFit="1" customWidth="1"/>
    <col min="17" max="17" width="15.25" customWidth="1"/>
    <col min="18" max="18" width="15" bestFit="1" customWidth="1"/>
  </cols>
  <sheetData>
    <row r="1" spans="1:18">
      <c r="A1" s="29" t="s">
        <v>10170</v>
      </c>
      <c r="B1" s="29" t="s">
        <v>10171</v>
      </c>
      <c r="C1" s="30" t="s">
        <v>10172</v>
      </c>
      <c r="D1" s="30" t="s">
        <v>30</v>
      </c>
      <c r="E1" s="30" t="s">
        <v>41</v>
      </c>
      <c r="F1" s="30" t="s">
        <v>24</v>
      </c>
      <c r="G1" s="30" t="s">
        <v>36</v>
      </c>
      <c r="H1" s="30" t="s">
        <v>62</v>
      </c>
      <c r="I1" s="30" t="s">
        <v>10173</v>
      </c>
      <c r="J1" s="30" t="s">
        <v>10174</v>
      </c>
      <c r="K1" s="31" t="s">
        <v>10175</v>
      </c>
      <c r="L1" s="31" t="s">
        <v>10176</v>
      </c>
      <c r="M1" s="31" t="s">
        <v>10177</v>
      </c>
      <c r="N1" s="31" t="s">
        <v>10178</v>
      </c>
      <c r="O1" s="31" t="s">
        <v>10179</v>
      </c>
      <c r="P1" s="31" t="s">
        <v>10180</v>
      </c>
      <c r="Q1" s="156" t="s">
        <v>10181</v>
      </c>
      <c r="R1" s="31" t="s">
        <v>10182</v>
      </c>
    </row>
    <row r="2" spans="1:18" ht="16.5">
      <c r="A2" s="15" t="s">
        <v>10183</v>
      </c>
      <c r="B2" s="15" t="s">
        <v>21</v>
      </c>
      <c r="C2" s="32">
        <f>COUNTIFS(测试用例!C:C,"*1320_001*")</f>
        <v>5</v>
      </c>
      <c r="D2" s="33">
        <f>COUNTIFS(测试用例!C:C,"*1320_001*",测试用例!H:H,"LV0")</f>
        <v>1</v>
      </c>
      <c r="E2" s="33">
        <f>COUNTIFS(测试用例!C:C,"*1320_001*",测试用例!H:H,"LV1")</f>
        <v>2</v>
      </c>
      <c r="F2" s="33">
        <f>COUNTIFS(测试用例!C:C,"*1320_001*",测试用例!H:H,"LV2")</f>
        <v>1</v>
      </c>
      <c r="G2" s="33">
        <f>COUNTIFS(测试用例!C:C,"*1320_001*",测试用例!H:H,"LV3")</f>
        <v>1</v>
      </c>
      <c r="H2" s="33">
        <f>COUNTIFS(测试用例!C:C,"*1320_001*",测试用例!H:H,"LV4")</f>
        <v>0</v>
      </c>
      <c r="I2" s="33">
        <f>COUNTIFS(测试用例!C:C,"*1320_001*",测试用例!J:J,"是")</f>
        <v>0</v>
      </c>
      <c r="J2" s="33">
        <f>COUNTIFS(测试用例!C:C,"*1320_001*",测试用例!I:I,"是")</f>
        <v>3</v>
      </c>
      <c r="K2" s="34">
        <f>D2/C2</f>
        <v>0.2</v>
      </c>
      <c r="L2" s="34">
        <f>E2/C2</f>
        <v>0.4</v>
      </c>
      <c r="M2" s="34">
        <f>F2/C2</f>
        <v>0.2</v>
      </c>
      <c r="N2" s="34">
        <f>G2/C2</f>
        <v>0.2</v>
      </c>
      <c r="O2" s="34">
        <f>H2/C2</f>
        <v>0</v>
      </c>
      <c r="P2" s="37">
        <f t="shared" ref="P2:P31" si="0">J2/C2</f>
        <v>0.6</v>
      </c>
      <c r="Q2" s="157" t="s">
        <v>10184</v>
      </c>
      <c r="R2" s="217"/>
    </row>
    <row r="3" spans="1:18" ht="16.5">
      <c r="A3" s="15" t="s">
        <v>10185</v>
      </c>
      <c r="B3" s="15" t="s">
        <v>42</v>
      </c>
      <c r="C3" s="32">
        <f>COUNTIFS(测试用例!C:C,"*1320_002*")</f>
        <v>24</v>
      </c>
      <c r="D3" s="33">
        <f>COUNTIFS(测试用例!C:C,"*1320_002*",测试用例!H:H,"LV0")</f>
        <v>2</v>
      </c>
      <c r="E3" s="33">
        <f>COUNTIFS(测试用例!C:C,"*1320_002*",测试用例!H:H,"LV1")</f>
        <v>3</v>
      </c>
      <c r="F3" s="33">
        <f>COUNTIFS(测试用例!C:C,"*1320_002*",测试用例!H:H,"LV2")</f>
        <v>11</v>
      </c>
      <c r="G3" s="33">
        <f>COUNTIFS(测试用例!C:C,"*1320_002*",测试用例!H:H,"LV3")</f>
        <v>6</v>
      </c>
      <c r="H3" s="33">
        <f>COUNTIFS(测试用例!C:C,"*1320_002*",测试用例!H:H,"LV4")</f>
        <v>2</v>
      </c>
      <c r="I3" s="33">
        <f>COUNTIFS(测试用例!C:C,"*1320_002*",测试用例!J:J,"是")</f>
        <v>0</v>
      </c>
      <c r="J3" s="33">
        <f>COUNTIFS(测试用例!C:C,"*1320_002*",测试用例!I:I,"是")</f>
        <v>13</v>
      </c>
      <c r="K3" s="34">
        <f t="shared" ref="K3:K45" si="1">D3/C3</f>
        <v>8.3333333333333329E-2</v>
      </c>
      <c r="L3" s="34">
        <f t="shared" ref="L3:L31" si="2">E3/C3</f>
        <v>0.125</v>
      </c>
      <c r="M3" s="34">
        <f t="shared" ref="M3:M31" si="3">F3/C3</f>
        <v>0.45833333333333331</v>
      </c>
      <c r="N3" s="34">
        <f t="shared" ref="N3:N31" si="4">G3/C3</f>
        <v>0.25</v>
      </c>
      <c r="O3" s="34">
        <f t="shared" ref="O3:O31" si="5">H3/C3</f>
        <v>8.3333333333333329E-2</v>
      </c>
      <c r="P3" s="37">
        <f t="shared" si="0"/>
        <v>0.54166666666666663</v>
      </c>
      <c r="Q3" s="157" t="s">
        <v>10184</v>
      </c>
      <c r="R3" s="217"/>
    </row>
    <row r="4" spans="1:18" ht="16.5">
      <c r="A4" s="15" t="s">
        <v>10186</v>
      </c>
      <c r="B4" s="15" t="s">
        <v>125</v>
      </c>
      <c r="C4" s="32">
        <f>COUNTIFS(测试用例!C:C,"*1320_003*")</f>
        <v>33</v>
      </c>
      <c r="D4" s="33">
        <f>COUNTIFS(测试用例!C:C,"*1320_003*",测试用例!H:H,"LV0")</f>
        <v>4</v>
      </c>
      <c r="E4" s="33">
        <f>COUNTIFS(测试用例!C:C,"*1320_003*",测试用例!H:H,"LV1")</f>
        <v>13</v>
      </c>
      <c r="F4" s="33">
        <f>COUNTIFS(测试用例!C:C,"*1320_003*",测试用例!H:H,"LV2")</f>
        <v>14</v>
      </c>
      <c r="G4" s="33">
        <f>COUNTIFS(测试用例!C:C,"*1320_003*",测试用例!H:H,"LV3")</f>
        <v>1</v>
      </c>
      <c r="H4" s="33">
        <f>COUNTIFS(测试用例!C:C,"*1320_003*",测试用例!H:H,"LV4")</f>
        <v>1</v>
      </c>
      <c r="I4" s="33">
        <f>COUNTIFS(测试用例!C:C,"*1320_003*",测试用例!J:J,"是")</f>
        <v>0</v>
      </c>
      <c r="J4" s="33">
        <f>COUNTIFS(测试用例!C:C,"*1320_003*",测试用例!I:I,"是")</f>
        <v>11</v>
      </c>
      <c r="K4" s="34">
        <f t="shared" si="1"/>
        <v>0.12121212121212122</v>
      </c>
      <c r="L4" s="34">
        <f t="shared" si="2"/>
        <v>0.39393939393939392</v>
      </c>
      <c r="M4" s="34">
        <f t="shared" si="3"/>
        <v>0.42424242424242425</v>
      </c>
      <c r="N4" s="34">
        <f t="shared" si="4"/>
        <v>3.0303030303030304E-2</v>
      </c>
      <c r="O4" s="34">
        <f t="shared" si="5"/>
        <v>3.0303030303030304E-2</v>
      </c>
      <c r="P4" s="37">
        <f t="shared" si="0"/>
        <v>0.33333333333333331</v>
      </c>
      <c r="Q4" s="157" t="s">
        <v>10184</v>
      </c>
      <c r="R4" s="217"/>
    </row>
    <row r="5" spans="1:18" ht="16.5">
      <c r="A5" s="15" t="s">
        <v>10187</v>
      </c>
      <c r="B5" s="15" t="s">
        <v>227</v>
      </c>
      <c r="C5" s="32">
        <f>COUNTIFS(测试用例!C:C,"*1320_004*")</f>
        <v>25</v>
      </c>
      <c r="D5" s="33">
        <f>COUNTIFS(测试用例!C:C,"*1320_004*",测试用例!H:H,"LV0")</f>
        <v>3</v>
      </c>
      <c r="E5" s="33">
        <f>COUNTIFS(测试用例!C:C,"*1320_004*",测试用例!H:H,"LV1")</f>
        <v>5</v>
      </c>
      <c r="F5" s="33">
        <f>COUNTIFS(测试用例!C:C,"*1320_004*",测试用例!H:H,"LV2")</f>
        <v>12</v>
      </c>
      <c r="G5" s="33">
        <f>COUNTIFS(测试用例!C:C,"*1320_004*",测试用例!H:H,"LV3")</f>
        <v>4</v>
      </c>
      <c r="H5" s="33">
        <f>COUNTIFS(测试用例!C:C,"*1320_004*",测试用例!H:H,"LV4")</f>
        <v>1</v>
      </c>
      <c r="I5" s="33">
        <f>COUNTIFS(测试用例!C:C,"*1320_004*",测试用例!J:J,"是")</f>
        <v>0</v>
      </c>
      <c r="J5" s="33">
        <f>COUNTIFS(测试用例!C:C,"*1320_004*",测试用例!I:I,"是")</f>
        <v>15</v>
      </c>
      <c r="K5" s="34">
        <f t="shared" si="1"/>
        <v>0.12</v>
      </c>
      <c r="L5" s="34">
        <f t="shared" si="2"/>
        <v>0.2</v>
      </c>
      <c r="M5" s="34">
        <f t="shared" si="3"/>
        <v>0.48</v>
      </c>
      <c r="N5" s="34">
        <f t="shared" si="4"/>
        <v>0.16</v>
      </c>
      <c r="O5" s="34">
        <f t="shared" si="5"/>
        <v>0.04</v>
      </c>
      <c r="P5" s="37">
        <f t="shared" si="0"/>
        <v>0.6</v>
      </c>
      <c r="Q5" s="157" t="s">
        <v>10184</v>
      </c>
      <c r="R5" s="217"/>
    </row>
    <row r="6" spans="1:18" ht="16.5">
      <c r="A6" s="15" t="s">
        <v>10188</v>
      </c>
      <c r="B6" s="219" t="s">
        <v>10189</v>
      </c>
      <c r="C6" s="32">
        <f>COUNTIFS(测试用例!C:C,"*1320_005*")</f>
        <v>21</v>
      </c>
      <c r="D6" s="33">
        <f>COUNTIFS(测试用例!C:C,"*1320_005*",测试用例!H:H,"LV0")</f>
        <v>2</v>
      </c>
      <c r="E6" s="33">
        <f>COUNTIFS(测试用例!C:C,"*1320_005*",测试用例!H:H,"LV1")</f>
        <v>6</v>
      </c>
      <c r="F6" s="33">
        <f>COUNTIFS(测试用例!C:C,"*1320_005*",测试用例!H:H,"LV2")</f>
        <v>9</v>
      </c>
      <c r="G6" s="33">
        <f>COUNTIFS(测试用例!C:C,"*1320_005*",测试用例!H:H,"LV3")</f>
        <v>4</v>
      </c>
      <c r="H6" s="33">
        <f>COUNTIFS(测试用例!C:C,"*1320_005*",测试用例!H:H,"LV4")</f>
        <v>0</v>
      </c>
      <c r="I6" s="33">
        <f>COUNTIFS(测试用例!C:C,"*1320_005*",测试用例!J:J,"是")</f>
        <v>0</v>
      </c>
      <c r="J6" s="33">
        <f>COUNTIFS(测试用例!C:C,"*1320_005*",测试用例!I:I,"是")</f>
        <v>11</v>
      </c>
      <c r="K6" s="34">
        <f t="shared" si="1"/>
        <v>9.5238095238095233E-2</v>
      </c>
      <c r="L6" s="34">
        <f t="shared" si="2"/>
        <v>0.2857142857142857</v>
      </c>
      <c r="M6" s="34">
        <f t="shared" si="3"/>
        <v>0.42857142857142855</v>
      </c>
      <c r="N6" s="34">
        <f t="shared" si="4"/>
        <v>0.19047619047619047</v>
      </c>
      <c r="O6" s="34">
        <f t="shared" si="5"/>
        <v>0</v>
      </c>
      <c r="P6" s="37">
        <f t="shared" si="0"/>
        <v>0.52380952380952384</v>
      </c>
      <c r="Q6" s="157" t="s">
        <v>10184</v>
      </c>
      <c r="R6" s="217"/>
    </row>
    <row r="7" spans="1:18" ht="16.5">
      <c r="A7" s="15" t="s">
        <v>10190</v>
      </c>
      <c r="B7" s="219" t="s">
        <v>355</v>
      </c>
      <c r="C7" s="32">
        <f>COUNTIFS(测试用例!C:C,"*1320_006*")</f>
        <v>14</v>
      </c>
      <c r="D7" s="33">
        <f>COUNTIFS(测试用例!C:C,"*1320_006*",测试用例!H:H,"LV0")</f>
        <v>3</v>
      </c>
      <c r="E7" s="33">
        <f>COUNTIFS(测试用例!C:C,"*1320_006*",测试用例!H:H,"LV1")</f>
        <v>2</v>
      </c>
      <c r="F7" s="33">
        <f>COUNTIFS(测试用例!C:C,"*1320_006*",测试用例!H:H,"LV2")</f>
        <v>9</v>
      </c>
      <c r="G7" s="33">
        <f>COUNTIFS(测试用例!C:C,"*1320_006*",测试用例!H:H,"LV3")</f>
        <v>0</v>
      </c>
      <c r="H7" s="33">
        <f>COUNTIFS(测试用例!C:C,"*1320_006*",测试用例!H:H,"LV4")</f>
        <v>0</v>
      </c>
      <c r="I7" s="33">
        <f>COUNTIFS(测试用例!C:C,"*1320_006*",测试用例!J:J,"是")</f>
        <v>0</v>
      </c>
      <c r="J7" s="33">
        <f>COUNTIFS(测试用例!C:C,"*1320_006*",测试用例!I:I,"是")</f>
        <v>4</v>
      </c>
      <c r="K7" s="34">
        <f t="shared" si="1"/>
        <v>0.21428571428571427</v>
      </c>
      <c r="L7" s="34">
        <f t="shared" si="2"/>
        <v>0.14285714285714285</v>
      </c>
      <c r="M7" s="34">
        <f t="shared" si="3"/>
        <v>0.6428571428571429</v>
      </c>
      <c r="N7" s="34">
        <f t="shared" si="4"/>
        <v>0</v>
      </c>
      <c r="O7" s="34">
        <f t="shared" si="5"/>
        <v>0</v>
      </c>
      <c r="P7" s="37">
        <f t="shared" si="0"/>
        <v>0.2857142857142857</v>
      </c>
      <c r="Q7" s="157" t="s">
        <v>10184</v>
      </c>
      <c r="R7" s="217"/>
    </row>
    <row r="8" spans="1:18" ht="16.5">
      <c r="A8" s="15" t="s">
        <v>10191</v>
      </c>
      <c r="B8" s="13" t="s">
        <v>10192</v>
      </c>
      <c r="C8" s="32">
        <f>COUNTIFS(测试用例!C:C,"*1320_007*")</f>
        <v>34</v>
      </c>
      <c r="D8" s="33">
        <f>COUNTIFS(测试用例!C:C,"*1320_007*",测试用例!H:H,"LV0")</f>
        <v>3</v>
      </c>
      <c r="E8" s="33">
        <f>COUNTIFS(测试用例!C:C,"*1320_007*",测试用例!H:H,"LV1")</f>
        <v>6</v>
      </c>
      <c r="F8" s="33">
        <f>COUNTIFS(测试用例!C:C,"*1320_007*",测试用例!H:H,"LV2")</f>
        <v>16</v>
      </c>
      <c r="G8" s="33">
        <f>COUNTIFS(测试用例!C:C,"*1320_007*",测试用例!H:H,"LV3")</f>
        <v>7</v>
      </c>
      <c r="H8" s="33">
        <f>COUNTIFS(测试用例!C:C,"*1320_007*",测试用例!H:H,"LV4")</f>
        <v>2</v>
      </c>
      <c r="I8" s="33">
        <f>COUNTIFS(测试用例!C:C,"*1320_007*",测试用例!J:J,"是")</f>
        <v>0</v>
      </c>
      <c r="J8" s="33">
        <f>COUNTIFS(测试用例!C:C,"*1320_007*",测试用例!I:I,"是")</f>
        <v>0</v>
      </c>
      <c r="K8" s="34">
        <f t="shared" si="1"/>
        <v>8.8235294117647065E-2</v>
      </c>
      <c r="L8" s="34">
        <f t="shared" si="2"/>
        <v>0.17647058823529413</v>
      </c>
      <c r="M8" s="34">
        <f t="shared" si="3"/>
        <v>0.47058823529411764</v>
      </c>
      <c r="N8" s="34">
        <f t="shared" si="4"/>
        <v>0.20588235294117646</v>
      </c>
      <c r="O8" s="34">
        <f t="shared" si="5"/>
        <v>5.8823529411764705E-2</v>
      </c>
      <c r="P8" s="37">
        <f t="shared" si="0"/>
        <v>0</v>
      </c>
      <c r="Q8" s="157" t="s">
        <v>10184</v>
      </c>
      <c r="R8" s="217"/>
    </row>
    <row r="9" spans="1:18" ht="16.5">
      <c r="A9" s="15" t="s">
        <v>10193</v>
      </c>
      <c r="B9" s="15" t="s">
        <v>470</v>
      </c>
      <c r="C9" s="32">
        <f>COUNTIFS(测试用例!C:C,"*1320_008*")</f>
        <v>12</v>
      </c>
      <c r="D9" s="33">
        <f>COUNTIFS(测试用例!C:C,"*1320_008*",测试用例!H:H,"LV0")</f>
        <v>1</v>
      </c>
      <c r="E9" s="33">
        <f>COUNTIFS(测试用例!C:C,"*1320_008*",测试用例!H:H,"LV1")</f>
        <v>2</v>
      </c>
      <c r="F9" s="33">
        <f>COUNTIFS(测试用例!C:C,"*1320_008*",测试用例!H:H,"LV2")</f>
        <v>4</v>
      </c>
      <c r="G9" s="33">
        <f>COUNTIFS(测试用例!C:C,"*1320_008*",测试用例!H:H,"LV3")</f>
        <v>1</v>
      </c>
      <c r="H9" s="33">
        <f>COUNTIFS(测试用例!C:C,"*1320_008*",测试用例!H:H,"LV4")</f>
        <v>2</v>
      </c>
      <c r="I9" s="33">
        <f>COUNTIFS(测试用例!C:C,"*1320_008*",测试用例!J:J,"是")</f>
        <v>0</v>
      </c>
      <c r="J9" s="33">
        <f>COUNTIFS(测试用例!C:C,"*1320_008*",测试用例!I:I,"是")</f>
        <v>0</v>
      </c>
      <c r="K9" s="34">
        <f t="shared" si="1"/>
        <v>8.3333333333333329E-2</v>
      </c>
      <c r="L9" s="34">
        <f t="shared" si="2"/>
        <v>0.16666666666666666</v>
      </c>
      <c r="M9" s="34">
        <f t="shared" si="3"/>
        <v>0.33333333333333331</v>
      </c>
      <c r="N9" s="34">
        <f t="shared" si="4"/>
        <v>8.3333333333333329E-2</v>
      </c>
      <c r="O9" s="34">
        <f t="shared" si="5"/>
        <v>0.16666666666666666</v>
      </c>
      <c r="P9" s="37">
        <f t="shared" si="0"/>
        <v>0</v>
      </c>
      <c r="Q9" s="157" t="s">
        <v>10184</v>
      </c>
      <c r="R9" s="217"/>
    </row>
    <row r="10" spans="1:18" ht="16.5">
      <c r="A10" s="15" t="s">
        <v>10194</v>
      </c>
      <c r="B10" s="220" t="s">
        <v>10195</v>
      </c>
      <c r="C10" s="32">
        <f>COUNTIFS(测试用例!C:C,"*1320_009*")</f>
        <v>54</v>
      </c>
      <c r="D10" s="33">
        <f>COUNTIFS(测试用例!C:C,"*1320_009*",测试用例!H:H,"LV0")</f>
        <v>6</v>
      </c>
      <c r="E10" s="33">
        <f>COUNTIFS(测试用例!C:C,"*1320_009*",测试用例!H:H,"LV1")</f>
        <v>16</v>
      </c>
      <c r="F10" s="33">
        <f>COUNTIFS(测试用例!C:C,"*1320_009*",测试用例!H:H,"LV2")</f>
        <v>21</v>
      </c>
      <c r="G10" s="33">
        <f>COUNTIFS(测试用例!C:C,"*1320_009*",测试用例!H:H,"LV3")</f>
        <v>8</v>
      </c>
      <c r="H10" s="33">
        <f>COUNTIFS(测试用例!C:C,"*1320_009*",测试用例!H:H,"LV4")</f>
        <v>3</v>
      </c>
      <c r="I10" s="33">
        <f>COUNTIFS(测试用例!C:C,"*1320_009*",测试用例!J:J,"是")</f>
        <v>0</v>
      </c>
      <c r="J10" s="33">
        <f>COUNTIFS(测试用例!C:C,"*1320_009*",测试用例!I:I,"是")</f>
        <v>41</v>
      </c>
      <c r="K10" s="34">
        <f t="shared" si="1"/>
        <v>0.1111111111111111</v>
      </c>
      <c r="L10" s="34">
        <f t="shared" si="2"/>
        <v>0.29629629629629628</v>
      </c>
      <c r="M10" s="34">
        <f t="shared" si="3"/>
        <v>0.3888888888888889</v>
      </c>
      <c r="N10" s="34">
        <f t="shared" si="4"/>
        <v>0.14814814814814814</v>
      </c>
      <c r="O10" s="34">
        <f t="shared" si="5"/>
        <v>5.5555555555555552E-2</v>
      </c>
      <c r="P10" s="37">
        <f t="shared" si="0"/>
        <v>0.7592592592592593</v>
      </c>
      <c r="Q10" s="157" t="s">
        <v>10184</v>
      </c>
      <c r="R10" s="218" t="s">
        <v>10196</v>
      </c>
    </row>
    <row r="11" spans="1:18" ht="16.5">
      <c r="A11" s="15" t="s">
        <v>10197</v>
      </c>
      <c r="B11" s="15" t="s">
        <v>10198</v>
      </c>
      <c r="C11" s="32">
        <f>COUNTIFS(测试用例!C:C,"*1320_010*")</f>
        <v>114</v>
      </c>
      <c r="D11" s="33">
        <f>COUNTIFS(测试用例!C:C,"*1320_010*",测试用例!H:H,"LV0")</f>
        <v>10</v>
      </c>
      <c r="E11" s="33">
        <f>COUNTIFS(测试用例!C:C,"*1320_010*",测试用例!H:H,"LV1")</f>
        <v>19</v>
      </c>
      <c r="F11" s="33">
        <f>COUNTIFS(测试用例!C:C,"*1320_010*",测试用例!H:H,"LV2")</f>
        <v>48</v>
      </c>
      <c r="G11" s="33">
        <f>COUNTIFS(测试用例!C:C,"*1320_010*",测试用例!H:H,"LV3")</f>
        <v>22</v>
      </c>
      <c r="H11" s="33">
        <f>COUNTIFS(测试用例!C:C,"*1320_010*",测试用例!H:H,"LV4")</f>
        <v>10</v>
      </c>
      <c r="I11" s="33">
        <f>COUNTIFS(测试用例!C:C,"*1320_010*",测试用例!J:J,"是")</f>
        <v>0</v>
      </c>
      <c r="J11" s="33">
        <f>COUNTIFS(测试用例!C:C,"*1320_010*",测试用例!I:I,"是")</f>
        <v>57</v>
      </c>
      <c r="K11" s="34">
        <f t="shared" si="1"/>
        <v>8.771929824561403E-2</v>
      </c>
      <c r="L11" s="34">
        <f t="shared" si="2"/>
        <v>0.16666666666666666</v>
      </c>
      <c r="M11" s="34">
        <f t="shared" si="3"/>
        <v>0.42105263157894735</v>
      </c>
      <c r="N11" s="34">
        <f t="shared" si="4"/>
        <v>0.19298245614035087</v>
      </c>
      <c r="O11" s="34">
        <f t="shared" si="5"/>
        <v>8.771929824561403E-2</v>
      </c>
      <c r="P11" s="37">
        <f t="shared" si="0"/>
        <v>0.5</v>
      </c>
      <c r="Q11" s="157" t="s">
        <v>10184</v>
      </c>
      <c r="R11" s="217"/>
    </row>
    <row r="12" spans="1:18" ht="16.5">
      <c r="A12" s="15" t="s">
        <v>10199</v>
      </c>
      <c r="B12" s="220" t="s">
        <v>10200</v>
      </c>
      <c r="C12" s="32">
        <f>COUNTIFS(测试用例!C:C,"*1320_011*")</f>
        <v>29</v>
      </c>
      <c r="D12" s="33">
        <f>COUNTIFS(测试用例!C:C,"*1320_011*",测试用例!H:H,"LV0")</f>
        <v>3</v>
      </c>
      <c r="E12" s="33">
        <f>COUNTIFS(测试用例!C:C,"*1320_011*",测试用例!H:H,"LV1")</f>
        <v>2</v>
      </c>
      <c r="F12" s="33">
        <f>COUNTIFS(测试用例!C:C,"*1320_011*",测试用例!H:H,"LV2")</f>
        <v>14</v>
      </c>
      <c r="G12" s="33">
        <f>COUNTIFS(测试用例!C:C,"*1320_011*",测试用例!H:H,"LV3")</f>
        <v>5</v>
      </c>
      <c r="H12" s="33">
        <f>COUNTIFS(测试用例!C:C,"*1320_011*",测试用例!H:H,"LV4")</f>
        <v>5</v>
      </c>
      <c r="I12" s="33">
        <f>COUNTIFS(测试用例!C:C,"*1320_011*",测试用例!J:J,"是")</f>
        <v>0</v>
      </c>
      <c r="J12" s="33">
        <f>COUNTIFS(测试用例!C:C,"*1320_011*",测试用例!I:I,"是")</f>
        <v>0</v>
      </c>
      <c r="K12" s="34">
        <f t="shared" si="1"/>
        <v>0.10344827586206896</v>
      </c>
      <c r="L12" s="34">
        <f t="shared" si="2"/>
        <v>6.8965517241379309E-2</v>
      </c>
      <c r="M12" s="34">
        <f t="shared" si="3"/>
        <v>0.48275862068965519</v>
      </c>
      <c r="N12" s="34">
        <f t="shared" si="4"/>
        <v>0.17241379310344829</v>
      </c>
      <c r="O12" s="34">
        <f t="shared" si="5"/>
        <v>0.17241379310344829</v>
      </c>
      <c r="P12" s="37">
        <f t="shared" si="0"/>
        <v>0</v>
      </c>
      <c r="Q12" s="157" t="s">
        <v>10184</v>
      </c>
      <c r="R12" s="218" t="s">
        <v>10201</v>
      </c>
    </row>
    <row r="13" spans="1:18" ht="16.5">
      <c r="A13" s="15" t="s">
        <v>10202</v>
      </c>
      <c r="B13" s="15" t="s">
        <v>996</v>
      </c>
      <c r="C13" s="32">
        <f>COUNTIFS(测试用例!C:C,"*1320_012*")</f>
        <v>46</v>
      </c>
      <c r="D13" s="33">
        <f>COUNTIFS(测试用例!C:C,"*1320_012*",测试用例!H:H,"LV0")</f>
        <v>4</v>
      </c>
      <c r="E13" s="33">
        <f>COUNTIFS(测试用例!C:C,"*1320_012*",测试用例!H:H,"LV1")</f>
        <v>28</v>
      </c>
      <c r="F13" s="33">
        <f>COUNTIFS(测试用例!C:C,"*1320_012*",测试用例!H:H,"LV2")</f>
        <v>7</v>
      </c>
      <c r="G13" s="33">
        <f>COUNTIFS(测试用例!C:C,"*1320_012*",测试用例!H:H,"LV3")</f>
        <v>3</v>
      </c>
      <c r="H13" s="33">
        <f>COUNTIFS(测试用例!C:C,"*1320_012*",测试用例!H:H,"LV4")</f>
        <v>4</v>
      </c>
      <c r="I13" s="33">
        <f>COUNTIFS(测试用例!C:C,"*1320_012*",测试用例!J:J,"是")</f>
        <v>0</v>
      </c>
      <c r="J13" s="33">
        <f>COUNTIFS(测试用例!C:C,"*1320_012*",测试用例!I:I,"是")</f>
        <v>0</v>
      </c>
      <c r="K13" s="34">
        <f t="shared" si="1"/>
        <v>8.6956521739130432E-2</v>
      </c>
      <c r="L13" s="34">
        <f t="shared" si="2"/>
        <v>0.60869565217391308</v>
      </c>
      <c r="M13" s="34">
        <f t="shared" si="3"/>
        <v>0.15217391304347827</v>
      </c>
      <c r="N13" s="34">
        <f t="shared" si="4"/>
        <v>6.5217391304347824E-2</v>
      </c>
      <c r="O13" s="34">
        <f t="shared" si="5"/>
        <v>8.6956521739130432E-2</v>
      </c>
      <c r="P13" s="37">
        <f t="shared" si="0"/>
        <v>0</v>
      </c>
      <c r="Q13" s="157" t="s">
        <v>10184</v>
      </c>
      <c r="R13" s="217"/>
    </row>
    <row r="14" spans="1:18" ht="16.5">
      <c r="A14" s="15" t="s">
        <v>10203</v>
      </c>
      <c r="B14" s="269" t="s">
        <v>1137</v>
      </c>
      <c r="C14" s="270">
        <f>COUNTIFS(测试用例!C:C,"*1320_013*")</f>
        <v>91</v>
      </c>
      <c r="D14" s="271">
        <f>COUNTIFS(测试用例!C:C,"*1320_013*",测试用例!H:H,"LV0")</f>
        <v>6</v>
      </c>
      <c r="E14" s="271">
        <f>COUNTIFS(测试用例!C:C,"*1320_013*",测试用例!H:H,"LV1")</f>
        <v>25</v>
      </c>
      <c r="F14" s="271">
        <f>COUNTIFS(测试用例!C:C,"*1320_013*",测试用例!H:H,"LV2")</f>
        <v>38</v>
      </c>
      <c r="G14" s="271">
        <f>COUNTIFS(测试用例!C:C,"*1320_013*",测试用例!H:H,"LV3")</f>
        <v>18</v>
      </c>
      <c r="H14" s="271">
        <f>COUNTIFS(测试用例!C:C,"*1320_013*",测试用例!H:H,"LV4")</f>
        <v>0</v>
      </c>
      <c r="I14" s="271">
        <f>COUNTIFS(测试用例!C:C,"*1320_013*",测试用例!J:J,"是")</f>
        <v>0</v>
      </c>
      <c r="J14" s="271">
        <f>COUNTIFS(测试用例!C:C,"*1320_013*",测试用例!I:I,"是")</f>
        <v>0</v>
      </c>
      <c r="K14" s="34">
        <f t="shared" si="1"/>
        <v>6.5934065934065936E-2</v>
      </c>
      <c r="L14" s="34">
        <f t="shared" si="2"/>
        <v>0.27472527472527475</v>
      </c>
      <c r="M14" s="34">
        <f t="shared" si="3"/>
        <v>0.4175824175824176</v>
      </c>
      <c r="N14" s="34">
        <f t="shared" si="4"/>
        <v>0.19780219780219779</v>
      </c>
      <c r="O14" s="34">
        <f t="shared" si="5"/>
        <v>0</v>
      </c>
      <c r="P14" s="37">
        <f t="shared" si="0"/>
        <v>0</v>
      </c>
      <c r="Q14" s="272" t="s">
        <v>10184</v>
      </c>
      <c r="R14" s="273" t="s">
        <v>10204</v>
      </c>
    </row>
    <row r="15" spans="1:18" ht="16.5">
      <c r="A15" s="15" t="s">
        <v>10205</v>
      </c>
      <c r="B15" s="269" t="s">
        <v>1484</v>
      </c>
      <c r="C15" s="270">
        <f>COUNTIFS(测试用例!C:C,"*1320_014*")</f>
        <v>138</v>
      </c>
      <c r="D15" s="271">
        <f>COUNTIFS(测试用例!C:C,"*1320_014*",测试用例!H:H,"LV0")</f>
        <v>14</v>
      </c>
      <c r="E15" s="271">
        <f>COUNTIFS(测试用例!C:C,"*1320_014*",测试用例!H:H,"LV1")</f>
        <v>19</v>
      </c>
      <c r="F15" s="271">
        <f>COUNTIFS(测试用例!C:C,"*1320_014*",测试用例!H:H,"LV2")</f>
        <v>90</v>
      </c>
      <c r="G15" s="271">
        <f>COUNTIFS(测试用例!C:C,"*1320_014*",测试用例!H:H,"LV3")</f>
        <v>11</v>
      </c>
      <c r="H15" s="271">
        <f>COUNTIFS(测试用例!C:C,"*1320_014*",测试用例!H:H,"LV4")</f>
        <v>3</v>
      </c>
      <c r="I15" s="271">
        <f>COUNTIFS(测试用例!C:C,"*1320_014*",测试用例!J:J,"是")</f>
        <v>0</v>
      </c>
      <c r="J15" s="271">
        <f>COUNTIFS(测试用例!C:C,"*1320_014*",测试用例!I:I,"是")</f>
        <v>0</v>
      </c>
      <c r="K15" s="34">
        <f t="shared" si="1"/>
        <v>0.10144927536231885</v>
      </c>
      <c r="L15" s="34">
        <f t="shared" si="2"/>
        <v>0.13768115942028986</v>
      </c>
      <c r="M15" s="34">
        <f t="shared" si="3"/>
        <v>0.65217391304347827</v>
      </c>
      <c r="N15" s="34">
        <f t="shared" si="4"/>
        <v>7.9710144927536225E-2</v>
      </c>
      <c r="O15" s="34">
        <f t="shared" si="5"/>
        <v>2.1739130434782608E-2</v>
      </c>
      <c r="P15" s="37">
        <f t="shared" si="0"/>
        <v>0</v>
      </c>
      <c r="Q15" s="272" t="s">
        <v>10184</v>
      </c>
      <c r="R15" s="273"/>
    </row>
    <row r="16" spans="1:18" ht="16.5">
      <c r="A16" s="15" t="s">
        <v>10206</v>
      </c>
      <c r="B16" s="220" t="s">
        <v>1902</v>
      </c>
      <c r="C16" s="32">
        <f>COUNTIFS(测试用例!C:C,"*1320_015*")</f>
        <v>93</v>
      </c>
      <c r="D16" s="33">
        <f>COUNTIFS(测试用例!C:C,"*1320_015*",测试用例!H:H,"LV0")</f>
        <v>5</v>
      </c>
      <c r="E16" s="33">
        <f>COUNTIFS(测试用例!C:C,"*1320_015*",测试用例!H:H,"LV1")</f>
        <v>24</v>
      </c>
      <c r="F16" s="33">
        <f>COUNTIFS(测试用例!C:C,"*1320_015*",测试用例!H:H,"LV2")</f>
        <v>50</v>
      </c>
      <c r="G16" s="33">
        <f>COUNTIFS(测试用例!C:C,"*1320_015*",测试用例!H:H,"LV3")</f>
        <v>13</v>
      </c>
      <c r="H16" s="33">
        <f>COUNTIFS(测试用例!C:C,"*1320_015*",测试用例!H:H,"LV4")</f>
        <v>0</v>
      </c>
      <c r="I16" s="33">
        <f>COUNTIFS(测试用例!C:C,"*1320_015*",测试用例!J:J,"是")</f>
        <v>0</v>
      </c>
      <c r="J16" s="33">
        <f>COUNTIFS(测试用例!C:C,"*1320_015*",测试用例!I:I,"是")</f>
        <v>0</v>
      </c>
      <c r="K16" s="34">
        <f t="shared" si="1"/>
        <v>5.3763440860215055E-2</v>
      </c>
      <c r="L16" s="34">
        <f t="shared" si="2"/>
        <v>0.25806451612903225</v>
      </c>
      <c r="M16" s="34">
        <f t="shared" si="3"/>
        <v>0.5376344086021505</v>
      </c>
      <c r="N16" s="34">
        <f t="shared" si="4"/>
        <v>0.13978494623655913</v>
      </c>
      <c r="O16" s="34">
        <f t="shared" si="5"/>
        <v>0</v>
      </c>
      <c r="P16" s="37">
        <f t="shared" si="0"/>
        <v>0</v>
      </c>
      <c r="Q16" s="157" t="s">
        <v>10184</v>
      </c>
      <c r="R16" s="218" t="s">
        <v>10207</v>
      </c>
    </row>
    <row r="17" spans="1:18" ht="16.5">
      <c r="A17" s="15" t="s">
        <v>10208</v>
      </c>
      <c r="B17" s="15" t="s">
        <v>10209</v>
      </c>
      <c r="C17" s="32">
        <f>COUNTIFS(测试用例!C:C,"*1320_016*")</f>
        <v>48</v>
      </c>
      <c r="D17" s="33">
        <f>COUNTIFS(测试用例!C:C,"*1320_016*",测试用例!H:H,"LV0")</f>
        <v>4</v>
      </c>
      <c r="E17" s="33">
        <f>COUNTIFS(测试用例!C:C,"*1320_016*",测试用例!H:H,"LV1")</f>
        <v>10</v>
      </c>
      <c r="F17" s="33">
        <f>COUNTIFS(测试用例!C:C,"*1320_016*",测试用例!H:H,"LV2")</f>
        <v>20</v>
      </c>
      <c r="G17" s="33">
        <f>COUNTIFS(测试用例!C:C,"*1320_016*",测试用例!H:H,"LV3")</f>
        <v>11</v>
      </c>
      <c r="H17" s="33">
        <f>COUNTIFS(测试用例!C:C,"*1320_016*",测试用例!H:H,"LV4")</f>
        <v>3</v>
      </c>
      <c r="I17" s="33">
        <f>COUNTIFS(测试用例!C:C,"*1320_016*",测试用例!J:J,"是")</f>
        <v>0</v>
      </c>
      <c r="J17" s="33">
        <f>COUNTIFS(测试用例!C:C,"*1320_016*",测试用例!I:I,"是")</f>
        <v>0</v>
      </c>
      <c r="K17" s="34">
        <f t="shared" si="1"/>
        <v>8.3333333333333329E-2</v>
      </c>
      <c r="L17" s="34">
        <f t="shared" si="2"/>
        <v>0.20833333333333334</v>
      </c>
      <c r="M17" s="34">
        <f t="shared" si="3"/>
        <v>0.41666666666666669</v>
      </c>
      <c r="N17" s="34">
        <f t="shared" si="4"/>
        <v>0.22916666666666666</v>
      </c>
      <c r="O17" s="34">
        <f t="shared" si="5"/>
        <v>6.25E-2</v>
      </c>
      <c r="P17" s="37">
        <f t="shared" si="0"/>
        <v>0</v>
      </c>
      <c r="Q17" s="157" t="s">
        <v>10184</v>
      </c>
      <c r="R17" s="217"/>
    </row>
    <row r="18" spans="1:18" ht="16.5">
      <c r="A18" s="15" t="s">
        <v>10210</v>
      </c>
      <c r="B18" s="15" t="s">
        <v>10211</v>
      </c>
      <c r="C18" s="32">
        <f>COUNTIFS(测试用例!C:C,"*1320_017*")</f>
        <v>76</v>
      </c>
      <c r="D18" s="33">
        <f>COUNTIFS(测试用例!C:C,"*1320_017*",测试用例!H:H,"LV0")</f>
        <v>4</v>
      </c>
      <c r="E18" s="33">
        <f>COUNTIFS(测试用例!C:C,"*1320_017*",测试用例!H:H,"LV1")</f>
        <v>12</v>
      </c>
      <c r="F18" s="33">
        <f>COUNTIFS(测试用例!C:C,"*1320_017*",测试用例!H:H,"LV2")</f>
        <v>34</v>
      </c>
      <c r="G18" s="33">
        <f>COUNTIFS(测试用例!C:C,"*1320_017*",测试用例!H:H,"LV3")</f>
        <v>17</v>
      </c>
      <c r="H18" s="33">
        <f>COUNTIFS(测试用例!C:C,"*1320_017*",测试用例!H:H,"LV4")</f>
        <v>9</v>
      </c>
      <c r="I18" s="33">
        <f>COUNTIFS(测试用例!C:C,"*1320_017*",测试用例!J:J,"是")</f>
        <v>0</v>
      </c>
      <c r="J18" s="33">
        <f>COUNTIFS(测试用例!C:C,"*1320_017*",测试用例!I:I,"是")</f>
        <v>0</v>
      </c>
      <c r="K18" s="34">
        <f t="shared" si="1"/>
        <v>5.2631578947368418E-2</v>
      </c>
      <c r="L18" s="34">
        <f t="shared" si="2"/>
        <v>0.15789473684210525</v>
      </c>
      <c r="M18" s="34">
        <f t="shared" si="3"/>
        <v>0.44736842105263158</v>
      </c>
      <c r="N18" s="34">
        <f t="shared" si="4"/>
        <v>0.22368421052631579</v>
      </c>
      <c r="O18" s="34">
        <f t="shared" si="5"/>
        <v>0.11842105263157894</v>
      </c>
      <c r="P18" s="37">
        <f t="shared" si="0"/>
        <v>0</v>
      </c>
      <c r="Q18" s="157" t="s">
        <v>10184</v>
      </c>
      <c r="R18" s="217"/>
    </row>
    <row r="19" spans="1:18" ht="16.5">
      <c r="A19" s="15" t="s">
        <v>10212</v>
      </c>
      <c r="B19" s="15" t="s">
        <v>2678</v>
      </c>
      <c r="C19" s="32">
        <f>COUNTIFS(测试用例!C:C,"*1320_018*")</f>
        <v>59</v>
      </c>
      <c r="D19" s="33">
        <f>COUNTIFS(测试用例!C:C,"*1320_018*",测试用例!H:H,"LV0")</f>
        <v>4</v>
      </c>
      <c r="E19" s="33">
        <f>COUNTIFS(测试用例!C:C,"*1320_018*",测试用例!H:H,"LV1")</f>
        <v>12</v>
      </c>
      <c r="F19" s="33">
        <f>COUNTIFS(测试用例!C:C,"*1320_018*",测试用例!H:H,"LV2")</f>
        <v>26</v>
      </c>
      <c r="G19" s="33">
        <f>COUNTIFS(测试用例!C:C,"*1320_018*",测试用例!H:H,"LV3")</f>
        <v>15</v>
      </c>
      <c r="H19" s="33">
        <f>COUNTIFS(测试用例!C:C,"*1320_018*",测试用例!H:H,"LV4")</f>
        <v>2</v>
      </c>
      <c r="I19" s="33">
        <f>COUNTIFS(测试用例!C:C,"*1320_018*",测试用例!J:J,"是")</f>
        <v>0</v>
      </c>
      <c r="J19" s="33">
        <f>COUNTIFS(测试用例!C:C,"*1320_018*",测试用例!I:I,"是")</f>
        <v>0</v>
      </c>
      <c r="K19" s="34">
        <f t="shared" si="1"/>
        <v>6.7796610169491525E-2</v>
      </c>
      <c r="L19" s="34">
        <f t="shared" si="2"/>
        <v>0.20338983050847459</v>
      </c>
      <c r="M19" s="34">
        <f t="shared" si="3"/>
        <v>0.44067796610169491</v>
      </c>
      <c r="N19" s="34">
        <f t="shared" si="4"/>
        <v>0.25423728813559321</v>
      </c>
      <c r="O19" s="34">
        <f t="shared" si="5"/>
        <v>3.3898305084745763E-2</v>
      </c>
      <c r="P19" s="37">
        <f t="shared" si="0"/>
        <v>0</v>
      </c>
      <c r="Q19" s="157" t="s">
        <v>10184</v>
      </c>
      <c r="R19" s="217"/>
    </row>
    <row r="20" spans="1:18" ht="16.5">
      <c r="A20" s="15" t="s">
        <v>10213</v>
      </c>
      <c r="B20" s="15" t="s">
        <v>2870</v>
      </c>
      <c r="C20" s="32">
        <f>COUNTIFS(测试用例!C:C,"*1320_019*")</f>
        <v>28</v>
      </c>
      <c r="D20" s="33">
        <f>COUNTIFS(测试用例!C:C,"*1320_019*",测试用例!H:H,"LV0")</f>
        <v>1</v>
      </c>
      <c r="E20" s="33">
        <f>COUNTIFS(测试用例!C:C,"*1320_019*",测试用例!H:H,"LV1")</f>
        <v>5</v>
      </c>
      <c r="F20" s="33">
        <f>COUNTIFS(测试用例!C:C,"*1320_019*",测试用例!H:H,"LV2")</f>
        <v>14</v>
      </c>
      <c r="G20" s="33">
        <f>COUNTIFS(测试用例!C:C,"*1320_019*",测试用例!H:H,"LV3")</f>
        <v>6</v>
      </c>
      <c r="H20" s="33">
        <f>COUNTIFS(测试用例!C:C,"*1320_019*",测试用例!H:H,"LV4")</f>
        <v>2</v>
      </c>
      <c r="I20" s="33">
        <f>COUNTIFS(测试用例!C:C,"*1320_019*",测试用例!J:J,"是")</f>
        <v>0</v>
      </c>
      <c r="J20" s="33">
        <f>COUNTIFS(测试用例!C:C,"*1320_019*",测试用例!I:I,"是")</f>
        <v>0</v>
      </c>
      <c r="K20" s="34">
        <f t="shared" si="1"/>
        <v>3.5714285714285712E-2</v>
      </c>
      <c r="L20" s="34">
        <f t="shared" si="2"/>
        <v>0.17857142857142858</v>
      </c>
      <c r="M20" s="34">
        <f t="shared" si="3"/>
        <v>0.5</v>
      </c>
      <c r="N20" s="34">
        <f t="shared" si="4"/>
        <v>0.21428571428571427</v>
      </c>
      <c r="O20" s="34">
        <f t="shared" si="5"/>
        <v>7.1428571428571425E-2</v>
      </c>
      <c r="P20" s="37">
        <f t="shared" si="0"/>
        <v>0</v>
      </c>
      <c r="Q20" s="157" t="s">
        <v>10184</v>
      </c>
      <c r="R20" s="217"/>
    </row>
    <row r="21" spans="1:18" ht="16.5">
      <c r="A21" s="15" t="s">
        <v>10214</v>
      </c>
      <c r="B21" s="13" t="s">
        <v>2981</v>
      </c>
      <c r="C21" s="32">
        <f>COUNTIFS(测试用例!C:C,"*1320_020*")</f>
        <v>32</v>
      </c>
      <c r="D21" s="33">
        <f>COUNTIFS(测试用例!C:C,"*1320_020*",测试用例!H:H,"LV0")</f>
        <v>2</v>
      </c>
      <c r="E21" s="33">
        <f>COUNTIFS(测试用例!C:C,"*1320_020*",测试用例!H:H,"LV1")</f>
        <v>9</v>
      </c>
      <c r="F21" s="33">
        <f>COUNTIFS(测试用例!C:C,"*1320_020*",测试用例!H:H,"LV2")</f>
        <v>13</v>
      </c>
      <c r="G21" s="33">
        <f>COUNTIFS(测试用例!C:C,"*1320_020*",测试用例!H:H,"LV3")</f>
        <v>5</v>
      </c>
      <c r="H21" s="33">
        <f>COUNTIFS(测试用例!C:C,"*1320_020*",测试用例!H:H,"LV4")</f>
        <v>3</v>
      </c>
      <c r="I21" s="33">
        <f>COUNTIFS(测试用例!C:C,"*1320_020*",测试用例!J:J,"是")</f>
        <v>0</v>
      </c>
      <c r="J21" s="33">
        <f>COUNTIFS(测试用例!C:C,"*1320_020*",测试用例!I:I,"是")</f>
        <v>0</v>
      </c>
      <c r="K21" s="34">
        <f t="shared" si="1"/>
        <v>6.25E-2</v>
      </c>
      <c r="L21" s="34">
        <f t="shared" si="2"/>
        <v>0.28125</v>
      </c>
      <c r="M21" s="34">
        <f t="shared" si="3"/>
        <v>0.40625</v>
      </c>
      <c r="N21" s="34">
        <f t="shared" si="4"/>
        <v>0.15625</v>
      </c>
      <c r="O21" s="34">
        <f t="shared" si="5"/>
        <v>9.375E-2</v>
      </c>
      <c r="P21" s="37">
        <f t="shared" si="0"/>
        <v>0</v>
      </c>
      <c r="Q21" s="157" t="s">
        <v>10184</v>
      </c>
      <c r="R21" s="217"/>
    </row>
    <row r="22" spans="1:18" ht="16.5">
      <c r="A22" s="15" t="s">
        <v>10215</v>
      </c>
      <c r="B22" s="15" t="s">
        <v>3107</v>
      </c>
      <c r="C22" s="32">
        <f>COUNTIFS(测试用例!C:C,"*1320_021*")</f>
        <v>85</v>
      </c>
      <c r="D22" s="33">
        <f>COUNTIFS(测试用例!C:C,"*1320_021*",测试用例!H:H,"LV0")</f>
        <v>3</v>
      </c>
      <c r="E22" s="33">
        <f>COUNTIFS(测试用例!C:C,"*1320_021*",测试用例!H:H,"LV1")</f>
        <v>23</v>
      </c>
      <c r="F22" s="33">
        <f>COUNTIFS(测试用例!C:C,"*1320_021*",测试用例!H:H,"LV2")</f>
        <v>32</v>
      </c>
      <c r="G22" s="33">
        <f>COUNTIFS(测试用例!C:C,"*1320_021*",测试用例!H:H,"LV3")</f>
        <v>16</v>
      </c>
      <c r="H22" s="33">
        <f>COUNTIFS(测试用例!C:C,"*1320_021*",测试用例!H:H,"LV4")</f>
        <v>11</v>
      </c>
      <c r="I22" s="33">
        <f>COUNTIFS(测试用例!C:C,"*1320_021*",测试用例!J:J,"是")</f>
        <v>0</v>
      </c>
      <c r="J22" s="33">
        <f>COUNTIFS(测试用例!C:C,"*1320_021*",测试用例!I:I,"是")</f>
        <v>0</v>
      </c>
      <c r="K22" s="34">
        <f t="shared" si="1"/>
        <v>3.5294117647058823E-2</v>
      </c>
      <c r="L22" s="34">
        <f t="shared" si="2"/>
        <v>0.27058823529411763</v>
      </c>
      <c r="M22" s="34">
        <f t="shared" si="3"/>
        <v>0.37647058823529411</v>
      </c>
      <c r="N22" s="34">
        <f>G22/C22</f>
        <v>0.18823529411764706</v>
      </c>
      <c r="O22" s="34">
        <f t="shared" si="5"/>
        <v>0.12941176470588237</v>
      </c>
      <c r="P22" s="37">
        <f t="shared" si="0"/>
        <v>0</v>
      </c>
      <c r="Q22" s="157" t="s">
        <v>10184</v>
      </c>
      <c r="R22" s="217"/>
    </row>
    <row r="23" spans="1:18" ht="16.5">
      <c r="A23" s="15" t="s">
        <v>10216</v>
      </c>
      <c r="B23" s="220" t="s">
        <v>3415</v>
      </c>
      <c r="C23" s="32">
        <f>COUNTIFS(测试用例!C:C,"*1320_022*")</f>
        <v>23</v>
      </c>
      <c r="D23" s="33">
        <f>COUNTIFS(测试用例!C:C,"*1320_022*",测试用例!H:H,"LV0")</f>
        <v>2</v>
      </c>
      <c r="E23" s="33">
        <f>COUNTIFS(测试用例!C:C,"*1320_022*",测试用例!H:H,"LV1")</f>
        <v>12</v>
      </c>
      <c r="F23" s="33">
        <f>COUNTIFS(测试用例!C:C,"*1320_022*",测试用例!H:H,"LV2")</f>
        <v>5</v>
      </c>
      <c r="G23" s="33">
        <f>COUNTIFS(测试用例!C:C,"*1320_022*",测试用例!H:H,"LV3")</f>
        <v>3</v>
      </c>
      <c r="H23" s="33">
        <f>COUNTIFS(测试用例!C:C,"*1320_022*",测试用例!H:H,"LV4")</f>
        <v>1</v>
      </c>
      <c r="I23" s="33">
        <f>COUNTIFS(测试用例!C:C,"*1320_022*",测试用例!J:J,"是")</f>
        <v>0</v>
      </c>
      <c r="J23" s="33">
        <f>COUNTIFS(测试用例!C:C,"*1320_022*",测试用例!I:I,"是")</f>
        <v>0</v>
      </c>
      <c r="K23" s="34">
        <f t="shared" si="1"/>
        <v>8.6956521739130432E-2</v>
      </c>
      <c r="L23" s="34">
        <f t="shared" si="2"/>
        <v>0.52173913043478259</v>
      </c>
      <c r="M23" s="34">
        <f t="shared" si="3"/>
        <v>0.21739130434782608</v>
      </c>
      <c r="N23" s="34">
        <f t="shared" si="4"/>
        <v>0.13043478260869565</v>
      </c>
      <c r="O23" s="34">
        <f t="shared" si="5"/>
        <v>4.3478260869565216E-2</v>
      </c>
      <c r="P23" s="37">
        <f t="shared" si="0"/>
        <v>0</v>
      </c>
      <c r="Q23" s="157" t="s">
        <v>10184</v>
      </c>
      <c r="R23" s="218" t="s">
        <v>10207</v>
      </c>
    </row>
    <row r="24" spans="1:18" ht="16.5">
      <c r="A24" s="15" t="s">
        <v>10217</v>
      </c>
      <c r="B24" s="219" t="s">
        <v>3478</v>
      </c>
      <c r="C24" s="32">
        <f>COUNTIFS(测试用例!C:C,"*1320_023*")</f>
        <v>40</v>
      </c>
      <c r="D24" s="33">
        <f>COUNTIFS(测试用例!C:C,"*1320_023*",测试用例!H:H,"LV0")</f>
        <v>2</v>
      </c>
      <c r="E24" s="33">
        <f>COUNTIFS(测试用例!C:C,"*1320_023*",测试用例!H:H,"LV1")</f>
        <v>8</v>
      </c>
      <c r="F24" s="33">
        <f>COUNTIFS(测试用例!C:C,"*1320_023*",测试用例!H:H,"LV2")</f>
        <v>18</v>
      </c>
      <c r="G24" s="33">
        <f>COUNTIFS(测试用例!C:C,"*1320_023*",测试用例!H:H,"LV3")</f>
        <v>11</v>
      </c>
      <c r="H24" s="33">
        <f>COUNTIFS(测试用例!C:C,"*1320_023*",测试用例!H:H,"LV4")</f>
        <v>1</v>
      </c>
      <c r="I24" s="33">
        <f>COUNTIFS(测试用例!C:C,"*1320_023*",测试用例!J:J,"是")</f>
        <v>0</v>
      </c>
      <c r="J24" s="33">
        <f>COUNTIFS(测试用例!C:C,"*1320_023*",测试用例!I:I,"是")</f>
        <v>0</v>
      </c>
      <c r="K24" s="34">
        <f t="shared" si="1"/>
        <v>0.05</v>
      </c>
      <c r="L24" s="34">
        <f t="shared" si="2"/>
        <v>0.2</v>
      </c>
      <c r="M24" s="34">
        <f t="shared" si="3"/>
        <v>0.45</v>
      </c>
      <c r="N24" s="34">
        <f t="shared" si="4"/>
        <v>0.27500000000000002</v>
      </c>
      <c r="O24" s="34">
        <f t="shared" si="5"/>
        <v>2.5000000000000001E-2</v>
      </c>
      <c r="P24" s="37">
        <f t="shared" si="0"/>
        <v>0</v>
      </c>
      <c r="Q24" s="157" t="s">
        <v>10184</v>
      </c>
      <c r="R24" s="218" t="s">
        <v>10218</v>
      </c>
    </row>
    <row r="25" spans="1:18" ht="16.5">
      <c r="A25" s="15" t="s">
        <v>10219</v>
      </c>
      <c r="B25" s="15" t="s">
        <v>3598</v>
      </c>
      <c r="C25" s="32">
        <f>COUNTIFS(测试用例!C:C,"*1320_024*")</f>
        <v>61</v>
      </c>
      <c r="D25" s="33">
        <f>COUNTIFS(测试用例!C:C,"*1320_024*",测试用例!H:H,"LV0")</f>
        <v>2</v>
      </c>
      <c r="E25" s="33">
        <f>COUNTIFS(测试用例!C:C,"*1320_024*",测试用例!H:H,"LV1")</f>
        <v>13</v>
      </c>
      <c r="F25" s="33">
        <f>COUNTIFS(测试用例!C:C,"*1320_024*",测试用例!H:H,"LV2")</f>
        <v>32</v>
      </c>
      <c r="G25" s="33">
        <f>COUNTIFS(测试用例!C:C,"*1320_024*",测试用例!H:H,"LV3")</f>
        <v>9</v>
      </c>
      <c r="H25" s="33">
        <f>COUNTIFS(测试用例!C:C,"*1320_024*",测试用例!H:H,"LV4")</f>
        <v>4</v>
      </c>
      <c r="I25" s="33">
        <f>COUNTIFS(测试用例!C:C,"*1320_024*",测试用例!J:J,"是")</f>
        <v>0</v>
      </c>
      <c r="J25" s="33">
        <f>COUNTIFS(测试用例!C:C,"*1320_024*",测试用例!I:I,"是")</f>
        <v>0</v>
      </c>
      <c r="K25" s="34">
        <f t="shared" si="1"/>
        <v>3.2786885245901641E-2</v>
      </c>
      <c r="L25" s="34">
        <f t="shared" si="2"/>
        <v>0.21311475409836064</v>
      </c>
      <c r="M25" s="34">
        <f t="shared" si="3"/>
        <v>0.52459016393442626</v>
      </c>
      <c r="N25" s="34">
        <f t="shared" si="4"/>
        <v>0.14754098360655737</v>
      </c>
      <c r="O25" s="34">
        <f t="shared" si="5"/>
        <v>6.5573770491803282E-2</v>
      </c>
      <c r="P25" s="37">
        <f t="shared" si="0"/>
        <v>0</v>
      </c>
      <c r="Q25" s="157" t="s">
        <v>10184</v>
      </c>
      <c r="R25" s="217"/>
    </row>
    <row r="26" spans="1:18" ht="16.5">
      <c r="A26" s="15" t="s">
        <v>10220</v>
      </c>
      <c r="B26" s="15" t="s">
        <v>3809</v>
      </c>
      <c r="C26" s="32">
        <f>COUNTIFS(测试用例!C:C,"*1320_025*")</f>
        <v>6</v>
      </c>
      <c r="D26" s="33">
        <f>COUNTIFS(测试用例!C:C,"*1320_025*",测试用例!H:H,"LV0")</f>
        <v>4</v>
      </c>
      <c r="E26" s="33">
        <f>COUNTIFS(测试用例!C:C,"*1320_025*",测试用例!H:H,"LV1")</f>
        <v>0</v>
      </c>
      <c r="F26" s="33">
        <f>COUNTIFS(测试用例!C:C,"*1320_025*",测试用例!H:H,"LV2")</f>
        <v>0</v>
      </c>
      <c r="G26" s="33">
        <f>COUNTIFS(测试用例!C:C,"*1320_025*",测试用例!H:H,"LV3")</f>
        <v>1</v>
      </c>
      <c r="H26" s="33">
        <f>COUNTIFS(测试用例!C:C,"*1320_025*",测试用例!H:H,"LV4")</f>
        <v>1</v>
      </c>
      <c r="I26" s="33">
        <f>COUNTIFS(测试用例!C:C,"*1320_025*",测试用例!J:J,"是")</f>
        <v>0</v>
      </c>
      <c r="J26" s="33">
        <f>COUNTIFS(测试用例!C:C,"*1320_025*",测试用例!I:I,"是")</f>
        <v>0</v>
      </c>
      <c r="K26" s="34">
        <f t="shared" si="1"/>
        <v>0.66666666666666663</v>
      </c>
      <c r="L26" s="34">
        <f t="shared" si="2"/>
        <v>0</v>
      </c>
      <c r="M26" s="34">
        <f t="shared" si="3"/>
        <v>0</v>
      </c>
      <c r="N26" s="34">
        <f t="shared" si="4"/>
        <v>0.16666666666666666</v>
      </c>
      <c r="O26" s="34">
        <f t="shared" si="5"/>
        <v>0.16666666666666666</v>
      </c>
      <c r="P26" s="37">
        <f t="shared" si="0"/>
        <v>0</v>
      </c>
      <c r="Q26" s="157" t="s">
        <v>10184</v>
      </c>
      <c r="R26" s="217"/>
    </row>
    <row r="27" spans="1:18" ht="16.5">
      <c r="A27" s="15" t="s">
        <v>10221</v>
      </c>
      <c r="B27" s="15" t="s">
        <v>3874</v>
      </c>
      <c r="C27" s="32">
        <f>COUNTIFS(测试用例!C:C,"*1320_026*")</f>
        <v>89</v>
      </c>
      <c r="D27" s="33">
        <f>COUNTIFS(测试用例!C:C,"*1320_026*",测试用例!H:H,"LV0")</f>
        <v>2</v>
      </c>
      <c r="E27" s="33">
        <f>COUNTIFS(测试用例!C:C,"*1320_026*",测试用例!H:H,"LV1")</f>
        <v>24</v>
      </c>
      <c r="F27" s="33">
        <f>COUNTIFS(测试用例!C:C,"*1320_026*",测试用例!H:H,"LV2")</f>
        <v>45</v>
      </c>
      <c r="G27" s="33">
        <f>COUNTIFS(测试用例!C:C,"*1320_026*",测试用例!H:H,"LV3")</f>
        <v>14</v>
      </c>
      <c r="H27" s="33">
        <f>COUNTIFS(测试用例!C:C,"*1320_026*",测试用例!H:H,"LV4")</f>
        <v>2</v>
      </c>
      <c r="I27" s="33">
        <f>COUNTIFS(测试用例!C:C,"*1320_026*",测试用例!J:J,"是")</f>
        <v>0</v>
      </c>
      <c r="J27" s="33">
        <f>COUNTIFS(测试用例!C:C,"*1320_026*",测试用例!I:I,"是")</f>
        <v>0</v>
      </c>
      <c r="K27" s="34">
        <f t="shared" si="1"/>
        <v>2.247191011235955E-2</v>
      </c>
      <c r="L27" s="34">
        <f t="shared" si="2"/>
        <v>0.2696629213483146</v>
      </c>
      <c r="M27" s="34">
        <f t="shared" si="3"/>
        <v>0.5056179775280899</v>
      </c>
      <c r="N27" s="34">
        <f t="shared" si="4"/>
        <v>0.15730337078651685</v>
      </c>
      <c r="O27" s="34">
        <f t="shared" si="5"/>
        <v>2.247191011235955E-2</v>
      </c>
      <c r="P27" s="37">
        <f t="shared" si="0"/>
        <v>0</v>
      </c>
      <c r="Q27" s="157" t="s">
        <v>10184</v>
      </c>
      <c r="R27" s="217"/>
    </row>
    <row r="28" spans="1:18" ht="16.5">
      <c r="A28" s="15" t="s">
        <v>10222</v>
      </c>
      <c r="B28" s="15" t="s">
        <v>4108</v>
      </c>
      <c r="C28" s="32">
        <f>COUNTIFS(测试用例!C:C,"*1320_027*")</f>
        <v>34</v>
      </c>
      <c r="D28" s="33">
        <f>COUNTIFS(测试用例!C:C,"*1320_027*",测试用例!H:H,"LV0")</f>
        <v>3</v>
      </c>
      <c r="E28" s="33">
        <f>COUNTIFS(测试用例!C:C,"*1320_027*",测试用例!H:H,"LV1")</f>
        <v>20</v>
      </c>
      <c r="F28" s="33">
        <f>COUNTIFS(测试用例!C:C,"*1320_027*",测试用例!H:H,"LV2")</f>
        <v>6</v>
      </c>
      <c r="G28" s="33">
        <f>COUNTIFS(测试用例!C:C,"*1320_027*",测试用例!H:H,"LV3")</f>
        <v>3</v>
      </c>
      <c r="H28" s="33">
        <f>COUNTIFS(测试用例!C:C,"*1320_027*",测试用例!H:H,"LV4")</f>
        <v>1</v>
      </c>
      <c r="I28" s="33">
        <f>COUNTIFS(测试用例!C:C,"*1320_027*",测试用例!J:J,"是")</f>
        <v>0</v>
      </c>
      <c r="J28" s="33">
        <f>COUNTIFS(测试用例!C:C,"*1320_027*",测试用例!I:I,"是")</f>
        <v>0</v>
      </c>
      <c r="K28" s="34">
        <f t="shared" si="1"/>
        <v>8.8235294117647065E-2</v>
      </c>
      <c r="L28" s="34">
        <f t="shared" si="2"/>
        <v>0.58823529411764708</v>
      </c>
      <c r="M28" s="34">
        <f t="shared" si="3"/>
        <v>0.17647058823529413</v>
      </c>
      <c r="N28" s="34">
        <f t="shared" si="4"/>
        <v>8.8235294117647065E-2</v>
      </c>
      <c r="O28" s="34">
        <f t="shared" si="5"/>
        <v>2.9411764705882353E-2</v>
      </c>
      <c r="P28" s="37">
        <f t="shared" si="0"/>
        <v>0</v>
      </c>
      <c r="Q28" s="157" t="s">
        <v>10184</v>
      </c>
      <c r="R28" s="217"/>
    </row>
    <row r="29" spans="1:18" ht="16.5">
      <c r="A29" s="15" t="s">
        <v>10223</v>
      </c>
      <c r="B29" s="15" t="s">
        <v>4233</v>
      </c>
      <c r="C29" s="32">
        <f>COUNTIFS(测试用例!C:C,"*1320_028*")</f>
        <v>2</v>
      </c>
      <c r="D29" s="33">
        <f>COUNTIFS(测试用例!C:C,"*1320_028*",测试用例!H:H,"LV0")</f>
        <v>1</v>
      </c>
      <c r="E29" s="33">
        <f>COUNTIFS(测试用例!C:C,"*1320_028*",测试用例!H:H,"LV1")</f>
        <v>1</v>
      </c>
      <c r="F29" s="33">
        <f>COUNTIFS(测试用例!C:C,"*1320_028*",测试用例!H:H,"LV2")</f>
        <v>0</v>
      </c>
      <c r="G29" s="33">
        <f>COUNTIFS(测试用例!C:C,"*1320_028*",测试用例!H:H,"LV3")</f>
        <v>0</v>
      </c>
      <c r="H29" s="33">
        <f>COUNTIFS(测试用例!C:C,"*1320_028*",测试用例!H:H,"LV4")</f>
        <v>0</v>
      </c>
      <c r="I29" s="33">
        <f>COUNTIFS(测试用例!C:C,"*1320_028*",测试用例!J:J,"是")</f>
        <v>0</v>
      </c>
      <c r="J29" s="33">
        <f>COUNTIFS(测试用例!C:C,"*1320_028*",测试用例!I:I,"是")</f>
        <v>0</v>
      </c>
      <c r="K29" s="34">
        <f t="shared" si="1"/>
        <v>0.5</v>
      </c>
      <c r="L29" s="34">
        <f t="shared" si="2"/>
        <v>0.5</v>
      </c>
      <c r="M29" s="34">
        <f t="shared" si="3"/>
        <v>0</v>
      </c>
      <c r="N29" s="34">
        <f t="shared" si="4"/>
        <v>0</v>
      </c>
      <c r="O29" s="34">
        <f t="shared" si="5"/>
        <v>0</v>
      </c>
      <c r="P29" s="37">
        <f t="shared" si="0"/>
        <v>0</v>
      </c>
      <c r="Q29" s="157" t="s">
        <v>10184</v>
      </c>
      <c r="R29" s="217"/>
    </row>
    <row r="30" spans="1:18" ht="16.5">
      <c r="A30" s="15" t="s">
        <v>10224</v>
      </c>
      <c r="B30" s="15" t="s">
        <v>4241</v>
      </c>
      <c r="C30" s="32">
        <f>COUNTIFS(测试用例!C:C,"*1320_029*")</f>
        <v>3</v>
      </c>
      <c r="D30" s="33">
        <f>COUNTIFS(测试用例!C:C,"*1320_029*",测试用例!H:H,"LV0")</f>
        <v>0</v>
      </c>
      <c r="E30" s="33">
        <f>COUNTIFS(测试用例!C:C,"*1320_029*",测试用例!H:H,"LV1")</f>
        <v>0</v>
      </c>
      <c r="F30" s="33">
        <f>COUNTIFS(测试用例!C:C,"*1320_029*",测试用例!H:H,"LV2")</f>
        <v>0</v>
      </c>
      <c r="G30" s="33">
        <f>COUNTIFS(测试用例!C:C,"*1320_029*",测试用例!H:H,"LV3")</f>
        <v>3</v>
      </c>
      <c r="H30" s="33">
        <f>COUNTIFS(测试用例!C:C,"*1320_029*",测试用例!H:H,"LV4")</f>
        <v>0</v>
      </c>
      <c r="I30" s="33">
        <f>COUNTIFS(测试用例!C:C,"*1320_029*",测试用例!J:J,"是")</f>
        <v>0</v>
      </c>
      <c r="J30" s="33">
        <f>COUNTIFS(测试用例!C:C,"*1320_029*",测试用例!I:I,"是")</f>
        <v>0</v>
      </c>
      <c r="K30" s="34">
        <f t="shared" si="1"/>
        <v>0</v>
      </c>
      <c r="L30" s="34">
        <f t="shared" si="2"/>
        <v>0</v>
      </c>
      <c r="M30" s="34">
        <f t="shared" si="3"/>
        <v>0</v>
      </c>
      <c r="N30" s="34">
        <f t="shared" si="4"/>
        <v>1</v>
      </c>
      <c r="O30" s="34">
        <f t="shared" si="5"/>
        <v>0</v>
      </c>
      <c r="P30" s="37">
        <f t="shared" si="0"/>
        <v>0</v>
      </c>
      <c r="Q30" s="157" t="s">
        <v>10184</v>
      </c>
      <c r="R30" s="217"/>
    </row>
    <row r="31" spans="1:18" ht="16.5">
      <c r="A31" s="15" t="s">
        <v>10225</v>
      </c>
      <c r="B31" s="15" t="s">
        <v>10226</v>
      </c>
      <c r="C31" s="32">
        <f>COUNTIFS(测试用例!C:C,"*1320_030*")</f>
        <v>14</v>
      </c>
      <c r="D31" s="33">
        <f>COUNTIFS(测试用例!C:C,"*1320_030*",测试用例!H:H,"LV0")</f>
        <v>0</v>
      </c>
      <c r="E31" s="33">
        <f>COUNTIFS(测试用例!C:C,"*1320_030*",测试用例!H:H,"LV1")</f>
        <v>0</v>
      </c>
      <c r="F31" s="33">
        <f>COUNTIFS(测试用例!C:C,"*1320_030*",测试用例!H:H,"LV2")</f>
        <v>4</v>
      </c>
      <c r="G31" s="33">
        <f>COUNTIFS(测试用例!C:C,"*1320_030*",测试用例!H:H,"LV3")</f>
        <v>7</v>
      </c>
      <c r="H31" s="33">
        <f>COUNTIFS(测试用例!C:C,"*1320_030*",测试用例!H:H,"LV4")</f>
        <v>3</v>
      </c>
      <c r="I31" s="33">
        <f>COUNTIFS(测试用例!C:C,"*1320_030*",测试用例!J:J,"是")</f>
        <v>0</v>
      </c>
      <c r="J31" s="33">
        <f>COUNTIFS(测试用例!C:C,"*1320_030*",测试用例!I:I,"是")</f>
        <v>11</v>
      </c>
      <c r="K31" s="34">
        <f t="shared" si="1"/>
        <v>0</v>
      </c>
      <c r="L31" s="34">
        <f t="shared" si="2"/>
        <v>0</v>
      </c>
      <c r="M31" s="34">
        <f t="shared" si="3"/>
        <v>0.2857142857142857</v>
      </c>
      <c r="N31" s="34">
        <f t="shared" si="4"/>
        <v>0.5</v>
      </c>
      <c r="O31" s="34">
        <f t="shared" si="5"/>
        <v>0.21428571428571427</v>
      </c>
      <c r="P31" s="37">
        <f t="shared" si="0"/>
        <v>0.7857142857142857</v>
      </c>
      <c r="Q31" s="157" t="s">
        <v>10184</v>
      </c>
      <c r="R31" s="217"/>
    </row>
    <row r="32" spans="1:18" ht="16.5">
      <c r="A32" s="15" t="s">
        <v>10227</v>
      </c>
      <c r="B32" s="15" t="s">
        <v>10228</v>
      </c>
      <c r="C32" s="32">
        <f>COUNTIFS(测试用例!C:C,"*1320_031*")</f>
        <v>8</v>
      </c>
      <c r="D32" s="33">
        <f>COUNTIFS(测试用例!C:C,"*1320_031*",测试用例!H:H,"LV0")</f>
        <v>0</v>
      </c>
      <c r="E32" s="33">
        <f>COUNTIFS(测试用例!C:C,"*1320_031*",测试用例!H:H,"LV1")</f>
        <v>5</v>
      </c>
      <c r="F32" s="33">
        <f>COUNTIFS(测试用例!C:C,"*1320_031*",测试用例!H:H,"LV2")</f>
        <v>0</v>
      </c>
      <c r="G32" s="33">
        <f>COUNTIFS(测试用例!C:C,"*1320_031*",测试用例!H:H,"LV3")</f>
        <v>2</v>
      </c>
      <c r="H32" s="33">
        <f>COUNTIFS(测试用例!C:C,"*1320_031*",测试用例!H:H,"LV4")</f>
        <v>1</v>
      </c>
      <c r="I32" s="33">
        <f>COUNTIFS(测试用例!C:C,"*1320_031*",测试用例!J:J,"是")</f>
        <v>0</v>
      </c>
      <c r="J32" s="33">
        <f>COUNTIFS(测试用例!C:C,"*1320_031*",测试用例!I:I,"是")</f>
        <v>0</v>
      </c>
      <c r="K32" s="34">
        <f t="shared" si="1"/>
        <v>0</v>
      </c>
      <c r="L32" s="34">
        <f t="shared" ref="L32:L37" si="6">E32/C32</f>
        <v>0.625</v>
      </c>
      <c r="M32" s="34">
        <f t="shared" ref="M32:M37" si="7">F32/C32</f>
        <v>0</v>
      </c>
      <c r="N32" s="34">
        <f t="shared" ref="N32:N37" si="8">G32/C32</f>
        <v>0.25</v>
      </c>
      <c r="O32" s="34">
        <f t="shared" ref="O32:O37" si="9">H32/C32</f>
        <v>0.125</v>
      </c>
      <c r="P32" s="37">
        <f t="shared" ref="P32:P37" si="10">J32/C32</f>
        <v>0</v>
      </c>
      <c r="Q32" s="157" t="s">
        <v>10184</v>
      </c>
      <c r="R32" s="217"/>
    </row>
    <row r="33" spans="1:18" ht="16.5">
      <c r="A33" s="15" t="s">
        <v>10229</v>
      </c>
      <c r="B33" s="15" t="s">
        <v>4336</v>
      </c>
      <c r="C33" s="32">
        <f>COUNTIFS(测试用例!C:C,"*1320_032*")</f>
        <v>30</v>
      </c>
      <c r="D33" s="33">
        <f>COUNTIFS(测试用例!C:C,"*1320_032*",测试用例!H:H,"LV0")</f>
        <v>1</v>
      </c>
      <c r="E33" s="33">
        <f>COUNTIFS(测试用例!C:C,"*1320_032*",测试用例!H:H,"LV1")</f>
        <v>9</v>
      </c>
      <c r="F33" s="33">
        <f>COUNTIFS(测试用例!C:C,"*1320_032*",测试用例!H:H,"LV2")</f>
        <v>8</v>
      </c>
      <c r="G33" s="33">
        <f>COUNTIFS(测试用例!C:C,"*1320_032*",测试用例!H:H,"LV3")</f>
        <v>9</v>
      </c>
      <c r="H33" s="33">
        <f>COUNTIFS(测试用例!C:C,"*1320_032*",测试用例!H:H,"LV4")</f>
        <v>3</v>
      </c>
      <c r="I33" s="33">
        <f>COUNTIFS(测试用例!C:C,"*1320_032*",测试用例!J:J,"是")</f>
        <v>0</v>
      </c>
      <c r="J33" s="33">
        <f>COUNTIFS(测试用例!C:C,"*1320_032*",测试用例!I:I,"是")</f>
        <v>0</v>
      </c>
      <c r="K33" s="34">
        <f t="shared" si="1"/>
        <v>3.3333333333333333E-2</v>
      </c>
      <c r="L33" s="34">
        <f t="shared" si="6"/>
        <v>0.3</v>
      </c>
      <c r="M33" s="34">
        <f t="shared" si="7"/>
        <v>0.26666666666666666</v>
      </c>
      <c r="N33" s="34">
        <f t="shared" si="8"/>
        <v>0.3</v>
      </c>
      <c r="O33" s="34">
        <f t="shared" si="9"/>
        <v>0.1</v>
      </c>
      <c r="P33" s="37">
        <f t="shared" si="10"/>
        <v>0</v>
      </c>
      <c r="Q33" s="157" t="s">
        <v>10184</v>
      </c>
      <c r="R33" s="217"/>
    </row>
    <row r="34" spans="1:18" ht="16.5">
      <c r="A34" s="15" t="s">
        <v>10230</v>
      </c>
      <c r="B34" s="15" t="s">
        <v>4457</v>
      </c>
      <c r="C34" s="32">
        <f>COUNTIFS(测试用例!C:C,"*1320_033*")</f>
        <v>7</v>
      </c>
      <c r="D34" s="33">
        <f>COUNTIFS(测试用例!C:C,"*1320_033*",测试用例!H:H,"LV0")</f>
        <v>1</v>
      </c>
      <c r="E34" s="33">
        <f>COUNTIFS(测试用例!C:C,"*1320_033*",测试用例!H:H,"LV1")</f>
        <v>1</v>
      </c>
      <c r="F34" s="33">
        <f>COUNTIFS(测试用例!C:C,"*1320_033*",测试用例!H:H,"LV2")</f>
        <v>1</v>
      </c>
      <c r="G34" s="33">
        <f>COUNTIFS(测试用例!C:C,"*1320_033*",测试用例!H:H,"LV3")</f>
        <v>3</v>
      </c>
      <c r="H34" s="33">
        <f>COUNTIFS(测试用例!C:C,"*1320_033*",测试用例!H:H,"LV4")</f>
        <v>1</v>
      </c>
      <c r="I34" s="33">
        <f>COUNTIFS(测试用例!C:C,"*1320_033*",测试用例!J:J,"是")</f>
        <v>0</v>
      </c>
      <c r="J34" s="33">
        <f>COUNTIFS(测试用例!C:C,"*1320_033*",测试用例!I:I,"是")</f>
        <v>0</v>
      </c>
      <c r="K34" s="34">
        <f t="shared" si="1"/>
        <v>0.14285714285714285</v>
      </c>
      <c r="L34" s="34">
        <f t="shared" si="6"/>
        <v>0.14285714285714285</v>
      </c>
      <c r="M34" s="34">
        <f t="shared" si="7"/>
        <v>0.14285714285714285</v>
      </c>
      <c r="N34" s="34">
        <f t="shared" si="8"/>
        <v>0.42857142857142855</v>
      </c>
      <c r="O34" s="34">
        <f t="shared" si="9"/>
        <v>0.14285714285714285</v>
      </c>
      <c r="P34" s="37">
        <f t="shared" si="10"/>
        <v>0</v>
      </c>
      <c r="Q34" s="157" t="s">
        <v>10184</v>
      </c>
      <c r="R34" s="217"/>
    </row>
    <row r="35" spans="1:18" ht="16.5">
      <c r="A35" s="15" t="s">
        <v>10231</v>
      </c>
      <c r="B35" s="15" t="s">
        <v>10232</v>
      </c>
      <c r="C35" s="32">
        <f>COUNTIFS(测试用例!C:C,"*1320_034*")</f>
        <v>10</v>
      </c>
      <c r="D35" s="33">
        <f>COUNTIFS(测试用例!C:C,"*1320_034*",测试用例!H:H,"LV0")</f>
        <v>1</v>
      </c>
      <c r="E35" s="33">
        <f>COUNTIFS(测试用例!C:C,"*1320_034*",测试用例!H:H,"LV1")</f>
        <v>1</v>
      </c>
      <c r="F35" s="33">
        <f>COUNTIFS(测试用例!C:C,"*1320_034*",测试用例!H:H,"LV2")</f>
        <v>8</v>
      </c>
      <c r="G35" s="33">
        <f>COUNTIFS(测试用例!C:C,"*1320_034*",测试用例!H:H,"LV3")</f>
        <v>0</v>
      </c>
      <c r="H35" s="33">
        <f>COUNTIFS(测试用例!C:C,"*1320_034*",测试用例!H:H,"LV4")</f>
        <v>0</v>
      </c>
      <c r="I35" s="33">
        <f>COUNTIFS(测试用例!C:C,"*1320_034*",测试用例!J:J,"是")</f>
        <v>0</v>
      </c>
      <c r="J35" s="33">
        <f>COUNTIFS(测试用例!C:C,"*1320_034*",测试用例!I:I,"是")</f>
        <v>0</v>
      </c>
      <c r="K35" s="34">
        <f t="shared" si="1"/>
        <v>0.1</v>
      </c>
      <c r="L35" s="34">
        <f t="shared" si="6"/>
        <v>0.1</v>
      </c>
      <c r="M35" s="34">
        <f t="shared" si="7"/>
        <v>0.8</v>
      </c>
      <c r="N35" s="34">
        <f t="shared" si="8"/>
        <v>0</v>
      </c>
      <c r="O35" s="34">
        <f t="shared" si="9"/>
        <v>0</v>
      </c>
      <c r="P35" s="37">
        <f t="shared" si="10"/>
        <v>0</v>
      </c>
      <c r="Q35" s="157" t="s">
        <v>10184</v>
      </c>
      <c r="R35" s="217"/>
    </row>
    <row r="36" spans="1:18" ht="16.5">
      <c r="A36" s="15" t="s">
        <v>10233</v>
      </c>
      <c r="B36" s="15" t="s">
        <v>10234</v>
      </c>
      <c r="C36" s="32">
        <f>COUNTIFS(测试用例!C:C,"*1320_035*")</f>
        <v>15</v>
      </c>
      <c r="D36" s="33">
        <f>COUNTIFS(测试用例!C:C,"*1320_035*",测试用例!H:H,"LV0")</f>
        <v>3</v>
      </c>
      <c r="E36" s="33">
        <f>COUNTIFS(测试用例!C:C,"*1320_035*",测试用例!H:H,"LV1")</f>
        <v>3</v>
      </c>
      <c r="F36" s="33">
        <f>COUNTIFS(测试用例!C:C,"*1320_035*",测试用例!H:H,"LV2")</f>
        <v>9</v>
      </c>
      <c r="G36" s="33">
        <f>COUNTIFS(测试用例!C:C,"*1320_035*",测试用例!H:H,"LV3")</f>
        <v>0</v>
      </c>
      <c r="H36" s="33">
        <f>COUNTIFS(测试用例!C:C,"*1320_035*",测试用例!H:H,"LV4")</f>
        <v>0</v>
      </c>
      <c r="I36" s="33">
        <f>COUNTIFS(测试用例!C:C,"*1320_035*",测试用例!J:J,"是")</f>
        <v>0</v>
      </c>
      <c r="J36" s="33">
        <f>COUNTIFS(测试用例!C:C,"*1320_035*",测试用例!I:I,"是")</f>
        <v>0</v>
      </c>
      <c r="K36" s="34">
        <f t="shared" si="1"/>
        <v>0.2</v>
      </c>
      <c r="L36" s="34">
        <f t="shared" si="6"/>
        <v>0.2</v>
      </c>
      <c r="M36" s="34">
        <f t="shared" si="7"/>
        <v>0.6</v>
      </c>
      <c r="N36" s="34">
        <f t="shared" si="8"/>
        <v>0</v>
      </c>
      <c r="O36" s="34">
        <f t="shared" si="9"/>
        <v>0</v>
      </c>
      <c r="P36" s="37">
        <f t="shared" si="10"/>
        <v>0</v>
      </c>
      <c r="Q36" s="157" t="s">
        <v>10184</v>
      </c>
      <c r="R36" s="217"/>
    </row>
    <row r="37" spans="1:18" ht="16.5">
      <c r="A37" s="15" t="s">
        <v>10235</v>
      </c>
      <c r="B37" s="15" t="s">
        <v>10236</v>
      </c>
      <c r="C37" s="32">
        <f>COUNTIFS(测试用例!C:C,"*1320_036*")</f>
        <v>51</v>
      </c>
      <c r="D37" s="33">
        <f>COUNTIFS(测试用例!C:C,"*1320_036*",测试用例!H:H,"LV0")</f>
        <v>2</v>
      </c>
      <c r="E37" s="33">
        <f>COUNTIFS(测试用例!C:C,"*1320_036*",测试用例!H:H,"LV1")</f>
        <v>30</v>
      </c>
      <c r="F37" s="33">
        <f>COUNTIFS(测试用例!C:C,"*1320_036*",测试用例!H:H,"LV2")</f>
        <v>19</v>
      </c>
      <c r="G37" s="33">
        <f>COUNTIFS(测试用例!C:C,"*1320_036*",测试用例!H:H,"LV3")</f>
        <v>0</v>
      </c>
      <c r="H37" s="33">
        <f>COUNTIFS(测试用例!C:C,"*1320_036*",测试用例!H:H,"LV4")</f>
        <v>0</v>
      </c>
      <c r="I37" s="33">
        <f>COUNTIFS(测试用例!C:C,"*1320_036*",测试用例!J:J,"是")</f>
        <v>0</v>
      </c>
      <c r="J37" s="33">
        <f>COUNTIFS(测试用例!C:C,"*1320_036*",测试用例!I:I,"是")</f>
        <v>0</v>
      </c>
      <c r="K37" s="34">
        <f t="shared" si="1"/>
        <v>3.9215686274509803E-2</v>
      </c>
      <c r="L37" s="34">
        <f t="shared" si="6"/>
        <v>0.58823529411764708</v>
      </c>
      <c r="M37" s="34">
        <f t="shared" si="7"/>
        <v>0.37254901960784315</v>
      </c>
      <c r="N37" s="34">
        <f t="shared" si="8"/>
        <v>0</v>
      </c>
      <c r="O37" s="34">
        <f t="shared" si="9"/>
        <v>0</v>
      </c>
      <c r="P37" s="37">
        <f t="shared" si="10"/>
        <v>0</v>
      </c>
      <c r="Q37" s="158" t="s">
        <v>10237</v>
      </c>
      <c r="R37" s="217"/>
    </row>
    <row r="38" spans="1:18" ht="16.5">
      <c r="A38" s="164" t="s">
        <v>10238</v>
      </c>
      <c r="B38" s="164" t="s">
        <v>10239</v>
      </c>
      <c r="C38" s="32">
        <f>COUNTIFS(测试用例!C:C,"*1320_037*")</f>
        <v>9</v>
      </c>
      <c r="D38" s="33">
        <f>COUNTIFS(测试用例!C:C,"*1320_037*",测试用例!H:H,"LV0")</f>
        <v>1</v>
      </c>
      <c r="E38" s="33">
        <f>COUNTIFS(测试用例!C:C,"*1320_037*",测试用例!H:H,"LV1")</f>
        <v>1</v>
      </c>
      <c r="F38" s="33">
        <f>COUNTIFS(测试用例!C:C,"*1320_037*",测试用例!H:H,"LV2")</f>
        <v>7</v>
      </c>
      <c r="G38" s="33">
        <f>COUNTIFS(测试用例!C:C,"*1320_037*",测试用例!H:H,"LV3")</f>
        <v>0</v>
      </c>
      <c r="H38" s="33">
        <f>COUNTIFS(测试用例!C:C,"*1320_037*",测试用例!H:H,"LV4")</f>
        <v>0</v>
      </c>
      <c r="I38" s="33">
        <f>COUNTIFS(测试用例!C:C,"*1320_037*",测试用例!J:J,"是")</f>
        <v>0</v>
      </c>
      <c r="J38" s="33">
        <f>COUNTIFS(测试用例!C:C,"*1320_037*",测试用例!I:I,"是")</f>
        <v>0</v>
      </c>
      <c r="K38" s="34">
        <f t="shared" si="1"/>
        <v>0.1111111111111111</v>
      </c>
      <c r="L38" s="34">
        <f t="shared" ref="L38:L45" si="11">E38/C38</f>
        <v>0.1111111111111111</v>
      </c>
      <c r="M38" s="34">
        <f t="shared" ref="M38:M45" si="12">F38/C38</f>
        <v>0.77777777777777779</v>
      </c>
      <c r="N38" s="34">
        <f t="shared" ref="N38:N45" si="13">G38/C38</f>
        <v>0</v>
      </c>
      <c r="O38" s="34">
        <f t="shared" ref="O38:O45" si="14">H38/C38</f>
        <v>0</v>
      </c>
      <c r="P38" s="37">
        <f t="shared" ref="P38:P45" si="15">J38/C38</f>
        <v>0</v>
      </c>
      <c r="Q38" s="158" t="s">
        <v>10240</v>
      </c>
      <c r="R38" s="217"/>
    </row>
    <row r="39" spans="1:18" ht="16.5">
      <c r="A39" s="164" t="s">
        <v>10241</v>
      </c>
      <c r="B39" s="164" t="s">
        <v>10242</v>
      </c>
      <c r="C39" s="32">
        <f>COUNTIFS(测试用例!C:C,"*1320_038*")</f>
        <v>13</v>
      </c>
      <c r="D39" s="33">
        <f>COUNTIFS(测试用例!C:C,"*1320_038*",测试用例!H:H,"LV0")</f>
        <v>1</v>
      </c>
      <c r="E39" s="33">
        <f>COUNTIFS(测试用例!C:C,"*1320_038*",测试用例!H:H,"LV1")</f>
        <v>0</v>
      </c>
      <c r="F39" s="33">
        <f>COUNTIFS(测试用例!C:C,"*1320_038*",测试用例!H:H,"LV2")</f>
        <v>9</v>
      </c>
      <c r="G39" s="33">
        <f>COUNTIFS(测试用例!C:C,"*1320_038*",测试用例!H:H,"LV3")</f>
        <v>2</v>
      </c>
      <c r="H39" s="33">
        <f>COUNTIFS(测试用例!C:C,"*1320_038*",测试用例!H:H,"LV4")</f>
        <v>1</v>
      </c>
      <c r="I39" s="33">
        <f>COUNTIFS(测试用例!C:C,"*1320_038*",测试用例!J:J,"是")</f>
        <v>0</v>
      </c>
      <c r="J39" s="33">
        <f>COUNTIFS(测试用例!C:C,"*1320_038*",测试用例!I:I,"是")</f>
        <v>0</v>
      </c>
      <c r="K39" s="34">
        <f t="shared" si="1"/>
        <v>7.6923076923076927E-2</v>
      </c>
      <c r="L39" s="34">
        <f t="shared" si="11"/>
        <v>0</v>
      </c>
      <c r="M39" s="34">
        <f t="shared" si="12"/>
        <v>0.69230769230769229</v>
      </c>
      <c r="N39" s="34">
        <f t="shared" si="13"/>
        <v>0.15384615384615385</v>
      </c>
      <c r="O39" s="34">
        <f t="shared" si="14"/>
        <v>7.6923076923076927E-2</v>
      </c>
      <c r="P39" s="37">
        <f t="shared" si="15"/>
        <v>0</v>
      </c>
      <c r="Q39" s="158" t="s">
        <v>10240</v>
      </c>
      <c r="R39" s="217"/>
    </row>
    <row r="40" spans="1:18" ht="16.5">
      <c r="A40" s="164" t="s">
        <v>10243</v>
      </c>
      <c r="B40" s="164" t="s">
        <v>10244</v>
      </c>
      <c r="C40" s="32">
        <f>COUNTIFS(测试用例!C:C,"*1320_039*")</f>
        <v>15</v>
      </c>
      <c r="D40" s="33">
        <f>COUNTIFS(测试用例!C:C,"*1320_039*",测试用例!H:H,"LV0")</f>
        <v>2</v>
      </c>
      <c r="E40" s="33">
        <f>COUNTIFS(测试用例!C:C,"*1320_039*",测试用例!H:H,"LV1")</f>
        <v>1</v>
      </c>
      <c r="F40" s="33">
        <f>COUNTIFS(测试用例!C:C,"*1320_039*",测试用例!H:H,"LV2")</f>
        <v>11</v>
      </c>
      <c r="G40" s="33">
        <f>COUNTIFS(测试用例!C:C,"*1320_039*",测试用例!H:H,"LV3")</f>
        <v>0</v>
      </c>
      <c r="H40" s="33">
        <f>COUNTIFS(测试用例!C:C,"*1320_039*",测试用例!H:H,"LV4")</f>
        <v>0</v>
      </c>
      <c r="I40" s="33">
        <f>COUNTIFS(测试用例!C:C,"*1320_039*",测试用例!J:J,"是")</f>
        <v>0</v>
      </c>
      <c r="J40" s="33">
        <f>COUNTIFS(测试用例!C:C,"*1320_039*",测试用例!I:I,"是")</f>
        <v>0</v>
      </c>
      <c r="K40" s="34">
        <f t="shared" si="1"/>
        <v>0.13333333333333333</v>
      </c>
      <c r="L40" s="34">
        <f t="shared" si="11"/>
        <v>6.6666666666666666E-2</v>
      </c>
      <c r="M40" s="34">
        <f t="shared" si="12"/>
        <v>0.73333333333333328</v>
      </c>
      <c r="N40" s="34">
        <f t="shared" si="13"/>
        <v>0</v>
      </c>
      <c r="O40" s="34">
        <f t="shared" si="14"/>
        <v>0</v>
      </c>
      <c r="P40" s="37">
        <f t="shared" si="15"/>
        <v>0</v>
      </c>
      <c r="Q40" s="158" t="s">
        <v>10240</v>
      </c>
      <c r="R40" s="217"/>
    </row>
    <row r="41" spans="1:18" ht="16.5">
      <c r="A41" s="164" t="s">
        <v>10245</v>
      </c>
      <c r="B41" s="164" t="s">
        <v>10246</v>
      </c>
      <c r="C41" s="32">
        <f>COUNTIFS(测试用例!C:C,"*1320_040*")</f>
        <v>16</v>
      </c>
      <c r="D41" s="33">
        <f>COUNTIFS(测试用例!C:C,"*1320_040*",测试用例!H:H,"LV0")</f>
        <v>3</v>
      </c>
      <c r="E41" s="33">
        <f>COUNTIFS(测试用例!C:C,"*1320_040*",测试用例!H:H,"LV1")</f>
        <v>3</v>
      </c>
      <c r="F41" s="33">
        <f>COUNTIFS(测试用例!C:C,"*1320_040*",测试用例!H:H,"LV2")</f>
        <v>5</v>
      </c>
      <c r="G41" s="33">
        <f>COUNTIFS(测试用例!C:C,"*1320_040*",测试用例!H:H,"LV3")</f>
        <v>3</v>
      </c>
      <c r="H41" s="33">
        <f>COUNTIFS(测试用例!C:C,"*1320_040*",测试用例!H:H,"LV4")</f>
        <v>2</v>
      </c>
      <c r="I41" s="33">
        <f>COUNTIFS(测试用例!C:C,"*1320_040*",测试用例!J:J,"是")</f>
        <v>0</v>
      </c>
      <c r="J41" s="33">
        <f>COUNTIFS(测试用例!C:C,"*1320_040*",测试用例!I:I,"是")</f>
        <v>0</v>
      </c>
      <c r="K41" s="34">
        <f t="shared" si="1"/>
        <v>0.1875</v>
      </c>
      <c r="L41" s="34">
        <f t="shared" si="11"/>
        <v>0.1875</v>
      </c>
      <c r="M41" s="34">
        <f t="shared" si="12"/>
        <v>0.3125</v>
      </c>
      <c r="N41" s="34">
        <f t="shared" si="13"/>
        <v>0.1875</v>
      </c>
      <c r="O41" s="34">
        <f t="shared" si="14"/>
        <v>0.125</v>
      </c>
      <c r="P41" s="37">
        <f t="shared" si="15"/>
        <v>0</v>
      </c>
      <c r="Q41" s="158" t="s">
        <v>10240</v>
      </c>
      <c r="R41" s="217"/>
    </row>
    <row r="42" spans="1:18" ht="16.5">
      <c r="A42" s="164" t="s">
        <v>10247</v>
      </c>
      <c r="B42" s="164" t="s">
        <v>10248</v>
      </c>
      <c r="C42" s="32">
        <f>COUNTIFS(测试用例!C:C,"*1320_042*")</f>
        <v>65</v>
      </c>
      <c r="D42" s="33">
        <f>COUNTIFS(测试用例!C:C,"*1320_042*",测试用例!H:H,"LV0")</f>
        <v>5</v>
      </c>
      <c r="E42" s="33">
        <f>COUNTIFS(测试用例!C:C,"*1320_042*",测试用例!H:H,"LV1")</f>
        <v>7</v>
      </c>
      <c r="F42" s="33">
        <f>COUNTIFS(测试用例!C:C,"*1320_042*",测试用例!H:H,"LV2")</f>
        <v>52</v>
      </c>
      <c r="G42" s="33">
        <f>COUNTIFS(测试用例!C:C,"*1320_042*",测试用例!H:H,"LV3")</f>
        <v>1</v>
      </c>
      <c r="H42" s="33">
        <f>COUNTIFS(测试用例!C:C,"*1320_042*",测试用例!H:H,"LV4")</f>
        <v>0</v>
      </c>
      <c r="I42" s="33">
        <f>COUNTIFS(测试用例!C:C,"*1320_042*",测试用例!J:J,"是")</f>
        <v>0</v>
      </c>
      <c r="J42" s="33">
        <f>COUNTIFS(测试用例!C:C,"*1320_042*",测试用例!I:I,"是")</f>
        <v>0</v>
      </c>
      <c r="K42" s="34">
        <f t="shared" si="1"/>
        <v>7.6923076923076927E-2</v>
      </c>
      <c r="L42" s="34">
        <f t="shared" si="11"/>
        <v>0.1076923076923077</v>
      </c>
      <c r="M42" s="34">
        <f t="shared" si="12"/>
        <v>0.8</v>
      </c>
      <c r="N42" s="34">
        <f t="shared" si="13"/>
        <v>1.5384615384615385E-2</v>
      </c>
      <c r="O42" s="34">
        <f t="shared" si="14"/>
        <v>0</v>
      </c>
      <c r="P42" s="37">
        <f t="shared" si="15"/>
        <v>0</v>
      </c>
      <c r="Q42" s="158" t="s">
        <v>10240</v>
      </c>
      <c r="R42" s="217"/>
    </row>
    <row r="43" spans="1:18" ht="16.5">
      <c r="A43" s="164" t="s">
        <v>10249</v>
      </c>
      <c r="B43" s="164" t="s">
        <v>10250</v>
      </c>
      <c r="C43" s="32">
        <f>COUNTIFS(测试用例!C:C,"*1320_043*")</f>
        <v>60</v>
      </c>
      <c r="D43" s="33">
        <f>COUNTIFS(测试用例!C:C,"*1320_043*",测试用例!H:H,"LV0")</f>
        <v>6</v>
      </c>
      <c r="E43" s="33">
        <f>COUNTIFS(测试用例!C:C,"*1320_043*",测试用例!H:H,"LV1")</f>
        <v>16</v>
      </c>
      <c r="F43" s="33">
        <f>COUNTIFS(测试用例!C:C,"*1320_043*",测试用例!H:H,"LV2")</f>
        <v>29</v>
      </c>
      <c r="G43" s="33">
        <f>COUNTIFS(测试用例!C:C,"*1320_043*",测试用例!H:H,"LV3")</f>
        <v>7</v>
      </c>
      <c r="H43" s="33">
        <f>COUNTIFS(测试用例!C:C,"*1320_043*",测试用例!H:H,"LV4")</f>
        <v>0</v>
      </c>
      <c r="I43" s="33">
        <f>COUNTIFS(测试用例!C:C,"*1320_043*",测试用例!J:J,"是")</f>
        <v>0</v>
      </c>
      <c r="J43" s="33">
        <f>COUNTIFS(测试用例!C:C,"*1320_043*",测试用例!I:I,"是")</f>
        <v>0</v>
      </c>
      <c r="K43" s="34">
        <f t="shared" si="1"/>
        <v>0.1</v>
      </c>
      <c r="L43" s="34">
        <f t="shared" si="11"/>
        <v>0.26666666666666666</v>
      </c>
      <c r="M43" s="34">
        <f t="shared" si="12"/>
        <v>0.48333333333333334</v>
      </c>
      <c r="N43" s="34">
        <f t="shared" si="13"/>
        <v>0.11666666666666667</v>
      </c>
      <c r="O43" s="34">
        <f t="shared" si="14"/>
        <v>0</v>
      </c>
      <c r="P43" s="37">
        <f t="shared" si="15"/>
        <v>0</v>
      </c>
      <c r="Q43" s="158" t="s">
        <v>10240</v>
      </c>
      <c r="R43" s="217"/>
    </row>
    <row r="44" spans="1:18" ht="16.5">
      <c r="A44" s="164" t="s">
        <v>10251</v>
      </c>
      <c r="B44" s="164" t="s">
        <v>10252</v>
      </c>
      <c r="C44" s="32">
        <f>COUNTIFS(测试用例!C:C,"*1320_044*")</f>
        <v>25</v>
      </c>
      <c r="D44" s="33">
        <f>COUNTIFS(测试用例!C:C,"*1320_044*",测试用例!H:H,"LV0")</f>
        <v>2</v>
      </c>
      <c r="E44" s="33">
        <f>COUNTIFS(测试用例!C:C,"*1320_044*",测试用例!H:H,"LV1")</f>
        <v>6</v>
      </c>
      <c r="F44" s="33">
        <f>COUNTIFS(测试用例!C:C,"*1320_044*",测试用例!H:H,"LV2")</f>
        <v>14</v>
      </c>
      <c r="G44" s="33">
        <f>COUNTIFS(测试用例!C:C,"*1320_044*",测试用例!H:H,"LV3")</f>
        <v>2</v>
      </c>
      <c r="H44" s="33">
        <f>COUNTIFS(测试用例!C:C,"*1320_044*",测试用例!H:H,"LV4")</f>
        <v>1</v>
      </c>
      <c r="I44" s="33">
        <f>COUNTIFS(测试用例!C:C,"*1320_044*",测试用例!J:J,"是")</f>
        <v>0</v>
      </c>
      <c r="J44" s="33">
        <f>COUNTIFS(测试用例!C:C,"*1320_044*",测试用例!I:I,"是")</f>
        <v>0</v>
      </c>
      <c r="K44" s="34">
        <f t="shared" si="1"/>
        <v>0.08</v>
      </c>
      <c r="L44" s="34">
        <f t="shared" si="11"/>
        <v>0.24</v>
      </c>
      <c r="M44" s="34">
        <f t="shared" si="12"/>
        <v>0.56000000000000005</v>
      </c>
      <c r="N44" s="34">
        <f t="shared" si="13"/>
        <v>0.08</v>
      </c>
      <c r="O44" s="34">
        <f t="shared" si="14"/>
        <v>0.04</v>
      </c>
      <c r="P44" s="37">
        <f t="shared" si="15"/>
        <v>0</v>
      </c>
      <c r="Q44" s="158" t="s">
        <v>10240</v>
      </c>
      <c r="R44" s="217"/>
    </row>
    <row r="45" spans="1:18" ht="16.5">
      <c r="A45" s="164" t="s">
        <v>10253</v>
      </c>
      <c r="B45" s="164" t="s">
        <v>10254</v>
      </c>
      <c r="C45" s="32">
        <f>COUNTIFS(测试用例!C:C,"*1320_045*")</f>
        <v>63</v>
      </c>
      <c r="D45" s="33">
        <f>COUNTIFS(测试用例!C:C,"*1320_045*",测试用例!H:H,"LV0")</f>
        <v>3</v>
      </c>
      <c r="E45" s="33">
        <f>COUNTIFS(测试用例!C:C,"*1320_045*",测试用例!H:H,"LV1")</f>
        <v>4</v>
      </c>
      <c r="F45" s="33">
        <f>COUNTIFS(测试用例!C:C,"*1320_045*",测试用例!H:H,"LV2")</f>
        <v>44</v>
      </c>
      <c r="G45" s="33">
        <f>COUNTIFS(测试用例!C:C,"*1320_045*",测试用例!H:H,"LV3")</f>
        <v>3</v>
      </c>
      <c r="H45" s="33">
        <f>COUNTIFS(测试用例!C:C,"*1320_045*",测试用例!H:H,"LV4")</f>
        <v>9</v>
      </c>
      <c r="I45" s="33">
        <f>COUNTIFS(测试用例!C:C,"*1320_045*",测试用例!J:J,"是")</f>
        <v>0</v>
      </c>
      <c r="J45" s="33">
        <f>COUNTIFS(测试用例!C:C,"*1320_045*",测试用例!I:I,"是")</f>
        <v>0</v>
      </c>
      <c r="K45" s="34">
        <f t="shared" si="1"/>
        <v>4.7619047619047616E-2</v>
      </c>
      <c r="L45" s="34">
        <f t="shared" si="11"/>
        <v>6.3492063492063489E-2</v>
      </c>
      <c r="M45" s="34">
        <f t="shared" si="12"/>
        <v>0.69841269841269837</v>
      </c>
      <c r="N45" s="34">
        <f t="shared" si="13"/>
        <v>4.7619047619047616E-2</v>
      </c>
      <c r="O45" s="34">
        <f t="shared" si="14"/>
        <v>0.14285714285714285</v>
      </c>
      <c r="P45" s="37">
        <f t="shared" si="15"/>
        <v>0</v>
      </c>
      <c r="Q45" s="158" t="s">
        <v>10240</v>
      </c>
      <c r="R45" s="217"/>
    </row>
    <row r="46" spans="1:18" ht="16.5">
      <c r="A46" s="164" t="s">
        <v>10255</v>
      </c>
      <c r="B46" s="164" t="s">
        <v>10256</v>
      </c>
      <c r="C46" s="32">
        <f>COUNTIFS(测试用例!C:C,"*1320_046*")</f>
        <v>115</v>
      </c>
      <c r="D46" s="33">
        <f>COUNTIFS(测试用例!C:C,"*1320_046*",测试用例!H:H,"LV0")</f>
        <v>11</v>
      </c>
      <c r="E46" s="33">
        <f>COUNTIFS(测试用例!C:C,"*1320_046*",测试用例!H:H,"LV1")</f>
        <v>9</v>
      </c>
      <c r="F46" s="33">
        <f>COUNTIFS(测试用例!C:C,"*1320_046*",测试用例!H:H,"LV2")</f>
        <v>88</v>
      </c>
      <c r="G46" s="33">
        <f>COUNTIFS(测试用例!C:C,"*1320_046*",测试用例!H:H,"LV3")</f>
        <v>3</v>
      </c>
      <c r="H46" s="33">
        <f>COUNTIFS(测试用例!C:C,"*1320_046*",测试用例!H:H,"LV4")</f>
        <v>0</v>
      </c>
      <c r="I46" s="33">
        <f>COUNTIFS(测试用例!C:C,"*1320_046*",测试用例!J:J,"是")</f>
        <v>0</v>
      </c>
      <c r="J46" s="33">
        <f>COUNTIFS(测试用例!C:C,"*1320_046*",测试用例!I:I,"是")</f>
        <v>0</v>
      </c>
      <c r="K46" s="34">
        <f t="shared" ref="K46" si="16">D46/C46</f>
        <v>9.5652173913043481E-2</v>
      </c>
      <c r="L46" s="34">
        <f t="shared" ref="L46" si="17">E46/C46</f>
        <v>7.8260869565217397E-2</v>
      </c>
      <c r="M46" s="34">
        <f t="shared" ref="M46" si="18">F46/C46</f>
        <v>0.76521739130434785</v>
      </c>
      <c r="N46" s="34">
        <f t="shared" ref="N46" si="19">G46/C46</f>
        <v>2.6086956521739129E-2</v>
      </c>
      <c r="O46" s="34">
        <f t="shared" ref="O46" si="20">H46/C46</f>
        <v>0</v>
      </c>
      <c r="P46" s="37">
        <f t="shared" ref="P46" si="21">J46/C46</f>
        <v>0</v>
      </c>
      <c r="Q46" s="158" t="s">
        <v>10240</v>
      </c>
      <c r="R46" s="217"/>
    </row>
    <row r="47" spans="1:18" ht="16.5">
      <c r="A47" s="14" t="s">
        <v>10257</v>
      </c>
      <c r="B47" s="15"/>
      <c r="C47" s="32">
        <f t="shared" ref="C47:J47" si="22">SUM(C2:C46)</f>
        <v>1835</v>
      </c>
      <c r="D47" s="32">
        <f t="shared" si="22"/>
        <v>143</v>
      </c>
      <c r="E47" s="32">
        <f t="shared" si="22"/>
        <v>417</v>
      </c>
      <c r="F47" s="32">
        <f t="shared" si="22"/>
        <v>897</v>
      </c>
      <c r="G47" s="32">
        <f t="shared" si="22"/>
        <v>260</v>
      </c>
      <c r="H47" s="32">
        <f t="shared" si="22"/>
        <v>94</v>
      </c>
      <c r="I47" s="32">
        <f t="shared" si="22"/>
        <v>0</v>
      </c>
      <c r="J47" s="32">
        <f t="shared" si="22"/>
        <v>166</v>
      </c>
      <c r="K47" s="36">
        <f>D47/C47</f>
        <v>7.7929155313351497E-2</v>
      </c>
      <c r="L47" s="36">
        <f>E47/C47</f>
        <v>0.22724795640326975</v>
      </c>
      <c r="M47" s="36">
        <f>F47/C47</f>
        <v>0.4888283378746594</v>
      </c>
      <c r="N47" s="36">
        <f>G47/C47</f>
        <v>0.14168937329700274</v>
      </c>
      <c r="O47" s="36">
        <f>H47/C47</f>
        <v>5.1226158038147139E-2</v>
      </c>
      <c r="P47" s="36">
        <f>J47/C47</f>
        <v>9.0463215258855589E-2</v>
      </c>
      <c r="Q47" s="155"/>
      <c r="R47" s="217"/>
    </row>
    <row r="50" spans="4:4">
      <c r="D50" s="163" t="s">
        <v>10258</v>
      </c>
    </row>
  </sheetData>
  <phoneticPr fontId="12" type="noConversion"/>
  <conditionalFormatting sqref="K2:K47">
    <cfRule type="cellIs" dxfId="13" priority="6" stopIfTrue="1" operator="notBetween">
      <formula>8%</formula>
      <formula>12%</formula>
    </cfRule>
  </conditionalFormatting>
  <conditionalFormatting sqref="L2:L47">
    <cfRule type="cellIs" dxfId="12" priority="5" stopIfTrue="1" operator="notBetween">
      <formula>13%</formula>
      <formula>20%</formula>
    </cfRule>
  </conditionalFormatting>
  <conditionalFormatting sqref="M2:M47">
    <cfRule type="cellIs" dxfId="11" priority="4" stopIfTrue="1" operator="notBetween">
      <formula>35%</formula>
      <formula>45%</formula>
    </cfRule>
  </conditionalFormatting>
  <conditionalFormatting sqref="N2:N47">
    <cfRule type="cellIs" dxfId="10" priority="3" stopIfTrue="1" operator="greaterThan">
      <formula>25%</formula>
    </cfRule>
  </conditionalFormatting>
  <conditionalFormatting sqref="O2:O47">
    <cfRule type="cellIs" dxfId="9" priority="2" stopIfTrue="1" operator="greaterThan">
      <formula>15%</formula>
    </cfRule>
  </conditionalFormatting>
  <conditionalFormatting sqref="Q1:R1 P1:P1048576">
    <cfRule type="cellIs" dxfId="8" priority="1" operator="between">
      <formula>0.5</formula>
      <formula>1</formula>
    </cfRule>
  </conditionalFormatting>
  <pageMargins left="0.7" right="0.7" top="0.75" bottom="0.75" header="0.3" footer="0.3"/>
  <pageSetup paperSize="9" orientation="portrait" horizontalDpi="0" verticalDpi="0" copies="1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1E5E-1117-4627-A9A1-E45FB8AB5D0E}">
  <dimension ref="A1:C6"/>
  <sheetViews>
    <sheetView workbookViewId="0">
      <selection activeCell="D17" sqref="D17"/>
    </sheetView>
  </sheetViews>
  <sheetFormatPr defaultColWidth="9" defaultRowHeight="17.25"/>
  <cols>
    <col min="1" max="2" width="9" style="1"/>
    <col min="3" max="3" width="56" style="1" bestFit="1" customWidth="1"/>
    <col min="4" max="16384" width="9" style="1"/>
  </cols>
  <sheetData>
    <row r="1" spans="1:3" ht="18">
      <c r="A1" s="2" t="s">
        <v>10259</v>
      </c>
      <c r="B1" s="3" t="s">
        <v>10260</v>
      </c>
      <c r="C1" s="4" t="s">
        <v>10261</v>
      </c>
    </row>
    <row r="2" spans="1:3">
      <c r="A2" s="5" t="s">
        <v>30</v>
      </c>
      <c r="B2" s="35">
        <v>0.1</v>
      </c>
      <c r="C2" s="6" t="s">
        <v>10262</v>
      </c>
    </row>
    <row r="3" spans="1:3">
      <c r="A3" s="5" t="s">
        <v>41</v>
      </c>
      <c r="B3" s="35">
        <v>0.15</v>
      </c>
      <c r="C3" s="6" t="s">
        <v>10263</v>
      </c>
    </row>
    <row r="4" spans="1:3">
      <c r="A4" s="5" t="s">
        <v>24</v>
      </c>
      <c r="B4" s="35">
        <v>0.4</v>
      </c>
      <c r="C4" s="6" t="s">
        <v>10264</v>
      </c>
    </row>
    <row r="5" spans="1:3">
      <c r="A5" s="5" t="s">
        <v>36</v>
      </c>
      <c r="B5" s="35">
        <v>0.25</v>
      </c>
      <c r="C5" s="6" t="s">
        <v>10265</v>
      </c>
    </row>
    <row r="6" spans="1:3">
      <c r="A6" s="7" t="s">
        <v>62</v>
      </c>
      <c r="B6" s="8">
        <v>0.1</v>
      </c>
      <c r="C6" s="9" t="s">
        <v>10266</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D989-4858-48CD-88DC-E54DC4EE269F}">
  <dimension ref="A1:J140"/>
  <sheetViews>
    <sheetView workbookViewId="0">
      <selection activeCell="D4" sqref="D4"/>
    </sheetView>
  </sheetViews>
  <sheetFormatPr defaultColWidth="9" defaultRowHeight="12"/>
  <cols>
    <col min="1" max="1" width="19.125" style="43" customWidth="1"/>
    <col min="2" max="2" width="15.125" style="43" customWidth="1"/>
    <col min="3" max="3" width="26.5" style="43" customWidth="1"/>
    <col min="4" max="4" width="26.875" style="43" customWidth="1"/>
    <col min="5" max="5" width="60.375" style="72" customWidth="1"/>
    <col min="6" max="6" width="43.5" style="72" customWidth="1"/>
    <col min="7" max="7" width="11.875" style="43" customWidth="1"/>
    <col min="8" max="8" width="12.75" style="43" customWidth="1"/>
    <col min="9" max="9" width="11.25" style="43" customWidth="1"/>
    <col min="10" max="10" width="20.25" style="64" customWidth="1"/>
    <col min="11" max="16384" width="9" style="43"/>
  </cols>
  <sheetData>
    <row r="1" spans="1:10" ht="20.25" customHeight="1">
      <c r="A1" s="39" t="s">
        <v>6</v>
      </c>
      <c r="B1" s="39" t="s">
        <v>8</v>
      </c>
      <c r="C1" s="39" t="s">
        <v>9</v>
      </c>
      <c r="D1" s="28" t="s">
        <v>10</v>
      </c>
      <c r="E1" s="40" t="s">
        <v>11</v>
      </c>
      <c r="F1" s="41" t="s">
        <v>12</v>
      </c>
      <c r="G1" s="28" t="s">
        <v>10267</v>
      </c>
      <c r="H1" s="39" t="s">
        <v>17</v>
      </c>
      <c r="I1" s="28" t="s">
        <v>18</v>
      </c>
      <c r="J1" s="39" t="s">
        <v>19</v>
      </c>
    </row>
    <row r="2" spans="1:10" ht="82.5">
      <c r="A2" s="171" t="s">
        <v>21</v>
      </c>
      <c r="B2" s="172" t="s">
        <v>26</v>
      </c>
      <c r="C2" s="172" t="s">
        <v>27</v>
      </c>
      <c r="D2" s="172" t="s">
        <v>23</v>
      </c>
      <c r="E2" s="172" t="s">
        <v>28</v>
      </c>
      <c r="F2" s="189" t="s">
        <v>29</v>
      </c>
      <c r="G2" s="281" t="s">
        <v>30</v>
      </c>
      <c r="H2" s="47" t="s">
        <v>10268</v>
      </c>
      <c r="I2" s="49" t="s">
        <v>10269</v>
      </c>
      <c r="J2" s="55" t="s">
        <v>10270</v>
      </c>
    </row>
    <row r="3" spans="1:10" ht="108">
      <c r="A3" s="178" t="s">
        <v>43</v>
      </c>
      <c r="B3" s="172" t="s">
        <v>44</v>
      </c>
      <c r="C3" s="172" t="s">
        <v>45</v>
      </c>
      <c r="D3" s="172" t="s">
        <v>46</v>
      </c>
      <c r="E3" s="172" t="s">
        <v>47</v>
      </c>
      <c r="F3" s="189" t="s">
        <v>48</v>
      </c>
      <c r="G3" s="281" t="s">
        <v>30</v>
      </c>
      <c r="H3" s="19"/>
      <c r="I3" s="19"/>
      <c r="J3" s="20"/>
    </row>
    <row r="4" spans="1:10" ht="108">
      <c r="A4" s="208" t="s">
        <v>96</v>
      </c>
      <c r="B4" s="248" t="s">
        <v>97</v>
      </c>
      <c r="C4" s="183" t="s">
        <v>98</v>
      </c>
      <c r="D4" s="183" t="s">
        <v>46</v>
      </c>
      <c r="E4" s="183" t="s">
        <v>99</v>
      </c>
      <c r="F4" s="202" t="s">
        <v>100</v>
      </c>
      <c r="G4" s="281" t="s">
        <v>30</v>
      </c>
      <c r="H4" s="19"/>
      <c r="I4" s="19"/>
      <c r="J4" s="20"/>
    </row>
    <row r="5" spans="1:10" ht="81">
      <c r="A5" s="178" t="s">
        <v>126</v>
      </c>
      <c r="B5" s="172" t="s">
        <v>127</v>
      </c>
      <c r="C5" s="172" t="s">
        <v>128</v>
      </c>
      <c r="D5" s="172" t="s">
        <v>46</v>
      </c>
      <c r="E5" s="172" t="s">
        <v>129</v>
      </c>
      <c r="F5" s="189" t="s">
        <v>130</v>
      </c>
      <c r="G5" s="281" t="s">
        <v>30</v>
      </c>
      <c r="H5" s="19"/>
      <c r="I5" s="19"/>
      <c r="J5" s="20"/>
    </row>
    <row r="6" spans="1:10" ht="54">
      <c r="A6" s="208" t="s">
        <v>165</v>
      </c>
      <c r="B6" s="248" t="s">
        <v>166</v>
      </c>
      <c r="C6" s="183" t="s">
        <v>167</v>
      </c>
      <c r="D6" s="183" t="s">
        <v>168</v>
      </c>
      <c r="E6" s="183" t="s">
        <v>169</v>
      </c>
      <c r="F6" s="202" t="s">
        <v>170</v>
      </c>
      <c r="G6" s="281" t="s">
        <v>30</v>
      </c>
      <c r="H6" s="19"/>
      <c r="I6" s="19"/>
      <c r="J6" s="20"/>
    </row>
    <row r="7" spans="1:10" ht="67.5">
      <c r="A7" s="208" t="s">
        <v>171</v>
      </c>
      <c r="B7" s="248" t="s">
        <v>172</v>
      </c>
      <c r="C7" s="183" t="s">
        <v>173</v>
      </c>
      <c r="D7" s="183" t="s">
        <v>174</v>
      </c>
      <c r="E7" s="183" t="s">
        <v>175</v>
      </c>
      <c r="F7" s="202" t="s">
        <v>176</v>
      </c>
      <c r="G7" s="281" t="s">
        <v>30</v>
      </c>
      <c r="H7" s="19"/>
      <c r="I7" s="19"/>
      <c r="J7" s="20"/>
    </row>
    <row r="8" spans="1:10" ht="94.5">
      <c r="A8" s="178" t="s">
        <v>228</v>
      </c>
      <c r="B8" s="248" t="s">
        <v>229</v>
      </c>
      <c r="C8" s="183" t="s">
        <v>230</v>
      </c>
      <c r="D8" s="183" t="s">
        <v>207</v>
      </c>
      <c r="E8" s="183" t="s">
        <v>231</v>
      </c>
      <c r="F8" s="202" t="s">
        <v>232</v>
      </c>
      <c r="G8" s="281" t="s">
        <v>233</v>
      </c>
      <c r="H8" s="19"/>
      <c r="I8" s="19"/>
      <c r="J8" s="20"/>
    </row>
    <row r="9" spans="1:10" ht="67.5">
      <c r="A9" s="178" t="s">
        <v>234</v>
      </c>
      <c r="B9" s="172" t="s">
        <v>259</v>
      </c>
      <c r="C9" s="183" t="s">
        <v>260</v>
      </c>
      <c r="D9" s="172" t="s">
        <v>261</v>
      </c>
      <c r="E9" s="172" t="s">
        <v>262</v>
      </c>
      <c r="F9" s="189" t="s">
        <v>263</v>
      </c>
      <c r="G9" s="281" t="s">
        <v>30</v>
      </c>
      <c r="H9" s="19"/>
      <c r="I9" s="19"/>
      <c r="J9" s="20"/>
    </row>
    <row r="10" spans="1:10" ht="81">
      <c r="A10" s="171" t="s">
        <v>291</v>
      </c>
      <c r="B10" s="172" t="s">
        <v>292</v>
      </c>
      <c r="C10" s="183" t="s">
        <v>293</v>
      </c>
      <c r="D10" s="172" t="s">
        <v>207</v>
      </c>
      <c r="E10" s="183" t="s">
        <v>294</v>
      </c>
      <c r="F10" s="202" t="s">
        <v>295</v>
      </c>
      <c r="G10" s="281" t="s">
        <v>30</v>
      </c>
      <c r="H10" s="19"/>
      <c r="I10" s="19"/>
      <c r="J10" s="20"/>
    </row>
    <row r="11" spans="1:10" ht="67.5">
      <c r="A11" s="178" t="s">
        <v>309</v>
      </c>
      <c r="B11" s="172" t="s">
        <v>314</v>
      </c>
      <c r="C11" s="172" t="s">
        <v>315</v>
      </c>
      <c r="D11" s="172" t="s">
        <v>207</v>
      </c>
      <c r="E11" s="172" t="s">
        <v>316</v>
      </c>
      <c r="F11" s="189" t="s">
        <v>317</v>
      </c>
      <c r="G11" s="281" t="s">
        <v>233</v>
      </c>
      <c r="H11" s="19"/>
      <c r="I11" s="19"/>
      <c r="J11" s="20"/>
    </row>
    <row r="12" spans="1:10" ht="67.5">
      <c r="A12" s="171" t="s">
        <v>346</v>
      </c>
      <c r="B12" s="172" t="s">
        <v>347</v>
      </c>
      <c r="C12" s="172" t="s">
        <v>348</v>
      </c>
      <c r="D12" s="172" t="s">
        <v>207</v>
      </c>
      <c r="E12" s="172" t="s">
        <v>349</v>
      </c>
      <c r="F12" s="189" t="s">
        <v>350</v>
      </c>
      <c r="G12" s="281" t="s">
        <v>30</v>
      </c>
      <c r="H12" s="19"/>
      <c r="I12" s="19"/>
      <c r="J12" s="20"/>
    </row>
    <row r="13" spans="1:10" ht="54">
      <c r="A13" s="185" t="s">
        <v>356</v>
      </c>
      <c r="B13" s="172" t="s">
        <v>357</v>
      </c>
      <c r="C13" s="172" t="s">
        <v>358</v>
      </c>
      <c r="D13" s="172" t="s">
        <v>359</v>
      </c>
      <c r="E13" s="172" t="s">
        <v>360</v>
      </c>
      <c r="F13" s="189" t="s">
        <v>361</v>
      </c>
      <c r="G13" s="281" t="s">
        <v>30</v>
      </c>
      <c r="H13" s="19"/>
      <c r="I13" s="19"/>
      <c r="J13" s="20"/>
    </row>
    <row r="14" spans="1:10" ht="54">
      <c r="A14" s="208" t="s">
        <v>374</v>
      </c>
      <c r="B14" s="248" t="s">
        <v>379</v>
      </c>
      <c r="C14" s="183" t="s">
        <v>380</v>
      </c>
      <c r="D14" s="183" t="s">
        <v>359</v>
      </c>
      <c r="E14" s="183" t="s">
        <v>381</v>
      </c>
      <c r="F14" s="202" t="s">
        <v>378</v>
      </c>
      <c r="G14" s="281" t="s">
        <v>30</v>
      </c>
      <c r="H14" s="19"/>
      <c r="I14" s="19"/>
      <c r="J14" s="20"/>
    </row>
    <row r="15" spans="1:10" ht="94.5">
      <c r="A15" s="208" t="s">
        <v>386</v>
      </c>
      <c r="B15" s="248" t="s">
        <v>389</v>
      </c>
      <c r="C15" s="183" t="s">
        <v>390</v>
      </c>
      <c r="D15" s="183" t="s">
        <v>359</v>
      </c>
      <c r="E15" s="183" t="s">
        <v>391</v>
      </c>
      <c r="F15" s="202" t="s">
        <v>392</v>
      </c>
      <c r="G15" s="281" t="s">
        <v>233</v>
      </c>
      <c r="H15" s="19"/>
      <c r="I15" s="19"/>
      <c r="J15" s="20"/>
    </row>
    <row r="16" spans="1:10" ht="54">
      <c r="A16" s="187" t="s">
        <v>394</v>
      </c>
      <c r="B16" s="248" t="s">
        <v>396</v>
      </c>
      <c r="C16" s="248" t="s">
        <v>397</v>
      </c>
      <c r="D16" s="183" t="s">
        <v>359</v>
      </c>
      <c r="E16" s="183" t="s">
        <v>398</v>
      </c>
      <c r="F16" s="202" t="s">
        <v>399</v>
      </c>
      <c r="G16" s="281" t="s">
        <v>30</v>
      </c>
      <c r="H16" s="19"/>
      <c r="I16" s="19"/>
      <c r="J16" s="20"/>
    </row>
    <row r="17" spans="1:10" ht="54">
      <c r="A17" s="208" t="s">
        <v>448</v>
      </c>
      <c r="B17" s="248" t="s">
        <v>449</v>
      </c>
      <c r="C17" s="183" t="s">
        <v>450</v>
      </c>
      <c r="D17" s="183" t="s">
        <v>359</v>
      </c>
      <c r="E17" s="183" t="s">
        <v>451</v>
      </c>
      <c r="F17" s="202" t="s">
        <v>452</v>
      </c>
      <c r="G17" s="281" t="s">
        <v>30</v>
      </c>
      <c r="H17" s="19"/>
      <c r="I17" s="19"/>
      <c r="J17" s="20"/>
    </row>
    <row r="18" spans="1:10" ht="67.5">
      <c r="A18" s="208" t="s">
        <v>448</v>
      </c>
      <c r="B18" s="248" t="s">
        <v>463</v>
      </c>
      <c r="C18" s="183" t="s">
        <v>464</v>
      </c>
      <c r="D18" s="183" t="s">
        <v>359</v>
      </c>
      <c r="E18" s="183" t="s">
        <v>465</v>
      </c>
      <c r="F18" s="202" t="s">
        <v>444</v>
      </c>
      <c r="G18" s="281" t="s">
        <v>30</v>
      </c>
      <c r="H18" s="19"/>
      <c r="I18" s="19"/>
      <c r="J18" s="20"/>
    </row>
    <row r="19" spans="1:10" ht="270">
      <c r="A19" s="178" t="s">
        <v>473</v>
      </c>
      <c r="B19" s="172" t="s">
        <v>474</v>
      </c>
      <c r="C19" s="172" t="s">
        <v>475</v>
      </c>
      <c r="D19" s="172" t="s">
        <v>359</v>
      </c>
      <c r="E19" s="172" t="s">
        <v>476</v>
      </c>
      <c r="F19" s="202" t="s">
        <v>477</v>
      </c>
      <c r="G19" s="281" t="s">
        <v>30</v>
      </c>
      <c r="H19" s="19"/>
      <c r="I19" s="19"/>
      <c r="J19" s="20"/>
    </row>
    <row r="20" spans="1:10" ht="54">
      <c r="A20" s="254" t="s">
        <v>500</v>
      </c>
      <c r="B20" s="255" t="s">
        <v>501</v>
      </c>
      <c r="C20" s="255" t="s">
        <v>502</v>
      </c>
      <c r="D20" s="255" t="s">
        <v>23</v>
      </c>
      <c r="E20" s="255" t="s">
        <v>503</v>
      </c>
      <c r="F20" s="255" t="s">
        <v>504</v>
      </c>
      <c r="G20" s="281" t="s">
        <v>30</v>
      </c>
      <c r="H20" s="19"/>
      <c r="I20" s="19"/>
      <c r="J20" s="20"/>
    </row>
    <row r="21" spans="1:10" ht="67.5">
      <c r="A21" s="256" t="s">
        <v>500</v>
      </c>
      <c r="B21" s="255" t="s">
        <v>535</v>
      </c>
      <c r="C21" s="257" t="s">
        <v>536</v>
      </c>
      <c r="D21" s="257" t="s">
        <v>23</v>
      </c>
      <c r="E21" s="257" t="s">
        <v>537</v>
      </c>
      <c r="F21" s="257" t="s">
        <v>538</v>
      </c>
      <c r="G21" s="281" t="s">
        <v>30</v>
      </c>
      <c r="H21" s="19"/>
      <c r="I21" s="19"/>
      <c r="J21" s="20"/>
    </row>
    <row r="22" spans="1:10" ht="67.5">
      <c r="A22" s="256" t="s">
        <v>500</v>
      </c>
      <c r="B22" s="255" t="s">
        <v>556</v>
      </c>
      <c r="C22" s="257" t="s">
        <v>557</v>
      </c>
      <c r="D22" s="257" t="s">
        <v>23</v>
      </c>
      <c r="E22" s="257" t="s">
        <v>558</v>
      </c>
      <c r="F22" s="257" t="s">
        <v>559</v>
      </c>
      <c r="G22" s="281" t="s">
        <v>233</v>
      </c>
      <c r="H22" s="19"/>
      <c r="I22" s="19"/>
      <c r="J22" s="20"/>
    </row>
    <row r="23" spans="1:10" ht="67.5">
      <c r="A23" s="259" t="s">
        <v>588</v>
      </c>
      <c r="B23" s="255" t="s">
        <v>592</v>
      </c>
      <c r="C23" s="257" t="s">
        <v>593</v>
      </c>
      <c r="D23" s="257" t="s">
        <v>23</v>
      </c>
      <c r="E23" s="257" t="s">
        <v>594</v>
      </c>
      <c r="F23" s="257" t="s">
        <v>595</v>
      </c>
      <c r="G23" s="281" t="s">
        <v>30</v>
      </c>
      <c r="H23" s="19"/>
      <c r="I23" s="19"/>
      <c r="J23" s="20"/>
    </row>
    <row r="24" spans="1:10" ht="94.5">
      <c r="A24" s="256" t="s">
        <v>608</v>
      </c>
      <c r="B24" s="257" t="s">
        <v>609</v>
      </c>
      <c r="C24" s="257" t="s">
        <v>610</v>
      </c>
      <c r="D24" s="257" t="s">
        <v>23</v>
      </c>
      <c r="E24" s="257" t="s">
        <v>611</v>
      </c>
      <c r="F24" s="257" t="s">
        <v>612</v>
      </c>
      <c r="G24" s="281" t="s">
        <v>30</v>
      </c>
      <c r="H24" s="19"/>
      <c r="I24" s="19"/>
      <c r="J24" s="20"/>
    </row>
    <row r="25" spans="1:10" ht="94.5">
      <c r="A25" s="256" t="s">
        <v>608</v>
      </c>
      <c r="B25" s="257" t="s">
        <v>626</v>
      </c>
      <c r="C25" s="257" t="s">
        <v>627</v>
      </c>
      <c r="D25" s="257" t="s">
        <v>23</v>
      </c>
      <c r="E25" s="257" t="s">
        <v>628</v>
      </c>
      <c r="F25" s="257" t="s">
        <v>629</v>
      </c>
      <c r="G25" s="281" t="s">
        <v>30</v>
      </c>
      <c r="H25" s="19"/>
      <c r="I25" s="19"/>
      <c r="J25" s="20"/>
    </row>
    <row r="26" spans="1:10" ht="94.5">
      <c r="A26" s="171" t="s">
        <v>658</v>
      </c>
      <c r="B26" s="172" t="s">
        <v>670</v>
      </c>
      <c r="C26" s="172" t="s">
        <v>671</v>
      </c>
      <c r="D26" s="172" t="s">
        <v>659</v>
      </c>
      <c r="E26" s="183" t="s">
        <v>672</v>
      </c>
      <c r="F26" s="202" t="s">
        <v>673</v>
      </c>
      <c r="G26" s="281" t="s">
        <v>30</v>
      </c>
      <c r="H26" s="19"/>
      <c r="I26" s="19"/>
      <c r="J26" s="20"/>
    </row>
    <row r="27" spans="1:10" ht="135">
      <c r="A27" s="208" t="s">
        <v>658</v>
      </c>
      <c r="B27" s="210" t="s">
        <v>697</v>
      </c>
      <c r="C27" s="183" t="s">
        <v>698</v>
      </c>
      <c r="D27" s="183" t="s">
        <v>699</v>
      </c>
      <c r="E27" s="183" t="s">
        <v>700</v>
      </c>
      <c r="F27" s="202" t="s">
        <v>701</v>
      </c>
      <c r="G27" s="281" t="s">
        <v>30</v>
      </c>
      <c r="H27" s="19"/>
      <c r="I27" s="19"/>
      <c r="J27" s="20"/>
    </row>
    <row r="28" spans="1:10" ht="81">
      <c r="A28" s="187" t="s">
        <v>775</v>
      </c>
      <c r="B28" s="248" t="s">
        <v>782</v>
      </c>
      <c r="C28" s="183" t="s">
        <v>783</v>
      </c>
      <c r="D28" s="183" t="s">
        <v>659</v>
      </c>
      <c r="E28" s="183" t="s">
        <v>784</v>
      </c>
      <c r="F28" s="202" t="s">
        <v>667</v>
      </c>
      <c r="G28" s="281" t="s">
        <v>30</v>
      </c>
      <c r="H28" s="19"/>
      <c r="I28" s="19"/>
      <c r="J28" s="20"/>
    </row>
    <row r="29" spans="1:10" ht="81">
      <c r="A29" s="187" t="s">
        <v>775</v>
      </c>
      <c r="B29" s="248" t="s">
        <v>841</v>
      </c>
      <c r="C29" s="183" t="s">
        <v>842</v>
      </c>
      <c r="D29" s="183" t="s">
        <v>726</v>
      </c>
      <c r="E29" s="183" t="s">
        <v>843</v>
      </c>
      <c r="F29" s="202" t="s">
        <v>831</v>
      </c>
      <c r="G29" s="281" t="s">
        <v>30</v>
      </c>
      <c r="H29" s="19"/>
      <c r="I29" s="19"/>
      <c r="J29" s="20"/>
    </row>
    <row r="30" spans="1:10" ht="81">
      <c r="A30" s="259" t="s">
        <v>860</v>
      </c>
      <c r="B30" s="255" t="s">
        <v>866</v>
      </c>
      <c r="C30" s="258" t="s">
        <v>867</v>
      </c>
      <c r="D30" s="257" t="s">
        <v>862</v>
      </c>
      <c r="E30" s="257" t="s">
        <v>868</v>
      </c>
      <c r="F30" s="257" t="s">
        <v>865</v>
      </c>
      <c r="G30" s="281" t="s">
        <v>30</v>
      </c>
      <c r="H30" s="19"/>
      <c r="I30" s="19"/>
      <c r="J30" s="20"/>
    </row>
    <row r="31" spans="1:10" ht="81">
      <c r="A31" s="259" t="s">
        <v>860</v>
      </c>
      <c r="B31" s="255" t="s">
        <v>881</v>
      </c>
      <c r="C31" s="258" t="s">
        <v>882</v>
      </c>
      <c r="D31" s="257" t="s">
        <v>874</v>
      </c>
      <c r="E31" s="257" t="s">
        <v>883</v>
      </c>
      <c r="F31" s="257" t="s">
        <v>876</v>
      </c>
      <c r="G31" s="281" t="s">
        <v>30</v>
      </c>
      <c r="H31" s="19"/>
      <c r="I31" s="19"/>
      <c r="J31" s="20"/>
    </row>
    <row r="32" spans="1:10" ht="81">
      <c r="A32" s="259" t="s">
        <v>860</v>
      </c>
      <c r="B32" s="255" t="s">
        <v>886</v>
      </c>
      <c r="C32" s="258" t="s">
        <v>887</v>
      </c>
      <c r="D32" s="257" t="s">
        <v>862</v>
      </c>
      <c r="E32" s="257" t="s">
        <v>888</v>
      </c>
      <c r="F32" s="257" t="s">
        <v>865</v>
      </c>
      <c r="G32" s="281" t="s">
        <v>30</v>
      </c>
      <c r="H32" s="19"/>
      <c r="I32" s="19"/>
      <c r="J32" s="20"/>
    </row>
    <row r="33" spans="1:10" ht="67.5">
      <c r="A33" s="259" t="s">
        <v>860</v>
      </c>
      <c r="B33" s="255" t="s">
        <v>895</v>
      </c>
      <c r="C33" s="258" t="s">
        <v>896</v>
      </c>
      <c r="D33" s="257" t="s">
        <v>874</v>
      </c>
      <c r="E33" s="257" t="s">
        <v>897</v>
      </c>
      <c r="F33" s="257" t="s">
        <v>898</v>
      </c>
      <c r="G33" s="281" t="s">
        <v>30</v>
      </c>
      <c r="H33" s="19"/>
      <c r="I33" s="19"/>
      <c r="J33" s="20"/>
    </row>
    <row r="34" spans="1:10" ht="175.5">
      <c r="A34" s="256" t="s">
        <v>925</v>
      </c>
      <c r="B34" s="255" t="s">
        <v>930</v>
      </c>
      <c r="C34" s="258" t="s">
        <v>931</v>
      </c>
      <c r="D34" s="257" t="s">
        <v>23</v>
      </c>
      <c r="E34" s="257" t="s">
        <v>932</v>
      </c>
      <c r="F34" s="257" t="s">
        <v>933</v>
      </c>
      <c r="G34" s="281" t="s">
        <v>233</v>
      </c>
      <c r="H34" s="19"/>
      <c r="I34" s="19"/>
      <c r="J34" s="20"/>
    </row>
    <row r="35" spans="1:10" ht="189">
      <c r="A35" s="259" t="s">
        <v>968</v>
      </c>
      <c r="B35" s="257" t="s">
        <v>971</v>
      </c>
      <c r="C35" s="258" t="s">
        <v>972</v>
      </c>
      <c r="D35" s="257" t="s">
        <v>23</v>
      </c>
      <c r="E35" s="257" t="s">
        <v>973</v>
      </c>
      <c r="F35" s="257" t="s">
        <v>974</v>
      </c>
      <c r="G35" s="281" t="s">
        <v>233</v>
      </c>
      <c r="H35" s="19"/>
      <c r="I35" s="19"/>
      <c r="J35" s="20"/>
    </row>
    <row r="36" spans="1:10" ht="67.5">
      <c r="A36" s="178" t="s">
        <v>997</v>
      </c>
      <c r="B36" s="172" t="s">
        <v>1001</v>
      </c>
      <c r="C36" s="177" t="s">
        <v>1002</v>
      </c>
      <c r="D36" s="172" t="s">
        <v>1003</v>
      </c>
      <c r="E36" s="172" t="s">
        <v>1004</v>
      </c>
      <c r="F36" s="189" t="s">
        <v>1005</v>
      </c>
      <c r="G36" s="281" t="s">
        <v>30</v>
      </c>
      <c r="H36" s="19"/>
      <c r="I36" s="19"/>
      <c r="J36" s="20"/>
    </row>
    <row r="37" spans="1:10" ht="297">
      <c r="A37" s="187" t="s">
        <v>1034</v>
      </c>
      <c r="B37" s="248" t="s">
        <v>1047</v>
      </c>
      <c r="C37" s="215" t="s">
        <v>1048</v>
      </c>
      <c r="D37" s="183" t="s">
        <v>23</v>
      </c>
      <c r="E37" s="162" t="s">
        <v>1049</v>
      </c>
      <c r="F37" s="241" t="s">
        <v>1050</v>
      </c>
      <c r="G37" s="281" t="s">
        <v>30</v>
      </c>
      <c r="H37" s="19"/>
      <c r="I37" s="19"/>
      <c r="J37" s="20"/>
    </row>
    <row r="38" spans="1:10" ht="409.5">
      <c r="A38" s="187" t="s">
        <v>1089</v>
      </c>
      <c r="B38" s="248" t="s">
        <v>1090</v>
      </c>
      <c r="C38" s="215" t="s">
        <v>1091</v>
      </c>
      <c r="D38" s="183" t="s">
        <v>23</v>
      </c>
      <c r="E38" s="183" t="s">
        <v>1092</v>
      </c>
      <c r="F38" s="202" t="s">
        <v>1093</v>
      </c>
      <c r="G38" s="281" t="s">
        <v>30</v>
      </c>
      <c r="H38" s="19"/>
      <c r="I38" s="19"/>
      <c r="J38" s="20"/>
    </row>
    <row r="39" spans="1:10" ht="202.5">
      <c r="A39" s="261" t="s">
        <v>1109</v>
      </c>
      <c r="B39" s="248" t="s">
        <v>1110</v>
      </c>
      <c r="C39" s="251" t="s">
        <v>1111</v>
      </c>
      <c r="D39" s="248" t="s">
        <v>23</v>
      </c>
      <c r="E39" s="162" t="s">
        <v>1112</v>
      </c>
      <c r="F39" s="250" t="s">
        <v>1113</v>
      </c>
      <c r="G39" s="281" t="s">
        <v>30</v>
      </c>
      <c r="H39" s="19"/>
      <c r="I39" s="19"/>
      <c r="J39" s="20"/>
    </row>
    <row r="40" spans="1:10" ht="162">
      <c r="A40" s="178" t="s">
        <v>1138</v>
      </c>
      <c r="B40" s="172" t="s">
        <v>1163</v>
      </c>
      <c r="C40" s="172" t="s">
        <v>1164</v>
      </c>
      <c r="D40" s="172" t="s">
        <v>1165</v>
      </c>
      <c r="E40" s="172" t="s">
        <v>1166</v>
      </c>
      <c r="F40" s="189" t="s">
        <v>1167</v>
      </c>
      <c r="G40" s="281" t="s">
        <v>30</v>
      </c>
      <c r="H40" s="19"/>
      <c r="I40" s="19"/>
      <c r="J40" s="20"/>
    </row>
    <row r="41" spans="1:10" ht="148.5">
      <c r="A41" s="178" t="s">
        <v>1138</v>
      </c>
      <c r="B41" s="172" t="s">
        <v>1199</v>
      </c>
      <c r="C41" s="172" t="s">
        <v>1200</v>
      </c>
      <c r="D41" s="172" t="s">
        <v>23</v>
      </c>
      <c r="E41" s="172" t="s">
        <v>1201</v>
      </c>
      <c r="F41" s="189" t="s">
        <v>1202</v>
      </c>
      <c r="G41" s="281" t="s">
        <v>30</v>
      </c>
      <c r="H41" s="19"/>
      <c r="I41" s="19"/>
      <c r="J41" s="20"/>
    </row>
    <row r="42" spans="1:10" ht="270">
      <c r="A42" s="260" t="s">
        <v>1227</v>
      </c>
      <c r="B42" s="172" t="s">
        <v>1292</v>
      </c>
      <c r="C42" s="172" t="s">
        <v>1293</v>
      </c>
      <c r="D42" s="172" t="s">
        <v>1294</v>
      </c>
      <c r="E42" s="172" t="s">
        <v>1295</v>
      </c>
      <c r="F42" s="189" t="s">
        <v>1296</v>
      </c>
      <c r="G42" s="292" t="s">
        <v>30</v>
      </c>
      <c r="H42" s="19"/>
      <c r="I42" s="19"/>
      <c r="J42" s="20"/>
    </row>
    <row r="43" spans="1:10" ht="229.5">
      <c r="A43" s="171" t="s">
        <v>1348</v>
      </c>
      <c r="B43" s="172" t="s">
        <v>1395</v>
      </c>
      <c r="C43" s="172" t="s">
        <v>1396</v>
      </c>
      <c r="D43" s="172" t="s">
        <v>1351</v>
      </c>
      <c r="E43" s="172" t="s">
        <v>1397</v>
      </c>
      <c r="F43" s="189" t="s">
        <v>1398</v>
      </c>
      <c r="G43" s="281" t="s">
        <v>30</v>
      </c>
      <c r="H43" s="19"/>
      <c r="I43" s="19"/>
      <c r="J43" s="20"/>
    </row>
    <row r="44" spans="1:10" ht="243">
      <c r="A44" s="171" t="s">
        <v>1439</v>
      </c>
      <c r="B44" s="172" t="s">
        <v>1440</v>
      </c>
      <c r="C44" s="172" t="s">
        <v>1441</v>
      </c>
      <c r="D44" s="172" t="s">
        <v>1351</v>
      </c>
      <c r="E44" s="172" t="s">
        <v>1442</v>
      </c>
      <c r="F44" s="189" t="s">
        <v>1443</v>
      </c>
      <c r="G44" s="281" t="s">
        <v>30</v>
      </c>
      <c r="H44" s="19"/>
      <c r="I44" s="19"/>
      <c r="J44" s="20"/>
    </row>
    <row r="45" spans="1:10" ht="175.5">
      <c r="A45" s="178" t="s">
        <v>1439</v>
      </c>
      <c r="B45" s="172" t="s">
        <v>1447</v>
      </c>
      <c r="C45" s="172" t="s">
        <v>1448</v>
      </c>
      <c r="D45" s="172" t="s">
        <v>1351</v>
      </c>
      <c r="E45" s="172" t="s">
        <v>1449</v>
      </c>
      <c r="F45" s="189" t="s">
        <v>1450</v>
      </c>
      <c r="G45" s="281" t="s">
        <v>30</v>
      </c>
      <c r="H45" s="19"/>
      <c r="I45" s="19"/>
      <c r="J45" s="20"/>
    </row>
    <row r="46" spans="1:10" ht="81">
      <c r="A46" s="171" t="s">
        <v>1485</v>
      </c>
      <c r="B46" s="172" t="s">
        <v>1514</v>
      </c>
      <c r="C46" s="172" t="s">
        <v>1515</v>
      </c>
      <c r="D46" s="172" t="s">
        <v>23</v>
      </c>
      <c r="E46" s="172" t="s">
        <v>1516</v>
      </c>
      <c r="F46" s="189" t="s">
        <v>1517</v>
      </c>
      <c r="G46" s="281" t="s">
        <v>30</v>
      </c>
      <c r="H46" s="19"/>
      <c r="I46" s="19"/>
      <c r="J46" s="20"/>
    </row>
    <row r="47" spans="1:10" ht="81">
      <c r="A47" s="171" t="s">
        <v>1485</v>
      </c>
      <c r="B47" s="172" t="s">
        <v>1542</v>
      </c>
      <c r="C47" s="172" t="s">
        <v>1543</v>
      </c>
      <c r="D47" s="172" t="s">
        <v>23</v>
      </c>
      <c r="E47" s="172" t="s">
        <v>1544</v>
      </c>
      <c r="F47" s="189" t="s">
        <v>1545</v>
      </c>
      <c r="G47" s="281" t="s">
        <v>30</v>
      </c>
      <c r="H47" s="19"/>
      <c r="I47" s="19"/>
      <c r="J47" s="20"/>
    </row>
    <row r="48" spans="1:10" ht="81">
      <c r="A48" s="171" t="s">
        <v>1485</v>
      </c>
      <c r="B48" s="172" t="s">
        <v>1580</v>
      </c>
      <c r="C48" s="172" t="s">
        <v>1581</v>
      </c>
      <c r="D48" s="172" t="s">
        <v>23</v>
      </c>
      <c r="E48" s="172" t="s">
        <v>1582</v>
      </c>
      <c r="F48" s="189" t="s">
        <v>1563</v>
      </c>
      <c r="G48" s="281" t="s">
        <v>30</v>
      </c>
      <c r="H48" s="19"/>
      <c r="I48" s="19"/>
      <c r="J48" s="20"/>
    </row>
    <row r="49" spans="1:10" ht="81">
      <c r="A49" s="171" t="s">
        <v>1485</v>
      </c>
      <c r="B49" s="172" t="s">
        <v>1606</v>
      </c>
      <c r="C49" s="172" t="s">
        <v>1607</v>
      </c>
      <c r="D49" s="172" t="s">
        <v>23</v>
      </c>
      <c r="E49" s="172" t="s">
        <v>1608</v>
      </c>
      <c r="F49" s="189" t="s">
        <v>1602</v>
      </c>
      <c r="G49" s="281" t="s">
        <v>30</v>
      </c>
      <c r="H49" s="19"/>
      <c r="I49" s="19"/>
      <c r="J49" s="20"/>
    </row>
    <row r="50" spans="1:10" ht="94.5">
      <c r="A50" s="171" t="s">
        <v>1485</v>
      </c>
      <c r="B50" s="172" t="s">
        <v>1634</v>
      </c>
      <c r="C50" s="172" t="s">
        <v>1635</v>
      </c>
      <c r="D50" s="172" t="s">
        <v>23</v>
      </c>
      <c r="E50" s="172" t="s">
        <v>1636</v>
      </c>
      <c r="F50" s="189" t="s">
        <v>1637</v>
      </c>
      <c r="G50" s="281" t="s">
        <v>30</v>
      </c>
      <c r="H50" s="19"/>
      <c r="I50" s="19"/>
      <c r="J50" s="20"/>
    </row>
    <row r="51" spans="1:10" ht="94.5">
      <c r="A51" s="260" t="s">
        <v>1485</v>
      </c>
      <c r="B51" s="172" t="s">
        <v>1657</v>
      </c>
      <c r="C51" s="172" t="s">
        <v>1658</v>
      </c>
      <c r="D51" s="172" t="s">
        <v>23</v>
      </c>
      <c r="E51" s="172" t="s">
        <v>1659</v>
      </c>
      <c r="F51" s="189" t="s">
        <v>1660</v>
      </c>
      <c r="G51" s="281" t="s">
        <v>30</v>
      </c>
      <c r="H51" s="19"/>
      <c r="I51" s="19"/>
      <c r="J51" s="20"/>
    </row>
    <row r="52" spans="1:10" ht="94.5">
      <c r="A52" s="263" t="s">
        <v>1684</v>
      </c>
      <c r="B52" s="210" t="s">
        <v>1685</v>
      </c>
      <c r="C52" s="210" t="s">
        <v>1686</v>
      </c>
      <c r="D52" s="210" t="s">
        <v>23</v>
      </c>
      <c r="E52" s="210" t="s">
        <v>1687</v>
      </c>
      <c r="F52" s="222" t="s">
        <v>1688</v>
      </c>
      <c r="G52" s="281" t="s">
        <v>30</v>
      </c>
      <c r="H52" s="19"/>
      <c r="I52" s="19"/>
      <c r="J52" s="20"/>
    </row>
    <row r="53" spans="1:10" ht="81">
      <c r="A53" s="263" t="s">
        <v>1684</v>
      </c>
      <c r="B53" s="210" t="s">
        <v>1699</v>
      </c>
      <c r="C53" s="172" t="s">
        <v>1700</v>
      </c>
      <c r="D53" s="172" t="s">
        <v>23</v>
      </c>
      <c r="E53" s="172" t="s">
        <v>1701</v>
      </c>
      <c r="F53" s="12" t="s">
        <v>1688</v>
      </c>
      <c r="G53" s="281" t="s">
        <v>30</v>
      </c>
      <c r="H53" s="19"/>
      <c r="I53" s="19"/>
      <c r="J53" s="20"/>
    </row>
    <row r="54" spans="1:10" ht="54">
      <c r="A54" s="171" t="s">
        <v>1485</v>
      </c>
      <c r="B54" s="172" t="s">
        <v>1720</v>
      </c>
      <c r="C54" s="172" t="s">
        <v>1721</v>
      </c>
      <c r="D54" s="172" t="s">
        <v>23</v>
      </c>
      <c r="E54" s="172" t="s">
        <v>1719</v>
      </c>
      <c r="F54" s="189" t="s">
        <v>1717</v>
      </c>
      <c r="G54" s="281" t="s">
        <v>30</v>
      </c>
      <c r="H54" s="19"/>
      <c r="I54" s="19"/>
      <c r="J54" s="20"/>
    </row>
    <row r="55" spans="1:10" ht="121.5">
      <c r="A55" s="178" t="s">
        <v>1749</v>
      </c>
      <c r="B55" s="172" t="s">
        <v>1753</v>
      </c>
      <c r="C55" s="172" t="s">
        <v>1754</v>
      </c>
      <c r="D55" s="172" t="s">
        <v>23</v>
      </c>
      <c r="E55" s="172" t="s">
        <v>1755</v>
      </c>
      <c r="F55" s="189" t="s">
        <v>1756</v>
      </c>
      <c r="G55" s="281" t="s">
        <v>30</v>
      </c>
      <c r="H55" s="19"/>
      <c r="I55" s="19"/>
      <c r="J55" s="20"/>
    </row>
    <row r="56" spans="1:10" ht="121.5">
      <c r="A56" s="178" t="s">
        <v>1749</v>
      </c>
      <c r="B56" s="172" t="s">
        <v>1786</v>
      </c>
      <c r="C56" s="172" t="s">
        <v>1787</v>
      </c>
      <c r="D56" s="172" t="s">
        <v>23</v>
      </c>
      <c r="E56" s="172" t="s">
        <v>1788</v>
      </c>
      <c r="F56" s="189" t="s">
        <v>1783</v>
      </c>
      <c r="G56" s="281" t="s">
        <v>30</v>
      </c>
      <c r="H56" s="19"/>
      <c r="I56" s="19"/>
      <c r="J56" s="20"/>
    </row>
    <row r="57" spans="1:10" ht="94.5">
      <c r="A57" s="178" t="s">
        <v>1749</v>
      </c>
      <c r="B57" s="172" t="s">
        <v>1829</v>
      </c>
      <c r="C57" s="172" t="s">
        <v>1830</v>
      </c>
      <c r="D57" s="172" t="s">
        <v>23</v>
      </c>
      <c r="E57" s="172" t="s">
        <v>1831</v>
      </c>
      <c r="F57" s="189" t="s">
        <v>1825</v>
      </c>
      <c r="G57" s="281" t="s">
        <v>30</v>
      </c>
      <c r="H57" s="19"/>
      <c r="I57" s="19"/>
      <c r="J57" s="20"/>
    </row>
    <row r="58" spans="1:10" ht="94.5">
      <c r="A58" s="178" t="s">
        <v>1749</v>
      </c>
      <c r="B58" s="172" t="s">
        <v>1854</v>
      </c>
      <c r="C58" s="243" t="s">
        <v>1855</v>
      </c>
      <c r="D58" s="244" t="s">
        <v>23</v>
      </c>
      <c r="E58" s="172" t="s">
        <v>1856</v>
      </c>
      <c r="F58" s="189" t="s">
        <v>1844</v>
      </c>
      <c r="G58" s="281" t="s">
        <v>30</v>
      </c>
      <c r="H58" s="19"/>
      <c r="I58" s="19"/>
      <c r="J58" s="20"/>
    </row>
    <row r="59" spans="1:10" ht="121.5">
      <c r="A59" s="178" t="s">
        <v>1749</v>
      </c>
      <c r="B59" s="172" t="s">
        <v>1877</v>
      </c>
      <c r="C59" s="172" t="s">
        <v>1878</v>
      </c>
      <c r="D59" s="172" t="s">
        <v>23</v>
      </c>
      <c r="E59" s="172" t="s">
        <v>1879</v>
      </c>
      <c r="F59" s="189" t="s">
        <v>1880</v>
      </c>
      <c r="G59" s="281" t="s">
        <v>30</v>
      </c>
      <c r="H59" s="19"/>
      <c r="I59" s="19"/>
      <c r="J59" s="20"/>
    </row>
    <row r="60" spans="1:10" ht="121.5">
      <c r="A60" s="171" t="s">
        <v>1903</v>
      </c>
      <c r="B60" s="172" t="s">
        <v>1930</v>
      </c>
      <c r="C60" s="172" t="s">
        <v>1931</v>
      </c>
      <c r="D60" s="172" t="s">
        <v>23</v>
      </c>
      <c r="E60" s="172" t="s">
        <v>1932</v>
      </c>
      <c r="F60" s="189" t="s">
        <v>1933</v>
      </c>
      <c r="G60" s="281" t="s">
        <v>30</v>
      </c>
      <c r="H60" s="19"/>
      <c r="I60" s="19"/>
      <c r="J60" s="20"/>
    </row>
    <row r="61" spans="1:10" ht="175.5">
      <c r="A61" s="171" t="s">
        <v>1903</v>
      </c>
      <c r="B61" s="172" t="s">
        <v>1934</v>
      </c>
      <c r="C61" s="172" t="s">
        <v>1935</v>
      </c>
      <c r="D61" s="172" t="s">
        <v>23</v>
      </c>
      <c r="E61" s="172" t="s">
        <v>1936</v>
      </c>
      <c r="F61" s="189" t="s">
        <v>1937</v>
      </c>
      <c r="G61" s="281" t="s">
        <v>30</v>
      </c>
      <c r="H61" s="19"/>
      <c r="I61" s="19"/>
      <c r="J61" s="20"/>
    </row>
    <row r="62" spans="1:10" ht="67.5">
      <c r="A62" s="171" t="s">
        <v>1903</v>
      </c>
      <c r="B62" s="172" t="s">
        <v>1953</v>
      </c>
      <c r="C62" s="172" t="s">
        <v>1954</v>
      </c>
      <c r="D62" s="172" t="s">
        <v>23</v>
      </c>
      <c r="E62" s="172" t="s">
        <v>1955</v>
      </c>
      <c r="F62" s="189" t="s">
        <v>1956</v>
      </c>
      <c r="G62" s="281" t="s">
        <v>233</v>
      </c>
      <c r="H62" s="19"/>
      <c r="I62" s="19"/>
      <c r="J62" s="20"/>
    </row>
    <row r="63" spans="1:10" ht="121.5">
      <c r="A63" s="171" t="s">
        <v>2155</v>
      </c>
      <c r="B63" s="172" t="s">
        <v>2158</v>
      </c>
      <c r="C63" s="172" t="s">
        <v>2159</v>
      </c>
      <c r="D63" s="172" t="s">
        <v>23</v>
      </c>
      <c r="E63" s="172" t="s">
        <v>2160</v>
      </c>
      <c r="F63" s="189" t="s">
        <v>2132</v>
      </c>
      <c r="G63" s="281" t="s">
        <v>30</v>
      </c>
      <c r="H63" s="19"/>
      <c r="I63" s="19"/>
      <c r="J63" s="20"/>
    </row>
    <row r="64" spans="1:10" ht="121.5">
      <c r="A64" s="178" t="s">
        <v>2174</v>
      </c>
      <c r="B64" s="172" t="s">
        <v>2175</v>
      </c>
      <c r="C64" s="172" t="s">
        <v>2176</v>
      </c>
      <c r="D64" s="172" t="s">
        <v>23</v>
      </c>
      <c r="E64" s="172" t="s">
        <v>2177</v>
      </c>
      <c r="F64" s="189" t="s">
        <v>2132</v>
      </c>
      <c r="G64" s="281" t="s">
        <v>30</v>
      </c>
      <c r="H64" s="19"/>
      <c r="I64" s="19"/>
      <c r="J64" s="20"/>
    </row>
    <row r="65" spans="1:10" ht="135">
      <c r="A65" s="214" t="s">
        <v>2190</v>
      </c>
      <c r="B65" s="248" t="s">
        <v>2191</v>
      </c>
      <c r="C65" s="183" t="s">
        <v>2192</v>
      </c>
      <c r="D65" s="183" t="s">
        <v>2193</v>
      </c>
      <c r="E65" s="183" t="s">
        <v>2194</v>
      </c>
      <c r="F65" s="202" t="s">
        <v>2195</v>
      </c>
      <c r="G65" s="281" t="s">
        <v>2196</v>
      </c>
      <c r="H65" s="19"/>
      <c r="I65" s="19"/>
      <c r="J65" s="20"/>
    </row>
    <row r="66" spans="1:10" ht="108">
      <c r="A66" s="214" t="s">
        <v>2197</v>
      </c>
      <c r="B66" s="248" t="s">
        <v>2221</v>
      </c>
      <c r="C66" s="215" t="s">
        <v>2222</v>
      </c>
      <c r="D66" s="215" t="s">
        <v>2193</v>
      </c>
      <c r="E66" s="215" t="s">
        <v>2223</v>
      </c>
      <c r="F66" s="252" t="s">
        <v>2224</v>
      </c>
      <c r="G66" s="292" t="s">
        <v>2225</v>
      </c>
      <c r="H66" s="19"/>
      <c r="I66" s="19"/>
      <c r="J66" s="20"/>
    </row>
    <row r="67" spans="1:10" ht="94.5">
      <c r="A67" s="214" t="s">
        <v>2197</v>
      </c>
      <c r="B67" s="248" t="s">
        <v>2258</v>
      </c>
      <c r="C67" s="183" t="s">
        <v>2259</v>
      </c>
      <c r="D67" s="183" t="s">
        <v>2193</v>
      </c>
      <c r="E67" s="215" t="s">
        <v>2260</v>
      </c>
      <c r="F67" s="202" t="s">
        <v>2261</v>
      </c>
      <c r="G67" s="281" t="s">
        <v>2196</v>
      </c>
      <c r="H67" s="19"/>
      <c r="I67" s="19"/>
      <c r="J67" s="20"/>
    </row>
    <row r="68" spans="1:10" ht="108">
      <c r="A68" s="253" t="s">
        <v>2315</v>
      </c>
      <c r="B68" s="248" t="s">
        <v>2320</v>
      </c>
      <c r="C68" s="183" t="s">
        <v>2321</v>
      </c>
      <c r="D68" s="183" t="s">
        <v>2193</v>
      </c>
      <c r="E68" s="183" t="s">
        <v>2322</v>
      </c>
      <c r="F68" s="202" t="s">
        <v>2323</v>
      </c>
      <c r="G68" s="281" t="s">
        <v>233</v>
      </c>
      <c r="H68" s="19"/>
      <c r="I68" s="19"/>
      <c r="J68" s="20"/>
    </row>
    <row r="69" spans="1:10" ht="121.5">
      <c r="A69" s="214" t="s">
        <v>2387</v>
      </c>
      <c r="B69" s="248" t="s">
        <v>2393</v>
      </c>
      <c r="C69" s="183" t="s">
        <v>2394</v>
      </c>
      <c r="D69" s="183" t="s">
        <v>2390</v>
      </c>
      <c r="E69" s="183" t="s">
        <v>2395</v>
      </c>
      <c r="F69" s="202" t="s">
        <v>2396</v>
      </c>
      <c r="G69" s="281" t="s">
        <v>2196</v>
      </c>
      <c r="H69" s="19"/>
      <c r="I69" s="19"/>
      <c r="J69" s="20"/>
    </row>
    <row r="70" spans="1:10" ht="67.5">
      <c r="A70" s="214" t="s">
        <v>2501</v>
      </c>
      <c r="B70" s="248" t="s">
        <v>2502</v>
      </c>
      <c r="C70" s="183" t="s">
        <v>2503</v>
      </c>
      <c r="D70" s="183" t="s">
        <v>2390</v>
      </c>
      <c r="E70" s="183" t="s">
        <v>2504</v>
      </c>
      <c r="F70" s="202" t="s">
        <v>2505</v>
      </c>
      <c r="G70" s="281" t="s">
        <v>30</v>
      </c>
      <c r="H70" s="19"/>
      <c r="I70" s="19"/>
      <c r="J70" s="20"/>
    </row>
    <row r="71" spans="1:10" ht="54">
      <c r="A71" s="214" t="s">
        <v>2574</v>
      </c>
      <c r="B71" s="248" t="s">
        <v>2575</v>
      </c>
      <c r="C71" s="183" t="s">
        <v>2576</v>
      </c>
      <c r="D71" s="183" t="s">
        <v>2390</v>
      </c>
      <c r="E71" s="183" t="s">
        <v>2577</v>
      </c>
      <c r="F71" s="202" t="s">
        <v>2578</v>
      </c>
      <c r="G71" s="281" t="s">
        <v>30</v>
      </c>
      <c r="H71" s="19"/>
      <c r="I71" s="19"/>
      <c r="J71" s="20"/>
    </row>
    <row r="72" spans="1:10" ht="81">
      <c r="A72" s="214" t="s">
        <v>2623</v>
      </c>
      <c r="B72" s="248" t="s">
        <v>2624</v>
      </c>
      <c r="C72" s="183" t="s">
        <v>2625</v>
      </c>
      <c r="D72" s="183" t="s">
        <v>2390</v>
      </c>
      <c r="E72" s="183" t="s">
        <v>2626</v>
      </c>
      <c r="F72" s="202" t="s">
        <v>2627</v>
      </c>
      <c r="G72" s="281" t="s">
        <v>30</v>
      </c>
      <c r="H72" s="19"/>
      <c r="I72" s="19"/>
      <c r="J72" s="20"/>
    </row>
    <row r="73" spans="1:10" ht="67.5">
      <c r="A73" s="191" t="s">
        <v>2679</v>
      </c>
      <c r="B73" s="172" t="s">
        <v>2683</v>
      </c>
      <c r="C73" s="172" t="s">
        <v>2684</v>
      </c>
      <c r="D73" s="172" t="s">
        <v>23</v>
      </c>
      <c r="E73" s="172" t="s">
        <v>2685</v>
      </c>
      <c r="F73" s="189" t="s">
        <v>2686</v>
      </c>
      <c r="G73" s="281" t="s">
        <v>2196</v>
      </c>
      <c r="H73" s="19"/>
      <c r="I73" s="19"/>
      <c r="J73" s="20"/>
    </row>
    <row r="74" spans="1:10" ht="121.5">
      <c r="A74" s="191" t="s">
        <v>2679</v>
      </c>
      <c r="B74" s="172" t="s">
        <v>2714</v>
      </c>
      <c r="C74" s="172" t="s">
        <v>2715</v>
      </c>
      <c r="D74" s="172" t="s">
        <v>23</v>
      </c>
      <c r="E74" s="172" t="s">
        <v>2716</v>
      </c>
      <c r="F74" s="189" t="s">
        <v>2717</v>
      </c>
      <c r="G74" s="281" t="s">
        <v>2196</v>
      </c>
      <c r="H74" s="19"/>
      <c r="I74" s="19"/>
      <c r="J74" s="20"/>
    </row>
    <row r="75" spans="1:10" ht="94.5">
      <c r="A75" s="191" t="s">
        <v>2679</v>
      </c>
      <c r="B75" s="172" t="s">
        <v>2737</v>
      </c>
      <c r="C75" s="172" t="s">
        <v>2738</v>
      </c>
      <c r="D75" s="172" t="s">
        <v>23</v>
      </c>
      <c r="E75" s="172" t="s">
        <v>2739</v>
      </c>
      <c r="F75" s="189" t="s">
        <v>2740</v>
      </c>
      <c r="G75" s="281" t="s">
        <v>2196</v>
      </c>
      <c r="H75" s="19"/>
      <c r="I75" s="19"/>
      <c r="J75" s="20"/>
    </row>
    <row r="76" spans="1:10" ht="81">
      <c r="A76" s="191" t="s">
        <v>2816</v>
      </c>
      <c r="B76" s="172" t="s">
        <v>2817</v>
      </c>
      <c r="C76" s="177" t="s">
        <v>2818</v>
      </c>
      <c r="D76" s="172" t="s">
        <v>23</v>
      </c>
      <c r="E76" s="172" t="s">
        <v>2819</v>
      </c>
      <c r="F76" s="189" t="s">
        <v>2820</v>
      </c>
      <c r="G76" s="281" t="s">
        <v>2196</v>
      </c>
      <c r="H76" s="19"/>
      <c r="I76" s="19"/>
      <c r="J76" s="20"/>
    </row>
    <row r="77" spans="1:10" ht="189">
      <c r="A77" s="190" t="s">
        <v>2870</v>
      </c>
      <c r="B77" s="172" t="s">
        <v>2871</v>
      </c>
      <c r="C77" s="172" t="s">
        <v>2872</v>
      </c>
      <c r="D77" s="172" t="s">
        <v>23</v>
      </c>
      <c r="E77" s="172" t="s">
        <v>2873</v>
      </c>
      <c r="F77" s="189" t="s">
        <v>2874</v>
      </c>
      <c r="G77" s="281" t="s">
        <v>30</v>
      </c>
      <c r="H77" s="19"/>
      <c r="I77" s="19"/>
      <c r="J77" s="20"/>
    </row>
    <row r="78" spans="1:10" ht="54">
      <c r="A78" s="191" t="s">
        <v>2981</v>
      </c>
      <c r="B78" s="172" t="s">
        <v>2982</v>
      </c>
      <c r="C78" s="172" t="s">
        <v>2983</v>
      </c>
      <c r="D78" s="172" t="s">
        <v>2984</v>
      </c>
      <c r="E78" s="172" t="s">
        <v>2985</v>
      </c>
      <c r="F78" s="189" t="s">
        <v>2986</v>
      </c>
      <c r="G78" s="281" t="s">
        <v>30</v>
      </c>
      <c r="H78" s="19"/>
      <c r="I78" s="19"/>
      <c r="J78" s="20"/>
    </row>
    <row r="79" spans="1:10" ht="409.5">
      <c r="A79" s="191" t="s">
        <v>2981</v>
      </c>
      <c r="B79" s="172" t="s">
        <v>3100</v>
      </c>
      <c r="C79" s="172" t="s">
        <v>3101</v>
      </c>
      <c r="D79" s="172" t="s">
        <v>2984</v>
      </c>
      <c r="E79" s="172" t="s">
        <v>3102</v>
      </c>
      <c r="F79" s="189" t="s">
        <v>3103</v>
      </c>
      <c r="G79" s="281" t="s">
        <v>30</v>
      </c>
      <c r="H79" s="19"/>
      <c r="I79" s="19"/>
      <c r="J79" s="20"/>
    </row>
    <row r="80" spans="1:10" ht="202.5">
      <c r="A80" s="245" t="s">
        <v>3107</v>
      </c>
      <c r="B80" s="172" t="s">
        <v>3108</v>
      </c>
      <c r="C80" s="172" t="s">
        <v>3109</v>
      </c>
      <c r="D80" s="172" t="s">
        <v>3110</v>
      </c>
      <c r="E80" s="172" t="s">
        <v>3111</v>
      </c>
      <c r="F80" s="189" t="s">
        <v>3112</v>
      </c>
      <c r="G80" s="281" t="s">
        <v>30</v>
      </c>
      <c r="H80" s="19"/>
      <c r="I80" s="19"/>
      <c r="J80" s="20"/>
    </row>
    <row r="81" spans="1:10" ht="67.5">
      <c r="A81" s="190" t="s">
        <v>3107</v>
      </c>
      <c r="B81" s="210" t="s">
        <v>3117</v>
      </c>
      <c r="C81" s="172" t="s">
        <v>3118</v>
      </c>
      <c r="D81" s="172" t="s">
        <v>3119</v>
      </c>
      <c r="E81" s="172" t="s">
        <v>3120</v>
      </c>
      <c r="F81" s="189" t="s">
        <v>3121</v>
      </c>
      <c r="G81" s="281" t="s">
        <v>30</v>
      </c>
      <c r="H81" s="19"/>
      <c r="I81" s="19"/>
      <c r="J81" s="20"/>
    </row>
    <row r="82" spans="1:10" ht="108">
      <c r="A82" s="190" t="s">
        <v>3107</v>
      </c>
      <c r="B82" s="210" t="s">
        <v>3243</v>
      </c>
      <c r="C82" s="172" t="s">
        <v>3244</v>
      </c>
      <c r="D82" s="172" t="s">
        <v>3110</v>
      </c>
      <c r="E82" s="172" t="s">
        <v>3245</v>
      </c>
      <c r="F82" s="189" t="s">
        <v>3246</v>
      </c>
      <c r="G82" s="281" t="s">
        <v>30</v>
      </c>
      <c r="H82" s="19"/>
      <c r="I82" s="19"/>
      <c r="J82" s="20"/>
    </row>
    <row r="83" spans="1:10" ht="81">
      <c r="A83" s="253" t="s">
        <v>3416</v>
      </c>
      <c r="B83" s="248" t="s">
        <v>3417</v>
      </c>
      <c r="C83" s="183" t="s">
        <v>3418</v>
      </c>
      <c r="D83" s="183" t="s">
        <v>3419</v>
      </c>
      <c r="E83" s="183" t="s">
        <v>3420</v>
      </c>
      <c r="F83" s="202" t="s">
        <v>3421</v>
      </c>
      <c r="G83" s="281" t="s">
        <v>30</v>
      </c>
      <c r="H83" s="19"/>
      <c r="I83" s="19"/>
      <c r="J83" s="20"/>
    </row>
    <row r="84" spans="1:10" ht="135">
      <c r="A84" s="191" t="s">
        <v>3416</v>
      </c>
      <c r="B84" s="248" t="s">
        <v>3444</v>
      </c>
      <c r="C84" s="172" t="s">
        <v>3445</v>
      </c>
      <c r="D84" s="172" t="s">
        <v>23</v>
      </c>
      <c r="E84" s="172" t="s">
        <v>3446</v>
      </c>
      <c r="F84" s="189" t="s">
        <v>3447</v>
      </c>
      <c r="G84" s="281" t="s">
        <v>30</v>
      </c>
      <c r="H84" s="19"/>
      <c r="I84" s="19"/>
      <c r="J84" s="20"/>
    </row>
    <row r="85" spans="1:10" ht="108">
      <c r="A85" s="190" t="s">
        <v>3478</v>
      </c>
      <c r="B85" s="172" t="s">
        <v>3481</v>
      </c>
      <c r="C85" s="172" t="s">
        <v>3482</v>
      </c>
      <c r="D85" s="172" t="s">
        <v>2984</v>
      </c>
      <c r="E85" s="172" t="s">
        <v>3483</v>
      </c>
      <c r="F85" s="189" t="s">
        <v>3484</v>
      </c>
      <c r="G85" s="281" t="s">
        <v>30</v>
      </c>
      <c r="H85" s="19"/>
      <c r="I85" s="19"/>
      <c r="J85" s="20"/>
    </row>
    <row r="86" spans="1:10" ht="108">
      <c r="A86" s="190" t="s">
        <v>3478</v>
      </c>
      <c r="B86" s="172" t="s">
        <v>3500</v>
      </c>
      <c r="C86" s="177" t="s">
        <v>3501</v>
      </c>
      <c r="D86" s="172" t="s">
        <v>2984</v>
      </c>
      <c r="E86" s="172" t="s">
        <v>3502</v>
      </c>
      <c r="F86" s="189" t="s">
        <v>3499</v>
      </c>
      <c r="G86" s="281" t="s">
        <v>30</v>
      </c>
      <c r="H86" s="19"/>
      <c r="I86" s="19"/>
      <c r="J86" s="20"/>
    </row>
    <row r="87" spans="1:10" ht="67.5">
      <c r="A87" s="191" t="s">
        <v>3599</v>
      </c>
      <c r="B87" s="172" t="s">
        <v>3600</v>
      </c>
      <c r="C87" s="172" t="s">
        <v>3601</v>
      </c>
      <c r="D87" s="172" t="s">
        <v>3602</v>
      </c>
      <c r="E87" s="172" t="s">
        <v>3603</v>
      </c>
      <c r="F87" s="189" t="s">
        <v>3604</v>
      </c>
      <c r="G87" s="281" t="s">
        <v>30</v>
      </c>
      <c r="H87" s="19"/>
      <c r="I87" s="19"/>
      <c r="J87" s="20"/>
    </row>
    <row r="88" spans="1:10" ht="54">
      <c r="A88" s="191" t="s">
        <v>3741</v>
      </c>
      <c r="B88" s="172" t="s">
        <v>3771</v>
      </c>
      <c r="C88" s="172" t="s">
        <v>3772</v>
      </c>
      <c r="D88" s="172" t="s">
        <v>2984</v>
      </c>
      <c r="E88" s="172" t="s">
        <v>3773</v>
      </c>
      <c r="F88" s="189" t="s">
        <v>3774</v>
      </c>
      <c r="G88" s="281" t="s">
        <v>30</v>
      </c>
      <c r="H88" s="19"/>
      <c r="I88" s="19"/>
      <c r="J88" s="20"/>
    </row>
    <row r="89" spans="1:10" ht="189">
      <c r="A89" s="190" t="s">
        <v>3809</v>
      </c>
      <c r="B89" s="172" t="s">
        <v>3810</v>
      </c>
      <c r="C89" s="177" t="s">
        <v>3811</v>
      </c>
      <c r="D89" s="172" t="s">
        <v>3812</v>
      </c>
      <c r="E89" s="183" t="s">
        <v>3813</v>
      </c>
      <c r="F89" s="202" t="s">
        <v>3814</v>
      </c>
      <c r="G89" s="281" t="s">
        <v>30</v>
      </c>
      <c r="H89" s="19"/>
      <c r="I89" s="19"/>
      <c r="J89" s="20"/>
    </row>
    <row r="90" spans="1:10" ht="189">
      <c r="A90" s="190" t="s">
        <v>3809</v>
      </c>
      <c r="B90" s="172" t="s">
        <v>3815</v>
      </c>
      <c r="C90" s="177" t="s">
        <v>3816</v>
      </c>
      <c r="D90" s="172" t="s">
        <v>3812</v>
      </c>
      <c r="E90" s="183" t="s">
        <v>3817</v>
      </c>
      <c r="F90" s="202" t="s">
        <v>3814</v>
      </c>
      <c r="G90" s="281" t="s">
        <v>30</v>
      </c>
      <c r="H90" s="19"/>
      <c r="I90" s="19"/>
      <c r="J90" s="20"/>
    </row>
    <row r="91" spans="1:10" ht="189">
      <c r="A91" s="190" t="s">
        <v>3809</v>
      </c>
      <c r="B91" s="172" t="s">
        <v>3818</v>
      </c>
      <c r="C91" s="177" t="s">
        <v>3819</v>
      </c>
      <c r="D91" s="172" t="s">
        <v>3812</v>
      </c>
      <c r="E91" s="183" t="s">
        <v>3820</v>
      </c>
      <c r="F91" s="202" t="s">
        <v>3814</v>
      </c>
      <c r="G91" s="281" t="s">
        <v>30</v>
      </c>
      <c r="H91" s="19"/>
      <c r="I91" s="19"/>
      <c r="J91" s="20"/>
    </row>
    <row r="92" spans="1:10" ht="67.5">
      <c r="A92" s="190" t="s">
        <v>3809</v>
      </c>
      <c r="B92" s="172" t="s">
        <v>3821</v>
      </c>
      <c r="C92" s="172" t="s">
        <v>3822</v>
      </c>
      <c r="D92" s="172" t="s">
        <v>3823</v>
      </c>
      <c r="E92" s="172" t="s">
        <v>3824</v>
      </c>
      <c r="F92" s="189" t="s">
        <v>3825</v>
      </c>
      <c r="G92" s="281" t="s">
        <v>30</v>
      </c>
      <c r="H92" s="19"/>
      <c r="I92" s="19"/>
      <c r="J92" s="20"/>
    </row>
    <row r="93" spans="1:10" ht="40.5">
      <c r="A93" s="279" t="s">
        <v>3874</v>
      </c>
      <c r="B93" s="248" t="s">
        <v>3887</v>
      </c>
      <c r="C93" s="280" t="s">
        <v>3888</v>
      </c>
      <c r="D93" s="267" t="s">
        <v>23</v>
      </c>
      <c r="E93" s="210" t="s">
        <v>3889</v>
      </c>
      <c r="F93" s="268" t="s">
        <v>3890</v>
      </c>
      <c r="G93" s="281" t="s">
        <v>233</v>
      </c>
      <c r="H93" s="19"/>
      <c r="I93" s="19"/>
      <c r="J93" s="20"/>
    </row>
    <row r="94" spans="1:10" ht="94.5">
      <c r="A94" s="191" t="s">
        <v>3833</v>
      </c>
      <c r="B94" s="248" t="s">
        <v>4034</v>
      </c>
      <c r="C94" s="172" t="s">
        <v>4035</v>
      </c>
      <c r="D94" s="172" t="s">
        <v>2984</v>
      </c>
      <c r="E94" s="172" t="s">
        <v>4036</v>
      </c>
      <c r="F94" s="189" t="s">
        <v>4037</v>
      </c>
      <c r="G94" s="281" t="s">
        <v>30</v>
      </c>
      <c r="H94" s="19"/>
      <c r="I94" s="19"/>
      <c r="J94" s="20"/>
    </row>
    <row r="95" spans="1:10" ht="108">
      <c r="A95" s="190" t="s">
        <v>4108</v>
      </c>
      <c r="B95" s="172" t="s">
        <v>4109</v>
      </c>
      <c r="C95" s="172" t="s">
        <v>4110</v>
      </c>
      <c r="D95" s="172" t="s">
        <v>23</v>
      </c>
      <c r="E95" s="172" t="s">
        <v>4111</v>
      </c>
      <c r="F95" s="189" t="s">
        <v>4112</v>
      </c>
      <c r="G95" s="281" t="s">
        <v>30</v>
      </c>
      <c r="H95" s="19"/>
      <c r="I95" s="19"/>
      <c r="J95" s="20"/>
    </row>
    <row r="96" spans="1:10" ht="81">
      <c r="A96" s="190" t="s">
        <v>4108</v>
      </c>
      <c r="B96" s="172" t="s">
        <v>4126</v>
      </c>
      <c r="C96" s="172" t="s">
        <v>4127</v>
      </c>
      <c r="D96" s="172" t="s">
        <v>23</v>
      </c>
      <c r="E96" s="172" t="s">
        <v>4128</v>
      </c>
      <c r="F96" s="189" t="s">
        <v>4129</v>
      </c>
      <c r="G96" s="281" t="s">
        <v>233</v>
      </c>
      <c r="H96" s="19"/>
      <c r="I96" s="19"/>
      <c r="J96" s="20"/>
    </row>
    <row r="97" spans="1:10" ht="40.5">
      <c r="A97" s="190" t="s">
        <v>4108</v>
      </c>
      <c r="B97" s="172" t="s">
        <v>4145</v>
      </c>
      <c r="C97" s="172" t="s">
        <v>4146</v>
      </c>
      <c r="D97" s="172" t="s">
        <v>4147</v>
      </c>
      <c r="E97" s="172" t="s">
        <v>4148</v>
      </c>
      <c r="F97" s="189" t="s">
        <v>4149</v>
      </c>
      <c r="G97" s="281" t="s">
        <v>30</v>
      </c>
      <c r="H97" s="19"/>
      <c r="I97" s="19"/>
      <c r="J97" s="20"/>
    </row>
    <row r="98" spans="1:10" ht="81">
      <c r="A98" s="191" t="s">
        <v>4233</v>
      </c>
      <c r="B98" s="172" t="s">
        <v>4234</v>
      </c>
      <c r="C98" s="172" t="s">
        <v>4235</v>
      </c>
      <c r="D98" s="172" t="s">
        <v>23</v>
      </c>
      <c r="E98" s="172" t="s">
        <v>4236</v>
      </c>
      <c r="F98" s="189" t="s">
        <v>4237</v>
      </c>
      <c r="G98" s="281" t="s">
        <v>233</v>
      </c>
      <c r="H98" s="19"/>
      <c r="I98" s="19"/>
      <c r="J98" s="20"/>
    </row>
    <row r="99" spans="1:10" ht="121.5">
      <c r="A99" s="196" t="s">
        <v>4337</v>
      </c>
      <c r="B99" s="172" t="s">
        <v>4338</v>
      </c>
      <c r="C99" s="172" t="s">
        <v>4339</v>
      </c>
      <c r="D99" s="172" t="s">
        <v>23</v>
      </c>
      <c r="E99" s="172" t="s">
        <v>4340</v>
      </c>
      <c r="F99" s="189" t="s">
        <v>4341</v>
      </c>
      <c r="G99" s="281" t="s">
        <v>30</v>
      </c>
      <c r="H99" s="19"/>
      <c r="I99" s="19"/>
      <c r="J99" s="20"/>
    </row>
    <row r="100" spans="1:10" ht="243">
      <c r="A100" s="196" t="s">
        <v>4457</v>
      </c>
      <c r="B100" s="172" t="s">
        <v>4458</v>
      </c>
      <c r="C100" s="172" t="s">
        <v>4459</v>
      </c>
      <c r="D100" s="172" t="s">
        <v>23</v>
      </c>
      <c r="E100" s="172" t="s">
        <v>4460</v>
      </c>
      <c r="F100" s="189" t="s">
        <v>4461</v>
      </c>
      <c r="G100" s="281" t="s">
        <v>233</v>
      </c>
      <c r="H100" s="19"/>
      <c r="I100" s="19"/>
      <c r="J100" s="20"/>
    </row>
    <row r="101" spans="1:10" ht="40.5">
      <c r="A101" s="196" t="s">
        <v>4483</v>
      </c>
      <c r="B101" s="172" t="s">
        <v>4484</v>
      </c>
      <c r="C101" s="172" t="s">
        <v>4485</v>
      </c>
      <c r="D101" s="172" t="s">
        <v>4486</v>
      </c>
      <c r="E101" s="172" t="s">
        <v>4487</v>
      </c>
      <c r="F101" s="189" t="s">
        <v>4488</v>
      </c>
      <c r="G101" s="281" t="s">
        <v>233</v>
      </c>
      <c r="H101" s="19"/>
      <c r="I101" s="19"/>
      <c r="J101" s="20"/>
    </row>
    <row r="102" spans="1:10" ht="40.5">
      <c r="A102" s="196" t="s">
        <v>4520</v>
      </c>
      <c r="B102" s="172" t="s">
        <v>4521</v>
      </c>
      <c r="C102" s="172" t="s">
        <v>4522</v>
      </c>
      <c r="D102" s="172" t="s">
        <v>23</v>
      </c>
      <c r="E102" s="189" t="s">
        <v>4523</v>
      </c>
      <c r="F102" s="189" t="s">
        <v>4524</v>
      </c>
      <c r="G102" s="281" t="s">
        <v>30</v>
      </c>
      <c r="H102" s="19"/>
      <c r="I102" s="19"/>
      <c r="J102" s="20"/>
    </row>
    <row r="103" spans="1:10" ht="81">
      <c r="A103" s="196" t="s">
        <v>4533</v>
      </c>
      <c r="B103" s="172" t="s">
        <v>4534</v>
      </c>
      <c r="C103" s="172" t="s">
        <v>4535</v>
      </c>
      <c r="D103" s="172" t="s">
        <v>23</v>
      </c>
      <c r="E103" s="189" t="s">
        <v>4536</v>
      </c>
      <c r="F103" s="189" t="s">
        <v>4537</v>
      </c>
      <c r="G103" s="281" t="s">
        <v>233</v>
      </c>
      <c r="H103" s="19"/>
      <c r="I103" s="19"/>
      <c r="J103" s="20"/>
    </row>
    <row r="104" spans="1:10" ht="67.5">
      <c r="A104" s="196" t="s">
        <v>4551</v>
      </c>
      <c r="B104" s="172" t="s">
        <v>4552</v>
      </c>
      <c r="C104" s="172" t="s">
        <v>4553</v>
      </c>
      <c r="D104" s="172" t="s">
        <v>23</v>
      </c>
      <c r="E104" s="189" t="s">
        <v>4554</v>
      </c>
      <c r="F104" s="189" t="s">
        <v>4555</v>
      </c>
      <c r="G104" s="281" t="s">
        <v>30</v>
      </c>
      <c r="H104" s="19"/>
      <c r="I104" s="19"/>
      <c r="J104" s="20"/>
    </row>
    <row r="105" spans="1:10" ht="54">
      <c r="A105" s="185" t="s">
        <v>4568</v>
      </c>
      <c r="B105" s="172" t="s">
        <v>4576</v>
      </c>
      <c r="C105" s="172" t="s">
        <v>4577</v>
      </c>
      <c r="D105" s="172" t="s">
        <v>4570</v>
      </c>
      <c r="E105" s="172" t="s">
        <v>4578</v>
      </c>
      <c r="F105" s="189" t="s">
        <v>4579</v>
      </c>
      <c r="G105" s="281" t="s">
        <v>233</v>
      </c>
      <c r="H105" s="19"/>
      <c r="I105" s="19"/>
      <c r="J105" s="20"/>
    </row>
    <row r="106" spans="1:10" ht="40.5">
      <c r="A106" s="185" t="s">
        <v>4719</v>
      </c>
      <c r="B106" s="172" t="s">
        <v>4720</v>
      </c>
      <c r="C106" s="172" t="s">
        <v>4721</v>
      </c>
      <c r="D106" s="172" t="s">
        <v>4570</v>
      </c>
      <c r="E106" s="177" t="s">
        <v>4722</v>
      </c>
      <c r="F106" s="189" t="s">
        <v>4723</v>
      </c>
      <c r="G106" s="281" t="s">
        <v>233</v>
      </c>
      <c r="H106" s="19"/>
      <c r="I106" s="19"/>
      <c r="J106" s="20"/>
    </row>
    <row r="107" spans="1:10" ht="40.5">
      <c r="A107" s="246" t="s">
        <v>4741</v>
      </c>
      <c r="B107" s="278" t="s">
        <v>4746</v>
      </c>
      <c r="C107" s="24" t="s">
        <v>4747</v>
      </c>
      <c r="D107" s="16" t="s">
        <v>4744</v>
      </c>
      <c r="E107" s="16" t="s">
        <v>4748</v>
      </c>
      <c r="F107" s="204" t="s">
        <v>4749</v>
      </c>
      <c r="G107" s="293" t="s">
        <v>233</v>
      </c>
      <c r="H107" s="19"/>
      <c r="I107" s="19"/>
      <c r="J107" s="20"/>
    </row>
    <row r="108" spans="1:10" ht="81">
      <c r="A108" s="246" t="s">
        <v>4761</v>
      </c>
      <c r="B108" s="278" t="s">
        <v>4769</v>
      </c>
      <c r="C108" s="24" t="s">
        <v>4770</v>
      </c>
      <c r="D108" s="16" t="s">
        <v>4764</v>
      </c>
      <c r="E108" s="16" t="s">
        <v>4771</v>
      </c>
      <c r="F108" s="204" t="s">
        <v>4772</v>
      </c>
      <c r="G108" s="293" t="s">
        <v>233</v>
      </c>
      <c r="H108" s="19"/>
      <c r="I108" s="19"/>
      <c r="J108" s="20"/>
    </row>
    <row r="109" spans="1:10" ht="54">
      <c r="A109" s="247" t="s">
        <v>4800</v>
      </c>
      <c r="B109" s="278" t="s">
        <v>4804</v>
      </c>
      <c r="C109" s="24" t="s">
        <v>4805</v>
      </c>
      <c r="D109" s="16" t="s">
        <v>4764</v>
      </c>
      <c r="E109" s="16" t="s">
        <v>4806</v>
      </c>
      <c r="F109" s="204" t="s">
        <v>4807</v>
      </c>
      <c r="G109" s="293" t="s">
        <v>233</v>
      </c>
      <c r="H109" s="19"/>
      <c r="I109" s="19"/>
      <c r="J109" s="20"/>
    </row>
    <row r="110" spans="1:10" ht="94.5">
      <c r="A110" s="247" t="s">
        <v>4812</v>
      </c>
      <c r="B110" s="278" t="s">
        <v>4822</v>
      </c>
      <c r="C110" s="24" t="s">
        <v>4823</v>
      </c>
      <c r="D110" s="16" t="s">
        <v>4815</v>
      </c>
      <c r="E110" s="16" t="s">
        <v>4824</v>
      </c>
      <c r="F110" s="204" t="s">
        <v>4825</v>
      </c>
      <c r="G110" s="293" t="s">
        <v>233</v>
      </c>
      <c r="H110" s="19"/>
      <c r="I110" s="19"/>
      <c r="J110" s="20"/>
    </row>
    <row r="111" spans="1:10" ht="175.5">
      <c r="A111" s="246" t="s">
        <v>4846</v>
      </c>
      <c r="B111" s="278" t="s">
        <v>4847</v>
      </c>
      <c r="C111" s="24" t="s">
        <v>4848</v>
      </c>
      <c r="D111" s="222" t="s">
        <v>4849</v>
      </c>
      <c r="E111" s="222" t="s">
        <v>4850</v>
      </c>
      <c r="F111" s="249" t="s">
        <v>4851</v>
      </c>
      <c r="G111" s="293" t="s">
        <v>233</v>
      </c>
      <c r="H111" s="19"/>
      <c r="I111" s="19"/>
      <c r="J111" s="20"/>
    </row>
    <row r="112" spans="1:10" ht="175.5">
      <c r="A112" s="247" t="s">
        <v>4879</v>
      </c>
      <c r="B112" s="278" t="s">
        <v>4882</v>
      </c>
      <c r="C112" s="24" t="s">
        <v>4883</v>
      </c>
      <c r="D112" s="16" t="s">
        <v>4764</v>
      </c>
      <c r="E112" s="16" t="s">
        <v>4884</v>
      </c>
      <c r="F112" s="204" t="s">
        <v>4854</v>
      </c>
      <c r="G112" s="293" t="s">
        <v>233</v>
      </c>
      <c r="H112" s="19"/>
      <c r="I112" s="19"/>
      <c r="J112" s="20"/>
    </row>
    <row r="113" spans="1:10" ht="175.5">
      <c r="A113" s="247" t="s">
        <v>4888</v>
      </c>
      <c r="B113" s="278" t="s">
        <v>4889</v>
      </c>
      <c r="C113" s="24" t="s">
        <v>4890</v>
      </c>
      <c r="D113" s="16" t="s">
        <v>4764</v>
      </c>
      <c r="E113" s="16" t="s">
        <v>4891</v>
      </c>
      <c r="F113" s="204" t="s">
        <v>4854</v>
      </c>
      <c r="G113" s="293" t="s">
        <v>233</v>
      </c>
      <c r="H113" s="19"/>
      <c r="I113" s="19"/>
      <c r="J113" s="20"/>
    </row>
    <row r="114" spans="1:10" ht="67.5">
      <c r="A114" s="291" t="s">
        <v>4894</v>
      </c>
      <c r="B114" s="23" t="s">
        <v>4895</v>
      </c>
      <c r="C114" s="23" t="s">
        <v>4896</v>
      </c>
      <c r="D114" s="16" t="s">
        <v>4744</v>
      </c>
      <c r="E114" s="16" t="s">
        <v>4897</v>
      </c>
      <c r="F114" s="204" t="s">
        <v>4898</v>
      </c>
      <c r="G114" s="293" t="s">
        <v>233</v>
      </c>
      <c r="H114" s="19"/>
      <c r="I114" s="19"/>
      <c r="J114" s="20"/>
    </row>
    <row r="115" spans="1:10" ht="67.5">
      <c r="A115" s="247" t="s">
        <v>4922</v>
      </c>
      <c r="B115" s="278" t="s">
        <v>4923</v>
      </c>
      <c r="C115" s="24" t="s">
        <v>4924</v>
      </c>
      <c r="D115" s="16" t="s">
        <v>4744</v>
      </c>
      <c r="E115" s="16" t="s">
        <v>4925</v>
      </c>
      <c r="F115" s="204" t="s">
        <v>4926</v>
      </c>
      <c r="G115" s="293" t="s">
        <v>233</v>
      </c>
      <c r="H115" s="19"/>
      <c r="I115" s="19"/>
      <c r="J115" s="20"/>
    </row>
    <row r="116" spans="1:10" ht="67.5">
      <c r="A116" s="246" t="s">
        <v>4950</v>
      </c>
      <c r="B116" s="278" t="s">
        <v>4951</v>
      </c>
      <c r="C116" s="24" t="s">
        <v>4952</v>
      </c>
      <c r="D116" s="16" t="s">
        <v>4744</v>
      </c>
      <c r="E116" s="16" t="s">
        <v>4953</v>
      </c>
      <c r="F116" s="204" t="s">
        <v>4954</v>
      </c>
      <c r="G116" s="293" t="s">
        <v>233</v>
      </c>
      <c r="H116" s="19"/>
      <c r="I116" s="19"/>
      <c r="J116" s="20"/>
    </row>
    <row r="117" spans="1:10" ht="67.5">
      <c r="A117" s="246" t="s">
        <v>4950</v>
      </c>
      <c r="B117" s="278" t="s">
        <v>4955</v>
      </c>
      <c r="C117" s="24" t="s">
        <v>4956</v>
      </c>
      <c r="D117" s="16" t="s">
        <v>4744</v>
      </c>
      <c r="E117" s="16" t="s">
        <v>4957</v>
      </c>
      <c r="F117" s="204" t="s">
        <v>4958</v>
      </c>
      <c r="G117" s="293" t="s">
        <v>233</v>
      </c>
      <c r="H117" s="19"/>
      <c r="I117" s="19"/>
      <c r="J117" s="20"/>
    </row>
    <row r="118" spans="1:10" ht="67.5">
      <c r="A118" s="247" t="s">
        <v>4997</v>
      </c>
      <c r="B118" s="278" t="s">
        <v>4998</v>
      </c>
      <c r="C118" s="24" t="s">
        <v>4999</v>
      </c>
      <c r="D118" s="16" t="s">
        <v>4744</v>
      </c>
      <c r="E118" s="16" t="s">
        <v>5000</v>
      </c>
      <c r="F118" s="204" t="s">
        <v>5001</v>
      </c>
      <c r="G118" s="293" t="s">
        <v>233</v>
      </c>
      <c r="H118" s="19"/>
      <c r="I118" s="19"/>
      <c r="J118" s="20"/>
    </row>
    <row r="119" spans="1:10" ht="54">
      <c r="A119" s="247" t="s">
        <v>5067</v>
      </c>
      <c r="B119" s="278" t="s">
        <v>5068</v>
      </c>
      <c r="C119" s="165" t="s">
        <v>5069</v>
      </c>
      <c r="D119" s="288" t="s">
        <v>5070</v>
      </c>
      <c r="E119" s="288" t="s">
        <v>5071</v>
      </c>
      <c r="F119" s="289" t="s">
        <v>5072</v>
      </c>
      <c r="G119" s="293" t="s">
        <v>233</v>
      </c>
      <c r="H119" s="19"/>
      <c r="I119" s="19"/>
      <c r="J119" s="20"/>
    </row>
    <row r="120" spans="1:10" ht="54">
      <c r="A120" s="290" t="s">
        <v>5098</v>
      </c>
      <c r="B120" s="239" t="s">
        <v>5099</v>
      </c>
      <c r="C120" s="165" t="s">
        <v>5100</v>
      </c>
      <c r="D120" s="288" t="s">
        <v>5070</v>
      </c>
      <c r="E120" s="288" t="s">
        <v>5101</v>
      </c>
      <c r="F120" s="241" t="s">
        <v>5102</v>
      </c>
      <c r="G120" s="293" t="s">
        <v>233</v>
      </c>
      <c r="H120" s="19"/>
      <c r="I120" s="19"/>
      <c r="J120" s="20"/>
    </row>
    <row r="121" spans="1:10" ht="54">
      <c r="A121" s="246" t="s">
        <v>5120</v>
      </c>
      <c r="B121" s="239" t="s">
        <v>5121</v>
      </c>
      <c r="C121" s="165" t="s">
        <v>5122</v>
      </c>
      <c r="D121" s="288" t="s">
        <v>5070</v>
      </c>
      <c r="E121" s="288" t="s">
        <v>5123</v>
      </c>
      <c r="F121" s="241" t="s">
        <v>5124</v>
      </c>
      <c r="G121" s="293" t="s">
        <v>233</v>
      </c>
      <c r="H121" s="19"/>
      <c r="I121" s="19"/>
      <c r="J121" s="20"/>
    </row>
    <row r="122" spans="1:10" ht="67.5">
      <c r="A122" s="247" t="s">
        <v>5155</v>
      </c>
      <c r="B122" s="239" t="s">
        <v>5156</v>
      </c>
      <c r="C122" s="165" t="s">
        <v>5157</v>
      </c>
      <c r="D122" s="288" t="s">
        <v>5070</v>
      </c>
      <c r="E122" s="288" t="s">
        <v>5158</v>
      </c>
      <c r="F122" s="288" t="s">
        <v>5159</v>
      </c>
      <c r="G122" s="293" t="s">
        <v>233</v>
      </c>
      <c r="H122" s="19"/>
      <c r="I122" s="19"/>
      <c r="J122" s="20"/>
    </row>
    <row r="123" spans="1:10" ht="67.5">
      <c r="A123" s="246" t="s">
        <v>5160</v>
      </c>
      <c r="B123" s="278" t="s">
        <v>5161</v>
      </c>
      <c r="C123" s="165" t="s">
        <v>5162</v>
      </c>
      <c r="D123" s="288" t="s">
        <v>5070</v>
      </c>
      <c r="E123" s="288" t="s">
        <v>5163</v>
      </c>
      <c r="F123" s="289" t="s">
        <v>5164</v>
      </c>
      <c r="G123" s="293" t="s">
        <v>233</v>
      </c>
      <c r="H123" s="19"/>
      <c r="I123" s="19"/>
      <c r="J123" s="20"/>
    </row>
    <row r="124" spans="1:10" ht="121.5">
      <c r="A124" s="25" t="s">
        <v>5197</v>
      </c>
      <c r="B124" s="239" t="s">
        <v>5198</v>
      </c>
      <c r="C124" s="240" t="s">
        <v>5199</v>
      </c>
      <c r="D124" s="162" t="s">
        <v>5070</v>
      </c>
      <c r="E124" s="162" t="s">
        <v>5200</v>
      </c>
      <c r="F124" s="241" t="s">
        <v>5201</v>
      </c>
      <c r="G124" s="293" t="s">
        <v>30</v>
      </c>
      <c r="H124" s="19"/>
      <c r="I124" s="19"/>
      <c r="J124" s="20"/>
    </row>
    <row r="125" spans="1:10" ht="67.5">
      <c r="A125" s="247" t="s">
        <v>5216</v>
      </c>
      <c r="B125" s="239" t="s">
        <v>5217</v>
      </c>
      <c r="C125" s="240" t="s">
        <v>5218</v>
      </c>
      <c r="D125" s="162" t="s">
        <v>4744</v>
      </c>
      <c r="E125" s="162" t="s">
        <v>5219</v>
      </c>
      <c r="F125" s="241" t="s">
        <v>5220</v>
      </c>
      <c r="G125" s="293" t="s">
        <v>233</v>
      </c>
      <c r="H125" s="19"/>
      <c r="I125" s="19"/>
      <c r="J125" s="20"/>
    </row>
    <row r="126" spans="1:10" ht="27">
      <c r="A126" s="246" t="s">
        <v>5258</v>
      </c>
      <c r="B126" s="239" t="s">
        <v>5262</v>
      </c>
      <c r="C126" s="240" t="s">
        <v>5263</v>
      </c>
      <c r="D126" s="162" t="s">
        <v>4744</v>
      </c>
      <c r="E126" s="162" t="s">
        <v>5264</v>
      </c>
      <c r="F126" s="241" t="s">
        <v>5265</v>
      </c>
      <c r="G126" s="293" t="s">
        <v>233</v>
      </c>
      <c r="H126" s="19"/>
      <c r="I126" s="19"/>
      <c r="J126" s="20"/>
    </row>
    <row r="127" spans="1:10" ht="27">
      <c r="A127" s="246" t="s">
        <v>5285</v>
      </c>
      <c r="B127" s="278" t="s">
        <v>5312</v>
      </c>
      <c r="C127" s="24" t="s">
        <v>5313</v>
      </c>
      <c r="D127" s="16" t="s">
        <v>4744</v>
      </c>
      <c r="E127" s="16" t="s">
        <v>5314</v>
      </c>
      <c r="F127" s="204" t="s">
        <v>5315</v>
      </c>
      <c r="G127" s="293" t="s">
        <v>233</v>
      </c>
      <c r="H127" s="19"/>
      <c r="I127" s="19"/>
      <c r="J127" s="20"/>
    </row>
    <row r="128" spans="1:10" ht="27">
      <c r="A128" s="246" t="s">
        <v>5285</v>
      </c>
      <c r="B128" s="278" t="s">
        <v>5321</v>
      </c>
      <c r="C128" s="24" t="s">
        <v>5322</v>
      </c>
      <c r="D128" s="16" t="s">
        <v>4744</v>
      </c>
      <c r="E128" s="16" t="s">
        <v>5323</v>
      </c>
      <c r="F128" s="204" t="s">
        <v>5324</v>
      </c>
      <c r="G128" s="293" t="s">
        <v>233</v>
      </c>
      <c r="H128" s="19"/>
      <c r="I128" s="19"/>
      <c r="J128" s="20"/>
    </row>
    <row r="129" spans="1:10" ht="27">
      <c r="A129" s="247" t="s">
        <v>5403</v>
      </c>
      <c r="B129" s="278" t="s">
        <v>5408</v>
      </c>
      <c r="C129" s="16" t="s">
        <v>5409</v>
      </c>
      <c r="D129" s="16" t="s">
        <v>4744</v>
      </c>
      <c r="E129" s="16" t="s">
        <v>5410</v>
      </c>
      <c r="F129" s="204" t="s">
        <v>5411</v>
      </c>
      <c r="G129" s="293" t="s">
        <v>233</v>
      </c>
      <c r="H129" s="19"/>
      <c r="I129" s="19"/>
      <c r="J129" s="20"/>
    </row>
    <row r="130" spans="1:10" ht="189">
      <c r="A130" s="27" t="s">
        <v>5558</v>
      </c>
      <c r="B130" s="278" t="s">
        <v>5565</v>
      </c>
      <c r="C130" s="24" t="s">
        <v>5566</v>
      </c>
      <c r="D130" s="16" t="s">
        <v>5534</v>
      </c>
      <c r="E130" s="16" t="s">
        <v>5567</v>
      </c>
      <c r="F130" s="204" t="s">
        <v>5568</v>
      </c>
      <c r="G130" s="293" t="s">
        <v>30</v>
      </c>
      <c r="H130" s="19"/>
      <c r="I130" s="19"/>
      <c r="J130" s="20"/>
    </row>
    <row r="131" spans="1:10" ht="121.5">
      <c r="A131" s="21" t="s">
        <v>5589</v>
      </c>
      <c r="B131" s="278" t="s">
        <v>5590</v>
      </c>
      <c r="C131" s="24" t="s">
        <v>5591</v>
      </c>
      <c r="D131" s="16" t="s">
        <v>5534</v>
      </c>
      <c r="E131" s="16" t="s">
        <v>5592</v>
      </c>
      <c r="F131" s="204" t="s">
        <v>5593</v>
      </c>
      <c r="G131" s="293" t="s">
        <v>30</v>
      </c>
      <c r="H131" s="19"/>
      <c r="I131" s="19"/>
      <c r="J131" s="20"/>
    </row>
    <row r="132" spans="1:10" ht="40.5">
      <c r="A132" s="21" t="s">
        <v>5642</v>
      </c>
      <c r="B132" s="278" t="s">
        <v>5646</v>
      </c>
      <c r="C132" s="24" t="s">
        <v>5647</v>
      </c>
      <c r="D132" s="16" t="s">
        <v>5534</v>
      </c>
      <c r="E132" s="16" t="s">
        <v>5648</v>
      </c>
      <c r="F132" s="204" t="s">
        <v>5649</v>
      </c>
      <c r="G132" s="293" t="s">
        <v>30</v>
      </c>
      <c r="H132" s="19"/>
      <c r="I132" s="19"/>
      <c r="J132" s="20"/>
    </row>
    <row r="133" spans="1:10" ht="67.5">
      <c r="A133" s="18" t="s">
        <v>5665</v>
      </c>
      <c r="B133" s="26" t="s">
        <v>5669</v>
      </c>
      <c r="C133" s="23" t="s">
        <v>5670</v>
      </c>
      <c r="D133" s="17" t="s">
        <v>5534</v>
      </c>
      <c r="E133" s="17" t="s">
        <v>5671</v>
      </c>
      <c r="F133" s="227" t="s">
        <v>5672</v>
      </c>
      <c r="G133" s="293" t="s">
        <v>30</v>
      </c>
      <c r="H133" s="19"/>
      <c r="I133" s="19"/>
      <c r="J133" s="20"/>
    </row>
    <row r="134" spans="1:10" ht="67.5">
      <c r="A134" s="21" t="s">
        <v>5689</v>
      </c>
      <c r="B134" s="278" t="s">
        <v>5697</v>
      </c>
      <c r="C134" s="24" t="s">
        <v>5698</v>
      </c>
      <c r="D134" s="16" t="s">
        <v>5534</v>
      </c>
      <c r="E134" s="16" t="s">
        <v>5699</v>
      </c>
      <c r="F134" s="204" t="s">
        <v>5700</v>
      </c>
      <c r="G134" s="293" t="s">
        <v>30</v>
      </c>
      <c r="H134" s="19"/>
      <c r="I134" s="19"/>
      <c r="J134" s="20"/>
    </row>
    <row r="135" spans="1:10" ht="40.5">
      <c r="A135" s="16" t="s">
        <v>5751</v>
      </c>
      <c r="B135" s="278" t="s">
        <v>5752</v>
      </c>
      <c r="C135" s="24" t="s">
        <v>5753</v>
      </c>
      <c r="D135" s="16" t="s">
        <v>5534</v>
      </c>
      <c r="E135" s="16" t="s">
        <v>5754</v>
      </c>
      <c r="F135" s="204" t="s">
        <v>5755</v>
      </c>
      <c r="G135" s="293" t="s">
        <v>30</v>
      </c>
      <c r="H135" s="19"/>
      <c r="I135" s="19"/>
      <c r="J135" s="20"/>
    </row>
    <row r="136" spans="1:10" ht="121.5">
      <c r="A136" s="21" t="s">
        <v>5759</v>
      </c>
      <c r="B136" s="278" t="s">
        <v>5760</v>
      </c>
      <c r="C136" s="24" t="s">
        <v>5761</v>
      </c>
      <c r="D136" s="16" t="s">
        <v>5534</v>
      </c>
      <c r="E136" s="16" t="s">
        <v>5762</v>
      </c>
      <c r="F136" s="204" t="s">
        <v>5763</v>
      </c>
      <c r="G136" s="293" t="s">
        <v>30</v>
      </c>
      <c r="H136" s="19"/>
      <c r="I136" s="19"/>
      <c r="J136" s="20"/>
    </row>
    <row r="137" spans="1:10" ht="54">
      <c r="A137" s="21" t="s">
        <v>5764</v>
      </c>
      <c r="B137" s="278" t="s">
        <v>5769</v>
      </c>
      <c r="C137" s="24" t="s">
        <v>5770</v>
      </c>
      <c r="D137" s="16" t="s">
        <v>5534</v>
      </c>
      <c r="E137" s="16" t="s">
        <v>5771</v>
      </c>
      <c r="F137" s="204" t="s">
        <v>5772</v>
      </c>
      <c r="G137" s="293" t="s">
        <v>30</v>
      </c>
      <c r="H137" s="19"/>
      <c r="I137" s="19"/>
      <c r="J137" s="20"/>
    </row>
    <row r="138" spans="1:10" ht="54">
      <c r="A138" s="188" t="s">
        <v>5776</v>
      </c>
      <c r="B138" s="239" t="s">
        <v>5786</v>
      </c>
      <c r="C138" s="240" t="s">
        <v>5787</v>
      </c>
      <c r="D138" s="162" t="s">
        <v>5534</v>
      </c>
      <c r="E138" s="162" t="s">
        <v>5788</v>
      </c>
      <c r="F138" s="241" t="s">
        <v>5789</v>
      </c>
      <c r="G138" s="293" t="s">
        <v>30</v>
      </c>
      <c r="H138" s="19"/>
      <c r="I138" s="19"/>
      <c r="J138" s="20"/>
    </row>
    <row r="139" spans="1:10" ht="121.5">
      <c r="A139" s="21" t="s">
        <v>5832</v>
      </c>
      <c r="B139" s="278" t="s">
        <v>5840</v>
      </c>
      <c r="C139" s="24" t="s">
        <v>5841</v>
      </c>
      <c r="D139" s="16" t="s">
        <v>5534</v>
      </c>
      <c r="E139" s="16" t="s">
        <v>5842</v>
      </c>
      <c r="F139" s="204" t="s">
        <v>5843</v>
      </c>
      <c r="G139" s="293" t="s">
        <v>30</v>
      </c>
      <c r="H139" s="19"/>
      <c r="I139" s="19"/>
      <c r="J139" s="20"/>
    </row>
    <row r="140" spans="1:10" ht="67.5">
      <c r="A140" s="21" t="s">
        <v>5879</v>
      </c>
      <c r="B140" s="278" t="s">
        <v>5891</v>
      </c>
      <c r="C140" s="24" t="s">
        <v>5892</v>
      </c>
      <c r="D140" s="16" t="s">
        <v>5534</v>
      </c>
      <c r="E140" s="16" t="s">
        <v>5893</v>
      </c>
      <c r="F140" s="204" t="s">
        <v>5894</v>
      </c>
      <c r="G140" s="293" t="s">
        <v>30</v>
      </c>
      <c r="H140" s="19"/>
      <c r="I140" s="19"/>
      <c r="J140" s="20"/>
    </row>
  </sheetData>
  <phoneticPr fontId="12" type="noConversion"/>
  <conditionalFormatting sqref="H1:H1048576">
    <cfRule type="cellIs" dxfId="7" priority="1" operator="equal">
      <formula>"Passed"</formula>
    </cfRule>
    <cfRule type="cellIs" dxfId="6" priority="2" operator="equal">
      <formula>"Unavailable"</formula>
    </cfRule>
    <cfRule type="cellIs" dxfId="5" priority="3" operator="equal">
      <formula>"Failed"</formula>
    </cfRule>
    <cfRule type="cellIs" dxfId="4" priority="4" operator="equal">
      <formula>"Blocked"</formula>
    </cfRule>
  </conditionalFormatting>
  <dataValidations count="1">
    <dataValidation type="list" allowBlank="1" showInputMessage="1" showErrorMessage="1" sqref="H2" xr:uid="{1F71D999-DC83-427B-A377-2AF6262F2EEC}">
      <formula1>"Passed,Failed,Blocked,Unavailable"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D088-7479-4DB3-8F89-3ADA4627CE32}">
  <dimension ref="A1:O47"/>
  <sheetViews>
    <sheetView workbookViewId="0">
      <selection activeCell="F7" sqref="F7"/>
    </sheetView>
  </sheetViews>
  <sheetFormatPr defaultRowHeight="14.25"/>
  <cols>
    <col min="3" max="3" width="14.5" customWidth="1"/>
    <col min="4" max="4" width="27.375" customWidth="1"/>
    <col min="5" max="5" width="33.625" customWidth="1"/>
    <col min="6" max="6" width="40.625" customWidth="1"/>
    <col min="7" max="7" width="54.75" customWidth="1"/>
  </cols>
  <sheetData>
    <row r="1" spans="1:15" ht="27">
      <c r="A1" s="166" t="s">
        <v>6</v>
      </c>
      <c r="B1" s="166" t="s">
        <v>7</v>
      </c>
      <c r="C1" s="166" t="s">
        <v>8</v>
      </c>
      <c r="D1" s="166" t="s">
        <v>9</v>
      </c>
      <c r="E1" s="167" t="s">
        <v>10</v>
      </c>
      <c r="F1" s="166" t="s">
        <v>11</v>
      </c>
      <c r="G1" s="169" t="s">
        <v>12</v>
      </c>
      <c r="H1" s="167" t="s">
        <v>13</v>
      </c>
      <c r="I1" s="168" t="s">
        <v>14</v>
      </c>
      <c r="J1" s="169" t="s">
        <v>15</v>
      </c>
      <c r="K1" s="168" t="s">
        <v>16</v>
      </c>
      <c r="L1" s="166" t="s">
        <v>17</v>
      </c>
      <c r="M1" s="167" t="s">
        <v>18</v>
      </c>
      <c r="N1" s="166" t="s">
        <v>19</v>
      </c>
      <c r="O1" s="166" t="s">
        <v>20</v>
      </c>
    </row>
    <row r="2" spans="1:15" ht="67.5">
      <c r="A2" s="403" t="s">
        <v>10271</v>
      </c>
      <c r="B2" s="229" t="s">
        <v>10272</v>
      </c>
      <c r="C2" s="230" t="s">
        <v>10273</v>
      </c>
      <c r="D2" s="230" t="s">
        <v>10274</v>
      </c>
      <c r="E2" s="231" t="s">
        <v>5534</v>
      </c>
      <c r="F2" s="231" t="s">
        <v>10275</v>
      </c>
      <c r="G2" s="232" t="s">
        <v>10276</v>
      </c>
      <c r="H2" s="216"/>
      <c r="I2" s="216"/>
      <c r="J2" s="216"/>
      <c r="K2" s="22"/>
      <c r="L2" s="22"/>
      <c r="M2" s="22"/>
      <c r="N2" s="22"/>
      <c r="O2" s="22"/>
    </row>
    <row r="3" spans="1:15" ht="67.5">
      <c r="A3" s="404"/>
      <c r="B3" s="229" t="s">
        <v>10272</v>
      </c>
      <c r="C3" s="230" t="s">
        <v>10277</v>
      </c>
      <c r="D3" s="230" t="s">
        <v>10278</v>
      </c>
      <c r="E3" s="231" t="s">
        <v>5534</v>
      </c>
      <c r="F3" s="231" t="s">
        <v>10279</v>
      </c>
      <c r="G3" s="232" t="s">
        <v>10280</v>
      </c>
      <c r="H3" s="216"/>
      <c r="I3" s="216"/>
      <c r="J3" s="216"/>
      <c r="K3" s="22"/>
      <c r="L3" s="22"/>
      <c r="M3" s="22"/>
      <c r="N3" s="22"/>
      <c r="O3" s="22"/>
    </row>
    <row r="4" spans="1:15" ht="54">
      <c r="A4" s="404"/>
      <c r="B4" s="229" t="s">
        <v>10272</v>
      </c>
      <c r="C4" s="230" t="s">
        <v>10281</v>
      </c>
      <c r="D4" s="230" t="s">
        <v>10282</v>
      </c>
      <c r="E4" s="231" t="s">
        <v>5534</v>
      </c>
      <c r="F4" s="231" t="s">
        <v>10283</v>
      </c>
      <c r="G4" s="232" t="s">
        <v>10284</v>
      </c>
      <c r="H4" s="216"/>
      <c r="I4" s="216"/>
      <c r="J4" s="216"/>
      <c r="K4" s="22"/>
      <c r="L4" s="22"/>
      <c r="M4" s="22"/>
      <c r="N4" s="22"/>
      <c r="O4" s="22"/>
    </row>
    <row r="5" spans="1:15" ht="175.5">
      <c r="A5" s="404"/>
      <c r="B5" s="233" t="s">
        <v>10272</v>
      </c>
      <c r="C5" s="230" t="s">
        <v>10285</v>
      </c>
      <c r="D5" s="230" t="s">
        <v>10286</v>
      </c>
      <c r="E5" s="231" t="s">
        <v>5534</v>
      </c>
      <c r="F5" s="231" t="s">
        <v>10287</v>
      </c>
      <c r="G5" s="232" t="s">
        <v>10288</v>
      </c>
      <c r="H5" s="221"/>
      <c r="I5" s="221"/>
      <c r="J5" s="221"/>
      <c r="K5" s="38"/>
      <c r="L5" s="38"/>
      <c r="M5" s="38"/>
      <c r="N5" s="38"/>
      <c r="O5" s="38"/>
    </row>
    <row r="6" spans="1:15" ht="67.5">
      <c r="A6" s="404"/>
      <c r="B6" s="229" t="s">
        <v>10272</v>
      </c>
      <c r="C6" s="230" t="s">
        <v>10289</v>
      </c>
      <c r="D6" s="231" t="s">
        <v>10290</v>
      </c>
      <c r="E6" s="231" t="s">
        <v>5534</v>
      </c>
      <c r="F6" s="231" t="s">
        <v>10291</v>
      </c>
      <c r="G6" s="232" t="s">
        <v>10292</v>
      </c>
      <c r="H6" s="216"/>
      <c r="I6" s="216"/>
      <c r="J6" s="216"/>
      <c r="K6" s="22"/>
      <c r="L6" s="22"/>
      <c r="M6" s="22"/>
      <c r="N6" s="22"/>
      <c r="O6" s="22"/>
    </row>
    <row r="7" spans="1:15" ht="283.5">
      <c r="A7" s="404"/>
      <c r="B7" s="233" t="s">
        <v>10272</v>
      </c>
      <c r="C7" s="230" t="s">
        <v>10293</v>
      </c>
      <c r="D7" s="234" t="s">
        <v>10294</v>
      </c>
      <c r="E7" s="231" t="s">
        <v>5534</v>
      </c>
      <c r="F7" s="231" t="s">
        <v>10295</v>
      </c>
      <c r="G7" s="232" t="s">
        <v>10296</v>
      </c>
      <c r="H7" s="221"/>
      <c r="I7" s="221"/>
      <c r="J7" s="221"/>
      <c r="K7" s="38"/>
      <c r="L7" s="38"/>
      <c r="M7" s="38"/>
      <c r="N7" s="38"/>
      <c r="O7" s="38"/>
    </row>
    <row r="8" spans="1:15" ht="54">
      <c r="A8" s="404"/>
      <c r="B8" s="229" t="s">
        <v>10272</v>
      </c>
      <c r="C8" s="230" t="s">
        <v>10297</v>
      </c>
      <c r="D8" s="231" t="s">
        <v>10298</v>
      </c>
      <c r="E8" s="231" t="s">
        <v>5534</v>
      </c>
      <c r="F8" s="231" t="s">
        <v>10299</v>
      </c>
      <c r="G8" s="232" t="s">
        <v>10300</v>
      </c>
      <c r="H8" s="216"/>
      <c r="I8" s="216"/>
      <c r="J8" s="216"/>
      <c r="K8" s="22"/>
      <c r="L8" s="22"/>
      <c r="M8" s="22"/>
      <c r="N8" s="22"/>
      <c r="O8" s="22"/>
    </row>
    <row r="9" spans="1:15" ht="135">
      <c r="A9" s="404"/>
      <c r="B9" s="233" t="s">
        <v>10272</v>
      </c>
      <c r="C9" s="230" t="s">
        <v>10301</v>
      </c>
      <c r="D9" s="235" t="s">
        <v>10302</v>
      </c>
      <c r="E9" s="231" t="s">
        <v>5534</v>
      </c>
      <c r="F9" s="231" t="s">
        <v>10303</v>
      </c>
      <c r="G9" s="232" t="s">
        <v>10304</v>
      </c>
      <c r="H9" s="221"/>
      <c r="I9" s="221"/>
      <c r="J9" s="221"/>
      <c r="K9" s="38"/>
      <c r="L9" s="38"/>
      <c r="M9" s="38"/>
      <c r="N9" s="38"/>
      <c r="O9" s="38"/>
    </row>
    <row r="10" spans="1:15" ht="148.5">
      <c r="A10" s="404"/>
      <c r="B10" s="233" t="s">
        <v>10272</v>
      </c>
      <c r="C10" s="230" t="s">
        <v>10305</v>
      </c>
      <c r="D10" s="236" t="s">
        <v>10306</v>
      </c>
      <c r="E10" s="231" t="s">
        <v>5534</v>
      </c>
      <c r="F10" s="231" t="s">
        <v>10307</v>
      </c>
      <c r="G10" s="232" t="s">
        <v>10308</v>
      </c>
      <c r="H10" s="221"/>
      <c r="I10" s="221"/>
      <c r="J10" s="221"/>
      <c r="K10" s="38"/>
      <c r="L10" s="38"/>
      <c r="M10" s="38"/>
      <c r="N10" s="38"/>
      <c r="O10" s="38"/>
    </row>
    <row r="11" spans="1:15" ht="54">
      <c r="A11" s="404"/>
      <c r="B11" s="229" t="s">
        <v>10272</v>
      </c>
      <c r="C11" s="230" t="s">
        <v>10309</v>
      </c>
      <c r="D11" s="231" t="s">
        <v>10310</v>
      </c>
      <c r="E11" s="231" t="s">
        <v>5534</v>
      </c>
      <c r="F11" s="231" t="s">
        <v>10311</v>
      </c>
      <c r="G11" s="232" t="s">
        <v>10312</v>
      </c>
      <c r="H11" s="216"/>
      <c r="I11" s="216"/>
      <c r="J11" s="216"/>
      <c r="K11" s="22"/>
      <c r="L11" s="22"/>
      <c r="M11" s="22"/>
      <c r="N11" s="22"/>
      <c r="O11" s="22"/>
    </row>
    <row r="12" spans="1:15" ht="256.5">
      <c r="A12" s="404"/>
      <c r="B12" s="233" t="s">
        <v>10272</v>
      </c>
      <c r="C12" s="230" t="s">
        <v>10313</v>
      </c>
      <c r="D12" s="237" t="s">
        <v>10314</v>
      </c>
      <c r="E12" s="231" t="s">
        <v>5534</v>
      </c>
      <c r="F12" s="231" t="s">
        <v>10315</v>
      </c>
      <c r="G12" s="232" t="s">
        <v>10316</v>
      </c>
      <c r="H12" s="221"/>
      <c r="I12" s="221"/>
      <c r="J12" s="221"/>
      <c r="K12" s="38"/>
      <c r="L12" s="38"/>
      <c r="M12" s="38"/>
      <c r="N12" s="38"/>
      <c r="O12" s="38"/>
    </row>
    <row r="13" spans="1:15" ht="54">
      <c r="A13" s="404"/>
      <c r="B13" s="229" t="s">
        <v>10272</v>
      </c>
      <c r="C13" s="230" t="s">
        <v>10317</v>
      </c>
      <c r="D13" s="231" t="s">
        <v>10318</v>
      </c>
      <c r="E13" s="231" t="s">
        <v>5534</v>
      </c>
      <c r="F13" s="231" t="s">
        <v>10319</v>
      </c>
      <c r="G13" s="232" t="s">
        <v>10320</v>
      </c>
      <c r="H13" s="216"/>
      <c r="I13" s="216"/>
      <c r="J13" s="216"/>
      <c r="K13" s="22"/>
      <c r="L13" s="22"/>
      <c r="M13" s="22"/>
      <c r="N13" s="22"/>
      <c r="O13" s="22"/>
    </row>
    <row r="14" spans="1:15" ht="54">
      <c r="A14" s="404"/>
      <c r="B14" s="229" t="s">
        <v>10272</v>
      </c>
      <c r="C14" s="230" t="s">
        <v>10321</v>
      </c>
      <c r="D14" s="230" t="s">
        <v>10322</v>
      </c>
      <c r="E14" s="231" t="s">
        <v>5534</v>
      </c>
      <c r="F14" s="231" t="s">
        <v>10323</v>
      </c>
      <c r="G14" s="232" t="s">
        <v>5799</v>
      </c>
      <c r="H14" s="216"/>
      <c r="I14" s="216"/>
      <c r="J14" s="216"/>
      <c r="K14" s="22"/>
      <c r="L14" s="22"/>
      <c r="M14" s="22"/>
      <c r="N14" s="22"/>
      <c r="O14" s="22"/>
    </row>
    <row r="15" spans="1:15" ht="67.5">
      <c r="A15" s="404"/>
      <c r="B15" s="229" t="s">
        <v>10272</v>
      </c>
      <c r="C15" s="230" t="s">
        <v>10324</v>
      </c>
      <c r="D15" s="230" t="s">
        <v>10325</v>
      </c>
      <c r="E15" s="231" t="s">
        <v>5534</v>
      </c>
      <c r="F15" s="231" t="s">
        <v>10326</v>
      </c>
      <c r="G15" s="232" t="s">
        <v>10327</v>
      </c>
      <c r="H15" s="216"/>
      <c r="I15" s="216"/>
      <c r="J15" s="216"/>
      <c r="K15" s="22"/>
      <c r="L15" s="22"/>
      <c r="M15" s="22"/>
      <c r="N15" s="22"/>
      <c r="O15" s="22"/>
    </row>
    <row r="16" spans="1:15" ht="81">
      <c r="A16" s="404"/>
      <c r="B16" s="229" t="s">
        <v>10272</v>
      </c>
      <c r="C16" s="230" t="s">
        <v>10328</v>
      </c>
      <c r="D16" s="230" t="s">
        <v>10329</v>
      </c>
      <c r="E16" s="231" t="s">
        <v>5534</v>
      </c>
      <c r="F16" s="231" t="s">
        <v>10330</v>
      </c>
      <c r="G16" s="232" t="s">
        <v>10331</v>
      </c>
      <c r="H16" s="216"/>
      <c r="I16" s="216"/>
      <c r="J16" s="216"/>
      <c r="K16" s="22"/>
      <c r="L16" s="22"/>
      <c r="M16" s="22"/>
      <c r="N16" s="22"/>
      <c r="O16" s="22"/>
    </row>
    <row r="17" spans="1:15" ht="202.5">
      <c r="A17" s="404"/>
      <c r="B17" s="233" t="s">
        <v>10272</v>
      </c>
      <c r="C17" s="230" t="s">
        <v>10332</v>
      </c>
      <c r="D17" s="230" t="s">
        <v>10333</v>
      </c>
      <c r="E17" s="231" t="s">
        <v>5534</v>
      </c>
      <c r="F17" s="231" t="s">
        <v>10334</v>
      </c>
      <c r="G17" s="232" t="s">
        <v>10335</v>
      </c>
      <c r="H17" s="221"/>
      <c r="I17" s="221"/>
      <c r="J17" s="221"/>
      <c r="K17" s="38"/>
      <c r="L17" s="38"/>
      <c r="M17" s="38"/>
      <c r="N17" s="38"/>
      <c r="O17" s="38"/>
    </row>
    <row r="18" spans="1:15" ht="67.5">
      <c r="A18" s="404"/>
      <c r="B18" s="229" t="s">
        <v>10272</v>
      </c>
      <c r="C18" s="230" t="s">
        <v>10336</v>
      </c>
      <c r="D18" s="230" t="s">
        <v>10337</v>
      </c>
      <c r="E18" s="231" t="s">
        <v>5534</v>
      </c>
      <c r="F18" s="231" t="s">
        <v>10338</v>
      </c>
      <c r="G18" s="232" t="s">
        <v>10339</v>
      </c>
      <c r="H18" s="216"/>
      <c r="I18" s="216"/>
      <c r="J18" s="216"/>
      <c r="K18" s="22"/>
      <c r="L18" s="22"/>
      <c r="M18" s="22"/>
      <c r="N18" s="22"/>
      <c r="O18" s="22"/>
    </row>
    <row r="19" spans="1:15" ht="40.5">
      <c r="A19" s="404"/>
      <c r="B19" s="229" t="s">
        <v>10272</v>
      </c>
      <c r="C19" s="230" t="s">
        <v>10340</v>
      </c>
      <c r="D19" s="230" t="s">
        <v>10341</v>
      </c>
      <c r="E19" s="231" t="s">
        <v>5534</v>
      </c>
      <c r="F19" s="231" t="s">
        <v>10342</v>
      </c>
      <c r="G19" s="238" t="s">
        <v>10343</v>
      </c>
      <c r="H19" s="216"/>
      <c r="I19" s="216"/>
      <c r="J19" s="216"/>
      <c r="K19" s="22"/>
      <c r="L19" s="22"/>
      <c r="M19" s="22"/>
      <c r="N19" s="22"/>
      <c r="O19" s="22"/>
    </row>
    <row r="21" spans="1:15" ht="121.5">
      <c r="B21" s="260" t="s">
        <v>10344</v>
      </c>
      <c r="C21" s="210" t="s">
        <v>10345</v>
      </c>
      <c r="D21" s="210" t="s">
        <v>10346</v>
      </c>
      <c r="E21" s="210" t="s">
        <v>10347</v>
      </c>
      <c r="F21" s="262" t="s">
        <v>10348</v>
      </c>
      <c r="G21" s="209" t="s">
        <v>10349</v>
      </c>
      <c r="H21" s="201" t="s">
        <v>233</v>
      </c>
    </row>
    <row r="22" spans="1:15" ht="132">
      <c r="B22" s="260" t="s">
        <v>10344</v>
      </c>
      <c r="C22" s="210" t="s">
        <v>10350</v>
      </c>
      <c r="D22" s="210" t="s">
        <v>10351</v>
      </c>
      <c r="E22" s="210" t="s">
        <v>10347</v>
      </c>
      <c r="F22" s="60" t="s">
        <v>10352</v>
      </c>
      <c r="G22" s="60" t="s">
        <v>10353</v>
      </c>
      <c r="H22" s="201" t="s">
        <v>233</v>
      </c>
    </row>
    <row r="23" spans="1:15" ht="108">
      <c r="B23" s="260" t="s">
        <v>10344</v>
      </c>
      <c r="C23" s="210" t="s">
        <v>10354</v>
      </c>
      <c r="D23" s="210" t="s">
        <v>10355</v>
      </c>
      <c r="E23" s="210" t="s">
        <v>10347</v>
      </c>
      <c r="F23" s="210" t="s">
        <v>10356</v>
      </c>
      <c r="G23" s="209" t="s">
        <v>10357</v>
      </c>
      <c r="H23" s="201" t="s">
        <v>233</v>
      </c>
    </row>
    <row r="24" spans="1:15" ht="108">
      <c r="B24" s="260" t="s">
        <v>10344</v>
      </c>
      <c r="C24" s="210" t="s">
        <v>10358</v>
      </c>
      <c r="D24" s="210" t="s">
        <v>10359</v>
      </c>
      <c r="E24" s="210" t="s">
        <v>10347</v>
      </c>
      <c r="F24" s="210" t="s">
        <v>10360</v>
      </c>
      <c r="G24" s="209" t="s">
        <v>10361</v>
      </c>
      <c r="H24" s="201" t="s">
        <v>184</v>
      </c>
    </row>
    <row r="25" spans="1:15" ht="108">
      <c r="B25" s="260" t="s">
        <v>10344</v>
      </c>
      <c r="C25" s="210" t="s">
        <v>10362</v>
      </c>
      <c r="D25" s="210" t="s">
        <v>10363</v>
      </c>
      <c r="E25" s="210" t="s">
        <v>10347</v>
      </c>
      <c r="F25" s="210" t="s">
        <v>10364</v>
      </c>
      <c r="G25" s="209" t="s">
        <v>10365</v>
      </c>
      <c r="H25" s="201" t="s">
        <v>184</v>
      </c>
    </row>
    <row r="26" spans="1:15" ht="108">
      <c r="B26" s="260" t="s">
        <v>10344</v>
      </c>
      <c r="C26" s="210" t="s">
        <v>10366</v>
      </c>
      <c r="D26" s="210" t="s">
        <v>10367</v>
      </c>
      <c r="E26" s="210" t="s">
        <v>10347</v>
      </c>
      <c r="F26" s="210" t="s">
        <v>10368</v>
      </c>
      <c r="G26" s="209" t="s">
        <v>10369</v>
      </c>
      <c r="H26" s="201" t="s">
        <v>184</v>
      </c>
    </row>
    <row r="27" spans="1:15" ht="108">
      <c r="B27" s="260" t="s">
        <v>10344</v>
      </c>
      <c r="C27" s="210" t="s">
        <v>10370</v>
      </c>
      <c r="D27" s="210" t="s">
        <v>10371</v>
      </c>
      <c r="E27" s="210" t="s">
        <v>10347</v>
      </c>
      <c r="F27" s="210" t="s">
        <v>10372</v>
      </c>
      <c r="G27" s="209" t="s">
        <v>10373</v>
      </c>
      <c r="H27" s="201" t="s">
        <v>41</v>
      </c>
    </row>
    <row r="28" spans="1:15" ht="108">
      <c r="B28" s="260" t="s">
        <v>10344</v>
      </c>
      <c r="C28" s="210" t="s">
        <v>10374</v>
      </c>
      <c r="D28" s="210" t="s">
        <v>10375</v>
      </c>
      <c r="E28" s="210" t="s">
        <v>10347</v>
      </c>
      <c r="F28" s="210" t="s">
        <v>10376</v>
      </c>
      <c r="G28" s="209" t="s">
        <v>10377</v>
      </c>
      <c r="H28" s="201" t="s">
        <v>41</v>
      </c>
    </row>
    <row r="29" spans="1:15" ht="108">
      <c r="B29" s="260" t="s">
        <v>10344</v>
      </c>
      <c r="C29" s="210" t="s">
        <v>10378</v>
      </c>
      <c r="D29" s="210" t="s">
        <v>10379</v>
      </c>
      <c r="E29" s="210" t="s">
        <v>10347</v>
      </c>
      <c r="F29" s="210" t="s">
        <v>10380</v>
      </c>
      <c r="G29" s="209" t="s">
        <v>10381</v>
      </c>
      <c r="H29" s="201" t="s">
        <v>41</v>
      </c>
    </row>
    <row r="30" spans="1:15" ht="108">
      <c r="B30" s="260" t="s">
        <v>10344</v>
      </c>
      <c r="C30" s="210" t="s">
        <v>10382</v>
      </c>
      <c r="D30" s="210" t="s">
        <v>10383</v>
      </c>
      <c r="E30" s="210" t="s">
        <v>10347</v>
      </c>
      <c r="F30" s="210" t="s">
        <v>10384</v>
      </c>
      <c r="G30" s="209" t="s">
        <v>10385</v>
      </c>
      <c r="H30" s="201" t="s">
        <v>233</v>
      </c>
    </row>
    <row r="31" spans="1:15" ht="108">
      <c r="B31" s="260" t="s">
        <v>10344</v>
      </c>
      <c r="C31" s="210" t="s">
        <v>10386</v>
      </c>
      <c r="D31" s="210" t="s">
        <v>10387</v>
      </c>
      <c r="E31" s="210" t="s">
        <v>10347</v>
      </c>
      <c r="F31" s="210" t="s">
        <v>10388</v>
      </c>
      <c r="G31" s="209" t="s">
        <v>10389</v>
      </c>
      <c r="H31" s="201" t="s">
        <v>41</v>
      </c>
    </row>
    <row r="32" spans="1:15" ht="121.5">
      <c r="B32" s="260" t="s">
        <v>10344</v>
      </c>
      <c r="C32" s="210" t="s">
        <v>10390</v>
      </c>
      <c r="D32" s="210" t="s">
        <v>10391</v>
      </c>
      <c r="E32" s="210" t="s">
        <v>10347</v>
      </c>
      <c r="F32" s="210" t="s">
        <v>10392</v>
      </c>
      <c r="G32" s="209" t="s">
        <v>10393</v>
      </c>
      <c r="H32" s="201" t="s">
        <v>41</v>
      </c>
    </row>
    <row r="33" spans="2:8" ht="108">
      <c r="B33" s="260" t="s">
        <v>10344</v>
      </c>
      <c r="C33" s="210" t="s">
        <v>10394</v>
      </c>
      <c r="D33" s="210" t="s">
        <v>10395</v>
      </c>
      <c r="E33" s="210" t="s">
        <v>10347</v>
      </c>
      <c r="F33" s="210" t="s">
        <v>10396</v>
      </c>
      <c r="G33" s="209" t="s">
        <v>10397</v>
      </c>
      <c r="H33" s="201" t="s">
        <v>41</v>
      </c>
    </row>
    <row r="34" spans="2:8" ht="108">
      <c r="B34" s="260" t="s">
        <v>10344</v>
      </c>
      <c r="C34" s="210" t="s">
        <v>10398</v>
      </c>
      <c r="D34" s="210" t="s">
        <v>10399</v>
      </c>
      <c r="E34" s="210" t="s">
        <v>10347</v>
      </c>
      <c r="F34" s="210" t="s">
        <v>10400</v>
      </c>
      <c r="G34" s="209" t="s">
        <v>10401</v>
      </c>
      <c r="H34" s="201" t="s">
        <v>41</v>
      </c>
    </row>
    <row r="35" spans="2:8" ht="67.5">
      <c r="B35" s="263" t="s">
        <v>10402</v>
      </c>
      <c r="C35" s="210" t="s">
        <v>10403</v>
      </c>
      <c r="D35" s="210" t="s">
        <v>10404</v>
      </c>
      <c r="E35" s="210" t="s">
        <v>10405</v>
      </c>
      <c r="F35" s="210" t="s">
        <v>10406</v>
      </c>
      <c r="G35" s="209" t="s">
        <v>10407</v>
      </c>
      <c r="H35" s="201" t="s">
        <v>41</v>
      </c>
    </row>
    <row r="36" spans="2:8" ht="81">
      <c r="B36" s="263" t="s">
        <v>10402</v>
      </c>
      <c r="C36" s="210" t="s">
        <v>10408</v>
      </c>
      <c r="D36" s="210" t="s">
        <v>10409</v>
      </c>
      <c r="E36" s="210" t="s">
        <v>10405</v>
      </c>
      <c r="F36" s="210" t="s">
        <v>10410</v>
      </c>
      <c r="G36" s="209" t="s">
        <v>10411</v>
      </c>
      <c r="H36" s="201" t="s">
        <v>233</v>
      </c>
    </row>
    <row r="37" spans="2:8" ht="81">
      <c r="B37" s="263" t="s">
        <v>10402</v>
      </c>
      <c r="C37" s="210" t="s">
        <v>10412</v>
      </c>
      <c r="D37" s="210" t="s">
        <v>10413</v>
      </c>
      <c r="E37" s="210" t="s">
        <v>10405</v>
      </c>
      <c r="F37" s="210" t="s">
        <v>10414</v>
      </c>
      <c r="G37" s="209" t="s">
        <v>10415</v>
      </c>
      <c r="H37" s="201" t="s">
        <v>41</v>
      </c>
    </row>
    <row r="38" spans="2:8" ht="81">
      <c r="B38" s="263" t="s">
        <v>10402</v>
      </c>
      <c r="C38" s="210" t="s">
        <v>10416</v>
      </c>
      <c r="D38" s="210" t="s">
        <v>10417</v>
      </c>
      <c r="E38" s="210" t="s">
        <v>10405</v>
      </c>
      <c r="F38" s="210" t="s">
        <v>10418</v>
      </c>
      <c r="G38" s="209" t="s">
        <v>10419</v>
      </c>
      <c r="H38" s="201" t="s">
        <v>41</v>
      </c>
    </row>
    <row r="39" spans="2:8" ht="81">
      <c r="B39" s="263" t="s">
        <v>10402</v>
      </c>
      <c r="C39" s="210" t="s">
        <v>10420</v>
      </c>
      <c r="D39" s="210" t="s">
        <v>10421</v>
      </c>
      <c r="E39" s="210" t="s">
        <v>10405</v>
      </c>
      <c r="F39" s="210" t="s">
        <v>10422</v>
      </c>
      <c r="G39" s="209" t="s">
        <v>10423</v>
      </c>
      <c r="H39" s="201" t="s">
        <v>41</v>
      </c>
    </row>
    <row r="40" spans="2:8" ht="81">
      <c r="B40" s="263" t="s">
        <v>10402</v>
      </c>
      <c r="C40" s="210" t="s">
        <v>10424</v>
      </c>
      <c r="D40" s="210" t="s">
        <v>10425</v>
      </c>
      <c r="E40" s="210" t="s">
        <v>10405</v>
      </c>
      <c r="F40" s="210" t="s">
        <v>10426</v>
      </c>
      <c r="G40" s="209" t="s">
        <v>10427</v>
      </c>
      <c r="H40" s="201" t="s">
        <v>10428</v>
      </c>
    </row>
    <row r="41" spans="2:8" ht="121.5">
      <c r="B41" s="263" t="s">
        <v>10402</v>
      </c>
      <c r="C41" s="210" t="s">
        <v>10429</v>
      </c>
      <c r="D41" s="210" t="s">
        <v>10430</v>
      </c>
      <c r="E41" s="210" t="s">
        <v>10405</v>
      </c>
      <c r="F41" s="210" t="s">
        <v>10431</v>
      </c>
      <c r="G41" s="209" t="s">
        <v>10432</v>
      </c>
      <c r="H41" s="201" t="s">
        <v>10428</v>
      </c>
    </row>
    <row r="42" spans="2:8" ht="67.5">
      <c r="B42" s="263" t="s">
        <v>10402</v>
      </c>
      <c r="C42" s="264" t="s">
        <v>10433</v>
      </c>
      <c r="D42" s="264" t="s">
        <v>10434</v>
      </c>
      <c r="E42" s="264" t="s">
        <v>10405</v>
      </c>
      <c r="F42" s="264" t="s">
        <v>10435</v>
      </c>
      <c r="G42" s="265" t="s">
        <v>10436</v>
      </c>
      <c r="H42" s="266" t="s">
        <v>10428</v>
      </c>
    </row>
    <row r="43" spans="2:8" ht="67.5">
      <c r="B43" s="263" t="s">
        <v>10402</v>
      </c>
      <c r="C43" s="264" t="s">
        <v>10437</v>
      </c>
      <c r="D43" s="264" t="s">
        <v>10438</v>
      </c>
      <c r="E43" s="264" t="s">
        <v>10405</v>
      </c>
      <c r="F43" s="264" t="s">
        <v>10439</v>
      </c>
      <c r="G43" s="265" t="s">
        <v>10440</v>
      </c>
      <c r="H43" s="266" t="s">
        <v>10428</v>
      </c>
    </row>
    <row r="44" spans="2:8" ht="40.5">
      <c r="B44" s="212" t="s">
        <v>10441</v>
      </c>
      <c r="C44" s="210" t="s">
        <v>10442</v>
      </c>
      <c r="D44" s="267" t="s">
        <v>10443</v>
      </c>
      <c r="E44" s="267" t="s">
        <v>10444</v>
      </c>
      <c r="F44" s="267" t="s">
        <v>10445</v>
      </c>
      <c r="G44" s="268" t="s">
        <v>10446</v>
      </c>
      <c r="H44" s="201" t="s">
        <v>41</v>
      </c>
    </row>
    <row r="45" spans="2:8" ht="67.5">
      <c r="B45" s="212" t="s">
        <v>10441</v>
      </c>
      <c r="C45" s="210" t="s">
        <v>10447</v>
      </c>
      <c r="D45" s="210" t="s">
        <v>10448</v>
      </c>
      <c r="E45" s="210" t="s">
        <v>10405</v>
      </c>
      <c r="F45" s="267" t="s">
        <v>10449</v>
      </c>
      <c r="G45" s="268" t="s">
        <v>10450</v>
      </c>
      <c r="H45" s="201" t="s">
        <v>233</v>
      </c>
    </row>
    <row r="46" spans="2:8" ht="54">
      <c r="B46" s="263" t="s">
        <v>10451</v>
      </c>
      <c r="C46" s="210" t="s">
        <v>10452</v>
      </c>
      <c r="D46" s="210" t="s">
        <v>10453</v>
      </c>
      <c r="E46" s="210" t="s">
        <v>10454</v>
      </c>
      <c r="F46" s="210" t="s">
        <v>10455</v>
      </c>
      <c r="G46" s="209" t="s">
        <v>10456</v>
      </c>
      <c r="H46" s="201" t="s">
        <v>184</v>
      </c>
    </row>
    <row r="47" spans="2:8" ht="121.5">
      <c r="B47" s="263" t="s">
        <v>10451</v>
      </c>
      <c r="C47" s="210" t="s">
        <v>10457</v>
      </c>
      <c r="D47" s="210" t="s">
        <v>10458</v>
      </c>
      <c r="E47" s="210" t="s">
        <v>10454</v>
      </c>
      <c r="F47" s="210" t="s">
        <v>10459</v>
      </c>
      <c r="G47" s="209" t="s">
        <v>10460</v>
      </c>
      <c r="H47" s="201" t="s">
        <v>233</v>
      </c>
    </row>
  </sheetData>
  <mergeCells count="1">
    <mergeCell ref="A2:A19"/>
  </mergeCells>
  <phoneticPr fontId="10" type="noConversion"/>
  <conditionalFormatting sqref="L1">
    <cfRule type="cellIs" dxfId="3" priority="1" operator="equal">
      <formula>"Passed"</formula>
    </cfRule>
    <cfRule type="cellIs" dxfId="2" priority="2" operator="equal">
      <formula>"Unavailable"</formula>
    </cfRule>
    <cfRule type="cellIs" dxfId="1" priority="3" operator="equal">
      <formula>"Failed"</formula>
    </cfRule>
    <cfRule type="cellIs" dxfId="0" priority="4" operator="equal">
      <formula>"Blocked"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E5C0-94D0-4AFC-936A-D20B79118182}">
  <dimension ref="A1:E16"/>
  <sheetViews>
    <sheetView topLeftCell="A15" workbookViewId="0">
      <selection activeCell="D11" sqref="A11:D11"/>
    </sheetView>
  </sheetViews>
  <sheetFormatPr defaultRowHeight="14.25"/>
  <cols>
    <col min="1" max="1" width="26.75" customWidth="1"/>
    <col min="2" max="2" width="23.625" bestFit="1" customWidth="1"/>
    <col min="3" max="3" width="31.375" style="161" customWidth="1"/>
    <col min="4" max="4" width="46" style="161" bestFit="1" customWidth="1"/>
    <col min="5" max="5" width="77.5" style="161" customWidth="1"/>
  </cols>
  <sheetData>
    <row r="1" spans="1:5" ht="16.5">
      <c r="A1" s="159" t="s">
        <v>8</v>
      </c>
      <c r="B1" s="159" t="s">
        <v>9</v>
      </c>
      <c r="C1" s="159" t="s">
        <v>10</v>
      </c>
      <c r="D1" s="159" t="s">
        <v>11</v>
      </c>
      <c r="E1" s="159" t="s">
        <v>12</v>
      </c>
    </row>
    <row r="2" spans="1:5" ht="99">
      <c r="A2" s="13" t="s">
        <v>10461</v>
      </c>
      <c r="B2" s="160" t="s">
        <v>10462</v>
      </c>
      <c r="C2" s="13" t="s">
        <v>10463</v>
      </c>
      <c r="D2" s="13" t="s">
        <v>10464</v>
      </c>
      <c r="E2" s="13" t="s">
        <v>10465</v>
      </c>
    </row>
    <row r="3" spans="1:5" ht="165">
      <c r="A3" s="13" t="s">
        <v>10466</v>
      </c>
      <c r="B3" s="15" t="s">
        <v>10467</v>
      </c>
      <c r="C3" s="13" t="s">
        <v>10468</v>
      </c>
      <c r="D3" s="13" t="s">
        <v>10469</v>
      </c>
      <c r="E3" s="13" t="s">
        <v>10470</v>
      </c>
    </row>
    <row r="4" spans="1:5" ht="99">
      <c r="A4" s="13" t="s">
        <v>10471</v>
      </c>
      <c r="B4" s="15" t="s">
        <v>10472</v>
      </c>
      <c r="C4" s="13" t="s">
        <v>10463</v>
      </c>
      <c r="D4" s="13" t="s">
        <v>10473</v>
      </c>
      <c r="E4" s="13" t="s">
        <v>10474</v>
      </c>
    </row>
    <row r="5" spans="1:5" ht="99">
      <c r="A5" s="13" t="s">
        <v>10475</v>
      </c>
      <c r="B5" s="15" t="s">
        <v>10476</v>
      </c>
      <c r="C5" s="13" t="s">
        <v>10463</v>
      </c>
      <c r="D5" s="13" t="s">
        <v>10477</v>
      </c>
      <c r="E5" s="13" t="s">
        <v>10478</v>
      </c>
    </row>
    <row r="6" spans="1:5" ht="99">
      <c r="A6" s="13" t="s">
        <v>10479</v>
      </c>
      <c r="B6" s="15" t="s">
        <v>10480</v>
      </c>
      <c r="C6" s="13" t="s">
        <v>10463</v>
      </c>
      <c r="D6" s="13" t="s">
        <v>10481</v>
      </c>
      <c r="E6" s="13" t="s">
        <v>10482</v>
      </c>
    </row>
    <row r="7" spans="1:5" ht="99">
      <c r="A7" s="13" t="s">
        <v>10483</v>
      </c>
      <c r="B7" s="13" t="s">
        <v>10484</v>
      </c>
      <c r="C7" s="13" t="s">
        <v>10463</v>
      </c>
      <c r="D7" s="13" t="s">
        <v>10485</v>
      </c>
      <c r="E7" s="13" t="s">
        <v>10486</v>
      </c>
    </row>
    <row r="8" spans="1:5" ht="198">
      <c r="A8" s="13" t="s">
        <v>10487</v>
      </c>
      <c r="B8" s="13" t="s">
        <v>10488</v>
      </c>
      <c r="C8" s="13" t="s">
        <v>10463</v>
      </c>
      <c r="D8" s="13" t="s">
        <v>10489</v>
      </c>
      <c r="E8" s="13" t="s">
        <v>10490</v>
      </c>
    </row>
    <row r="9" spans="1:5" ht="99">
      <c r="A9" s="13" t="s">
        <v>10491</v>
      </c>
      <c r="B9" s="13" t="s">
        <v>10492</v>
      </c>
      <c r="C9" s="13" t="s">
        <v>10463</v>
      </c>
      <c r="D9" s="13" t="s">
        <v>10493</v>
      </c>
      <c r="E9" s="13" t="s">
        <v>10494</v>
      </c>
    </row>
    <row r="10" spans="1:5" ht="148.5">
      <c r="A10" s="13" t="s">
        <v>10495</v>
      </c>
      <c r="B10" s="15" t="s">
        <v>10496</v>
      </c>
      <c r="C10" s="13" t="s">
        <v>10463</v>
      </c>
      <c r="D10" s="13" t="s">
        <v>10497</v>
      </c>
      <c r="E10" s="13" t="s">
        <v>10498</v>
      </c>
    </row>
    <row r="11" spans="1:5" ht="214.5">
      <c r="A11" s="13" t="s">
        <v>10499</v>
      </c>
      <c r="B11" s="15" t="s">
        <v>10500</v>
      </c>
      <c r="C11" s="13" t="s">
        <v>10463</v>
      </c>
      <c r="D11" s="13" t="s">
        <v>10501</v>
      </c>
      <c r="E11" s="13" t="s">
        <v>10502</v>
      </c>
    </row>
    <row r="12" spans="1:5" ht="214.5">
      <c r="A12" s="13" t="s">
        <v>10503</v>
      </c>
      <c r="B12" s="15" t="s">
        <v>10504</v>
      </c>
      <c r="C12" s="13" t="s">
        <v>10463</v>
      </c>
      <c r="D12" s="13" t="s">
        <v>10505</v>
      </c>
      <c r="E12" s="13" t="s">
        <v>10506</v>
      </c>
    </row>
    <row r="13" spans="1:5" ht="115.5">
      <c r="A13" s="13" t="s">
        <v>10507</v>
      </c>
      <c r="B13" s="15" t="s">
        <v>10508</v>
      </c>
      <c r="C13" s="13" t="s">
        <v>10463</v>
      </c>
      <c r="D13" s="13" t="s">
        <v>10509</v>
      </c>
      <c r="E13" s="13" t="s">
        <v>10510</v>
      </c>
    </row>
    <row r="14" spans="1:5" ht="297">
      <c r="A14" s="13" t="s">
        <v>10511</v>
      </c>
      <c r="B14" s="15" t="s">
        <v>10512</v>
      </c>
      <c r="C14" s="13" t="s">
        <v>10463</v>
      </c>
      <c r="D14" s="13" t="s">
        <v>10513</v>
      </c>
      <c r="E14" s="13" t="s">
        <v>10514</v>
      </c>
    </row>
    <row r="15" spans="1:5" ht="313.5">
      <c r="A15" s="13" t="s">
        <v>10515</v>
      </c>
      <c r="B15" s="15" t="s">
        <v>10512</v>
      </c>
      <c r="C15" s="13" t="s">
        <v>10463</v>
      </c>
      <c r="D15" s="13" t="s">
        <v>10516</v>
      </c>
      <c r="E15" s="13" t="s">
        <v>10517</v>
      </c>
    </row>
    <row r="16" spans="1:5" ht="99">
      <c r="A16" s="13" t="s">
        <v>10518</v>
      </c>
      <c r="B16" s="15" t="s">
        <v>10519</v>
      </c>
      <c r="C16" s="13" t="s">
        <v>10463</v>
      </c>
      <c r="D16" s="13" t="s">
        <v>10520</v>
      </c>
      <c r="E16" s="13" t="s">
        <v>10521</v>
      </c>
    </row>
  </sheetData>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81edaab-3f95-448a-94f2-0811390a9636">
      <Terms xmlns="http://schemas.microsoft.com/office/infopath/2007/PartnerControls"/>
    </lcf76f155ced4ddcb4097134ff3c332f>
    <TaxCatchAll xmlns="c82846e3-d266-4c6c-8a76-94ebea1c2e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9446543179FB4E4C9FF4A7989C910714" ma:contentTypeVersion="10" ma:contentTypeDescription="新建文档。" ma:contentTypeScope="" ma:versionID="63fba8a8962646f1838b60fa770091bb">
  <xsd:schema xmlns:xsd="http://www.w3.org/2001/XMLSchema" xmlns:xs="http://www.w3.org/2001/XMLSchema" xmlns:p="http://schemas.microsoft.com/office/2006/metadata/properties" xmlns:ns2="181edaab-3f95-448a-94f2-0811390a9636" xmlns:ns3="c82846e3-d266-4c6c-8a76-94ebea1c2e12" targetNamespace="http://schemas.microsoft.com/office/2006/metadata/properties" ma:root="true" ma:fieldsID="b3e1ceb2e07350c6f9345347cefc6349" ns2:_="" ns3:_="">
    <xsd:import namespace="181edaab-3f95-448a-94f2-0811390a9636"/>
    <xsd:import namespace="c82846e3-d266-4c6c-8a76-94ebea1c2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1edaab-3f95-448a-94f2-0811390a9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2846e3-d266-4c6c-8a76-94ebea1c2e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99c694-2c42-417e-af77-315e641987af}" ma:internalName="TaxCatchAll" ma:showField="CatchAllData" ma:web="c82846e3-d266-4c6c-8a76-94ebea1c2e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8AB3CA-A557-48BB-A165-CE4EF81E93F3}">
  <ds:schemaRefs>
    <ds:schemaRef ds:uri="http://schemas.microsoft.com/sharepoint/v3/contenttype/forms"/>
  </ds:schemaRefs>
</ds:datastoreItem>
</file>

<file path=customXml/itemProps2.xml><?xml version="1.0" encoding="utf-8"?>
<ds:datastoreItem xmlns:ds="http://schemas.openxmlformats.org/officeDocument/2006/customXml" ds:itemID="{056821FF-ADA2-40AA-B531-06CB7865E8E4}">
  <ds:schemaRefs>
    <ds:schemaRef ds:uri="http://purl.org/dc/elements/1.1/"/>
    <ds:schemaRef ds:uri="http://schemas.openxmlformats.org/package/2006/metadata/core-properties"/>
    <ds:schemaRef ds:uri="181edaab-3f95-448a-94f2-0811390a9636"/>
    <ds:schemaRef ds:uri="http://schemas.microsoft.com/office/2006/documentManagement/types"/>
    <ds:schemaRef ds:uri="http://purl.org/dc/terms/"/>
    <ds:schemaRef ds:uri="http://www.w3.org/XML/1998/namespace"/>
    <ds:schemaRef ds:uri="http://schemas.microsoft.com/office/infopath/2007/PartnerControls"/>
    <ds:schemaRef ds:uri="c82846e3-d266-4c6c-8a76-94ebea1c2e12"/>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D735ECD-357E-4004-9AE8-A8A528DE05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说明</vt:lpstr>
      <vt:lpstr>测试用例</vt:lpstr>
      <vt:lpstr>测试用例12.8之前</vt:lpstr>
      <vt:lpstr>用例统计</vt:lpstr>
      <vt:lpstr>用例定级及比例</vt:lpstr>
      <vt:lpstr>smoke用例</vt:lpstr>
      <vt:lpstr>后期可能新增web用例</vt:lpstr>
      <vt:lpstr>FCT测试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Zan Hu</cp:lastModifiedBy>
  <cp:revision/>
  <dcterms:created xsi:type="dcterms:W3CDTF">2024-07-09T02:20:20Z</dcterms:created>
  <dcterms:modified xsi:type="dcterms:W3CDTF">2026-05-15T08:55:12Z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ED02E9CAF23A445AA9705C5E383A7E9E</vt:lpwstr>
  </property>
  <property fmtid="{D5CDD505-2E9C-101B-9397-08002B2CF9AE}" pid="4" name="ContentTypeId">
    <vt:lpwstr>0x0101009446543179FB4E4C9FF4A7989C910714</vt:lpwstr>
  </property>
  <property fmtid="{D5CDD505-2E9C-101B-9397-08002B2CF9AE}" pid="5" name="MediaServiceImageTags">
    <vt:lpwstr/>
  </property>
</Properties>
</file>